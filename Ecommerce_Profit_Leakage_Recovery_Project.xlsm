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d.docs.live.net/e7f516dea69b67e8/Desktop/Ecommerce_Profit_Leakage_Recovery_Project/"/>
    </mc:Choice>
  </mc:AlternateContent>
  <xr:revisionPtr revIDLastSave="421" documentId="8_{8A8C4D36-D875-4921-BF7E-3213E77765C2}" xr6:coauthVersionLast="47" xr6:coauthVersionMax="47" xr10:uidLastSave="{68E2A8D8-80EC-42F4-872F-1138F7C10CB4}"/>
  <bookViews>
    <workbookView xWindow="-108" yWindow="-108" windowWidth="23256" windowHeight="13176" activeTab="1" xr2:uid="{482F72D0-EA25-4C2C-ACD0-CB6904A42494}"/>
  </bookViews>
  <sheets>
    <sheet name="README" sheetId="1" r:id="rId1"/>
    <sheet name="DASHBOARD📊 " sheetId="2" r:id="rId2"/>
    <sheet name="Raw_Data" sheetId="3" r:id="rId3"/>
    <sheet name="Calculations" sheetId="4" r:id="rId4"/>
    <sheet name="Profit_Recovery_Sim" sheetId="5" r:id="rId5"/>
    <sheet name="Return_Risk_Analysis" sheetId="6" r:id="rId6"/>
    <sheet name="Charts_Data" sheetId="7" r:id="rId7"/>
    <sheet name="Product_Analysis" sheetId="8" r:id="rId8"/>
    <sheet name="Pivot_Analysis" sheetId="10" r:id="rId9"/>
  </sheets>
  <definedNames>
    <definedName name="Slicer_Category">#N/A</definedName>
    <definedName name="Slicer_Month">#N/A</definedName>
    <definedName name="Slicer_Order_Status">#N/A</definedName>
  </definedNames>
  <calcPr calcId="191029" iterateDelta="1E-4"/>
  <pivotCaches>
    <pivotCache cacheId="0"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N32" i="2" l="1"/>
  <c r="N33" i="2"/>
  <c r="N34" i="2"/>
  <c r="N35" i="2"/>
  <c r="N36" i="2"/>
  <c r="N37" i="2"/>
  <c r="N38" i="2"/>
  <c r="N31" i="2"/>
  <c r="E94" i="2"/>
  <c r="E93" i="2"/>
  <c r="E92" i="2" a="1"/>
  <c r="E92" i="2" s="1"/>
  <c r="E91" i="2"/>
  <c r="E90" i="2"/>
  <c r="E89" i="2"/>
  <c r="E88" i="2" a="1"/>
  <c r="E88" i="2" s="1"/>
  <c r="E5" i="10"/>
  <c r="E6" i="10"/>
  <c r="E7" i="10"/>
  <c r="E8" i="10"/>
  <c r="E9" i="10"/>
  <c r="E4" i="10"/>
  <c r="D5" i="6"/>
  <c r="C18" i="4"/>
  <c r="C17" i="4"/>
  <c r="C16" i="4"/>
  <c r="C15" i="4"/>
  <c r="C14" i="4"/>
  <c r="C13" i="4"/>
  <c r="C12" i="4"/>
  <c r="C11" i="4"/>
  <c r="C10" i="4"/>
  <c r="C9" i="4"/>
  <c r="C8" i="4"/>
  <c r="C6" i="4"/>
  <c r="C7" i="4"/>
  <c r="C5" i="4"/>
  <c r="C4" i="4"/>
  <c r="C3" i="4"/>
  <c r="L60" i="2"/>
  <c r="L61" i="2"/>
  <c r="L62" i="2"/>
  <c r="L63" i="2"/>
  <c r="J60" i="2"/>
  <c r="J61" i="2"/>
  <c r="J62" i="2"/>
  <c r="J63" i="2"/>
  <c r="I60" i="2"/>
  <c r="I61" i="2"/>
  <c r="I62" i="2"/>
  <c r="I63" i="2"/>
  <c r="H60" i="2"/>
  <c r="H61" i="2"/>
  <c r="H62" i="2"/>
  <c r="H63" i="2"/>
  <c r="L59" i="2"/>
  <c r="J59" i="2"/>
  <c r="I59" i="2"/>
  <c r="H59" i="2"/>
  <c r="G60" i="2"/>
  <c r="G61" i="2"/>
  <c r="G62" i="2"/>
  <c r="G63" i="2"/>
  <c r="G59" i="2"/>
  <c r="M44" i="2"/>
  <c r="M45" i="2"/>
  <c r="M46" i="2"/>
  <c r="M47" i="2"/>
  <c r="M48" i="2"/>
  <c r="M49" i="2"/>
  <c r="M50" i="2"/>
  <c r="M51" i="2"/>
  <c r="M52" i="2"/>
  <c r="M53" i="2"/>
  <c r="M54" i="2"/>
  <c r="L44" i="2"/>
  <c r="L45" i="2"/>
  <c r="L46" i="2"/>
  <c r="L47" i="2"/>
  <c r="L48" i="2"/>
  <c r="L49" i="2"/>
  <c r="L50" i="2"/>
  <c r="L51" i="2"/>
  <c r="L52" i="2"/>
  <c r="L53" i="2"/>
  <c r="L54" i="2"/>
  <c r="J44" i="2"/>
  <c r="J45" i="2"/>
  <c r="J46" i="2"/>
  <c r="J47" i="2"/>
  <c r="J48" i="2"/>
  <c r="J49" i="2"/>
  <c r="J50" i="2"/>
  <c r="J51" i="2"/>
  <c r="J52" i="2"/>
  <c r="J53" i="2"/>
  <c r="J54" i="2"/>
  <c r="I44" i="2"/>
  <c r="I45" i="2"/>
  <c r="I46" i="2"/>
  <c r="I47" i="2"/>
  <c r="I48" i="2"/>
  <c r="I49" i="2"/>
  <c r="I50" i="2"/>
  <c r="I51" i="2"/>
  <c r="I52" i="2"/>
  <c r="I53" i="2"/>
  <c r="I54" i="2"/>
  <c r="H44" i="2"/>
  <c r="H45" i="2"/>
  <c r="H46" i="2"/>
  <c r="H47" i="2"/>
  <c r="H48" i="2"/>
  <c r="H49" i="2"/>
  <c r="H50" i="2"/>
  <c r="H51" i="2"/>
  <c r="H52" i="2"/>
  <c r="H53" i="2"/>
  <c r="H54" i="2"/>
  <c r="M43" i="2"/>
  <c r="L43" i="2"/>
  <c r="J43" i="2"/>
  <c r="I43" i="2"/>
  <c r="H43" i="2"/>
  <c r="G44" i="2"/>
  <c r="G45" i="2"/>
  <c r="G46" i="2"/>
  <c r="G47" i="2"/>
  <c r="G48" i="2"/>
  <c r="G49" i="2"/>
  <c r="G50" i="2"/>
  <c r="G51" i="2"/>
  <c r="G52" i="2"/>
  <c r="G53" i="2"/>
  <c r="G54" i="2"/>
  <c r="G43" i="2"/>
  <c r="M32" i="2"/>
  <c r="M33" i="2"/>
  <c r="M34" i="2"/>
  <c r="M35" i="2"/>
  <c r="M36" i="2"/>
  <c r="M37" i="2"/>
  <c r="M38" i="2"/>
  <c r="M31" i="2"/>
  <c r="L32" i="2"/>
  <c r="L33" i="2"/>
  <c r="L34" i="2"/>
  <c r="L35" i="2"/>
  <c r="L36" i="2"/>
  <c r="L37" i="2"/>
  <c r="L38" i="2"/>
  <c r="L31" i="2"/>
  <c r="J32" i="2"/>
  <c r="J33" i="2"/>
  <c r="J34" i="2"/>
  <c r="J35" i="2"/>
  <c r="J36" i="2"/>
  <c r="J37" i="2"/>
  <c r="J38" i="2"/>
  <c r="J31" i="2"/>
  <c r="I32" i="2"/>
  <c r="I33" i="2"/>
  <c r="I34" i="2"/>
  <c r="I35" i="2"/>
  <c r="I36" i="2"/>
  <c r="I37" i="2"/>
  <c r="I38" i="2"/>
  <c r="I31" i="2"/>
  <c r="H32" i="2"/>
  <c r="H33" i="2"/>
  <c r="H34" i="2"/>
  <c r="H35" i="2"/>
  <c r="H36" i="2"/>
  <c r="H37" i="2"/>
  <c r="H38" i="2"/>
  <c r="H31" i="2"/>
  <c r="G32" i="2"/>
  <c r="G33" i="2"/>
  <c r="G34" i="2"/>
  <c r="G35" i="2"/>
  <c r="G36" i="2"/>
  <c r="G37" i="2"/>
  <c r="G38" i="2"/>
  <c r="G31" i="2"/>
  <c r="H18" i="2"/>
  <c r="I18" i="2"/>
  <c r="J18" i="2"/>
  <c r="L18" i="2"/>
  <c r="M18" i="2" s="1"/>
  <c r="H19" i="2"/>
  <c r="I19" i="2"/>
  <c r="J19" i="2"/>
  <c r="L19" i="2"/>
  <c r="M19" i="2" s="1"/>
  <c r="H20" i="2"/>
  <c r="I20" i="2"/>
  <c r="J20" i="2"/>
  <c r="L20" i="2"/>
  <c r="M20" i="2" s="1"/>
  <c r="H21" i="2"/>
  <c r="I21" i="2"/>
  <c r="J21" i="2"/>
  <c r="L21" i="2"/>
  <c r="M21" i="2" s="1"/>
  <c r="H22" i="2"/>
  <c r="I22" i="2"/>
  <c r="J22" i="2"/>
  <c r="L22" i="2"/>
  <c r="M22" i="2" s="1"/>
  <c r="H23" i="2"/>
  <c r="I23" i="2"/>
  <c r="J23" i="2"/>
  <c r="L23" i="2"/>
  <c r="M23" i="2" s="1"/>
  <c r="H24" i="2"/>
  <c r="I24" i="2"/>
  <c r="J24" i="2"/>
  <c r="L24" i="2"/>
  <c r="M24" i="2" s="1"/>
  <c r="H25" i="2"/>
  <c r="I25" i="2"/>
  <c r="J25" i="2"/>
  <c r="L25" i="2"/>
  <c r="M25" i="2" s="1"/>
  <c r="H26" i="2"/>
  <c r="I26" i="2"/>
  <c r="J26" i="2"/>
  <c r="L26" i="2"/>
  <c r="M26" i="2" s="1"/>
  <c r="L17" i="2"/>
  <c r="M17" i="2" s="1"/>
  <c r="J17" i="2"/>
  <c r="I17" i="2"/>
  <c r="H17" i="2"/>
  <c r="G26" i="2"/>
  <c r="G18" i="2"/>
  <c r="G19" i="2"/>
  <c r="G20" i="2"/>
  <c r="G21" i="2"/>
  <c r="G22" i="2"/>
  <c r="G23" i="2"/>
  <c r="G24" i="2"/>
  <c r="G25" i="2"/>
  <c r="G17" i="2"/>
  <c r="Q12" i="2"/>
  <c r="L12" i="2"/>
  <c r="G12" i="2"/>
  <c r="B12" i="2"/>
  <c r="Q9" i="2"/>
  <c r="L9" i="2"/>
  <c r="G9" i="2"/>
  <c r="B9" i="2"/>
  <c r="Q6" i="2"/>
  <c r="L6" i="2"/>
  <c r="G6" i="2"/>
  <c r="B6" i="2"/>
  <c r="O7" i="7"/>
  <c r="O4" i="7"/>
  <c r="O5" i="7"/>
  <c r="O6" i="7"/>
  <c r="O3" i="7"/>
  <c r="N4" i="7"/>
  <c r="N5" i="7"/>
  <c r="N6" i="7"/>
  <c r="N7" i="7"/>
  <c r="N3" i="7"/>
  <c r="M3" i="7"/>
  <c r="M4" i="7"/>
  <c r="M5" i="7"/>
  <c r="M6" i="7"/>
  <c r="M7" i="7"/>
  <c r="K4" i="7"/>
  <c r="K5" i="7"/>
  <c r="K6" i="7"/>
  <c r="K7" i="7"/>
  <c r="K8" i="7"/>
  <c r="K9" i="7"/>
  <c r="K10" i="7"/>
  <c r="K11" i="7"/>
  <c r="K12" i="7"/>
  <c r="K3" i="7"/>
  <c r="J4" i="7"/>
  <c r="J5" i="7"/>
  <c r="J6" i="7"/>
  <c r="J7" i="7"/>
  <c r="J8" i="7"/>
  <c r="J9" i="7"/>
  <c r="J10" i="7"/>
  <c r="J11" i="7"/>
  <c r="J12" i="7"/>
  <c r="J3" i="7"/>
  <c r="I4" i="7"/>
  <c r="I5" i="7"/>
  <c r="I6" i="7"/>
  <c r="I7" i="7"/>
  <c r="I8" i="7"/>
  <c r="I9" i="7"/>
  <c r="I10" i="7"/>
  <c r="I11" i="7"/>
  <c r="I12" i="7"/>
  <c r="I3" i="7"/>
  <c r="G4" i="7"/>
  <c r="G5" i="7"/>
  <c r="G6" i="7"/>
  <c r="G7" i="7"/>
  <c r="G8" i="7"/>
  <c r="G9" i="7"/>
  <c r="G10" i="7"/>
  <c r="G11" i="7"/>
  <c r="G12" i="7"/>
  <c r="G13" i="7"/>
  <c r="G14" i="7"/>
  <c r="G3" i="7"/>
  <c r="F4" i="7"/>
  <c r="F5" i="7"/>
  <c r="F6" i="7"/>
  <c r="F7" i="7"/>
  <c r="F8" i="7"/>
  <c r="F9" i="7"/>
  <c r="F10" i="7"/>
  <c r="F11" i="7"/>
  <c r="F12" i="7"/>
  <c r="F13" i="7"/>
  <c r="F14" i="7"/>
  <c r="F3" i="7"/>
  <c r="E4" i="7"/>
  <c r="E5" i="7"/>
  <c r="E6" i="7"/>
  <c r="E7" i="7"/>
  <c r="E8" i="7"/>
  <c r="E9" i="7"/>
  <c r="E10" i="7"/>
  <c r="E11" i="7"/>
  <c r="E12" i="7"/>
  <c r="E13" i="7"/>
  <c r="E14" i="7"/>
  <c r="E3" i="7"/>
  <c r="C4" i="7"/>
  <c r="C5" i="7"/>
  <c r="C6" i="7"/>
  <c r="C7" i="7"/>
  <c r="C8" i="7"/>
  <c r="C9" i="7"/>
  <c r="C10" i="7"/>
  <c r="C3" i="7"/>
  <c r="B4" i="7"/>
  <c r="B5" i="7"/>
  <c r="B6" i="7"/>
  <c r="B7" i="7"/>
  <c r="B8" i="7"/>
  <c r="B9" i="7"/>
  <c r="B10" i="7"/>
  <c r="B3" i="7"/>
  <c r="A4" i="7"/>
  <c r="A5" i="7"/>
  <c r="A6" i="7"/>
  <c r="A7" i="7"/>
  <c r="A8" i="7"/>
  <c r="A9" i="7"/>
  <c r="A10" i="7"/>
  <c r="A3" i="7"/>
  <c r="G5" i="8" a="1"/>
  <c r="G5" i="8" s="1"/>
  <c r="A151" i="8" a="1"/>
  <c r="W2" i="3"/>
  <c r="J5" i="6" s="1"/>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W164"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242" i="3"/>
  <c r="W243" i="3"/>
  <c r="W244" i="3"/>
  <c r="W245" i="3"/>
  <c r="W246" i="3"/>
  <c r="W247" i="3"/>
  <c r="W248" i="3"/>
  <c r="W249" i="3"/>
  <c r="W250" i="3"/>
  <c r="W251" i="3"/>
  <c r="W252" i="3"/>
  <c r="W253" i="3"/>
  <c r="W254" i="3"/>
  <c r="W255" i="3"/>
  <c r="W256" i="3"/>
  <c r="W257" i="3"/>
  <c r="W258" i="3"/>
  <c r="W259" i="3"/>
  <c r="W260" i="3"/>
  <c r="W261" i="3"/>
  <c r="W262" i="3"/>
  <c r="W263" i="3"/>
  <c r="W264" i="3"/>
  <c r="W265" i="3"/>
  <c r="W266" i="3"/>
  <c r="W267" i="3"/>
  <c r="W268" i="3"/>
  <c r="W269" i="3"/>
  <c r="W270" i="3"/>
  <c r="W271" i="3"/>
  <c r="W272" i="3"/>
  <c r="W273" i="3"/>
  <c r="W274" i="3"/>
  <c r="W275" i="3"/>
  <c r="W276" i="3"/>
  <c r="W277" i="3"/>
  <c r="W278" i="3"/>
  <c r="W279" i="3"/>
  <c r="W280" i="3"/>
  <c r="W281" i="3"/>
  <c r="W282" i="3"/>
  <c r="W283" i="3"/>
  <c r="W284" i="3"/>
  <c r="W285" i="3"/>
  <c r="W286" i="3"/>
  <c r="W287" i="3"/>
  <c r="W288" i="3"/>
  <c r="W289" i="3"/>
  <c r="W290" i="3"/>
  <c r="W291" i="3"/>
  <c r="W292" i="3"/>
  <c r="W293" i="3"/>
  <c r="W294" i="3"/>
  <c r="W295" i="3"/>
  <c r="W296" i="3"/>
  <c r="W297" i="3"/>
  <c r="W298" i="3"/>
  <c r="W299" i="3"/>
  <c r="W300" i="3"/>
  <c r="W301" i="3"/>
  <c r="W302" i="3"/>
  <c r="W303" i="3"/>
  <c r="W304" i="3"/>
  <c r="W305" i="3"/>
  <c r="W306" i="3"/>
  <c r="W307" i="3"/>
  <c r="W308" i="3"/>
  <c r="W309" i="3"/>
  <c r="W310" i="3"/>
  <c r="W311" i="3"/>
  <c r="W312" i="3"/>
  <c r="W313" i="3"/>
  <c r="W314" i="3"/>
  <c r="W315" i="3"/>
  <c r="W316" i="3"/>
  <c r="W317" i="3"/>
  <c r="W318" i="3"/>
  <c r="W319" i="3"/>
  <c r="W320" i="3"/>
  <c r="W321" i="3"/>
  <c r="W322" i="3"/>
  <c r="W323" i="3"/>
  <c r="W324" i="3"/>
  <c r="W325" i="3"/>
  <c r="W326" i="3"/>
  <c r="W327" i="3"/>
  <c r="W328" i="3"/>
  <c r="W329" i="3"/>
  <c r="W330" i="3"/>
  <c r="W331" i="3"/>
  <c r="W332" i="3"/>
  <c r="W333" i="3"/>
  <c r="W334" i="3"/>
  <c r="W335" i="3"/>
  <c r="W336" i="3"/>
  <c r="W337" i="3"/>
  <c r="W338" i="3"/>
  <c r="W339" i="3"/>
  <c r="W340" i="3"/>
  <c r="W341" i="3"/>
  <c r="W342" i="3"/>
  <c r="W343" i="3"/>
  <c r="W344" i="3"/>
  <c r="W345" i="3"/>
  <c r="W346" i="3"/>
  <c r="W347" i="3"/>
  <c r="W348" i="3"/>
  <c r="W349" i="3"/>
  <c r="W350" i="3"/>
  <c r="W351" i="3"/>
  <c r="W352" i="3"/>
  <c r="W353" i="3"/>
  <c r="W354" i="3"/>
  <c r="W355" i="3"/>
  <c r="W356" i="3"/>
  <c r="W357" i="3"/>
  <c r="W358" i="3"/>
  <c r="W359" i="3"/>
  <c r="W360" i="3"/>
  <c r="W361" i="3"/>
  <c r="W362" i="3"/>
  <c r="W363" i="3"/>
  <c r="W364" i="3"/>
  <c r="W365" i="3"/>
  <c r="W366" i="3"/>
  <c r="W367" i="3"/>
  <c r="W368" i="3"/>
  <c r="W369" i="3"/>
  <c r="W370" i="3"/>
  <c r="W371" i="3"/>
  <c r="W372" i="3"/>
  <c r="W373" i="3"/>
  <c r="W374" i="3"/>
  <c r="W375" i="3"/>
  <c r="W376" i="3"/>
  <c r="W377" i="3"/>
  <c r="W378" i="3"/>
  <c r="W379" i="3"/>
  <c r="W380" i="3"/>
  <c r="W381" i="3"/>
  <c r="W382" i="3"/>
  <c r="W383" i="3"/>
  <c r="W384" i="3"/>
  <c r="W385" i="3"/>
  <c r="W386" i="3"/>
  <c r="W387" i="3"/>
  <c r="W388" i="3"/>
  <c r="W389" i="3"/>
  <c r="W390" i="3"/>
  <c r="W391" i="3"/>
  <c r="W392" i="3"/>
  <c r="W393" i="3"/>
  <c r="W394" i="3"/>
  <c r="W395" i="3"/>
  <c r="W396" i="3"/>
  <c r="W397" i="3"/>
  <c r="W398" i="3"/>
  <c r="W399" i="3"/>
  <c r="W400" i="3"/>
  <c r="W401" i="3"/>
  <c r="W402" i="3"/>
  <c r="W403" i="3"/>
  <c r="W404" i="3"/>
  <c r="W405" i="3"/>
  <c r="W406" i="3"/>
  <c r="W407" i="3"/>
  <c r="W408" i="3"/>
  <c r="W409" i="3"/>
  <c r="W410" i="3"/>
  <c r="W411" i="3"/>
  <c r="W412" i="3"/>
  <c r="W413" i="3"/>
  <c r="W414" i="3"/>
  <c r="W415" i="3"/>
  <c r="W416" i="3"/>
  <c r="W417" i="3"/>
  <c r="W418" i="3"/>
  <c r="W419" i="3"/>
  <c r="W420" i="3"/>
  <c r="W421" i="3"/>
  <c r="W422" i="3"/>
  <c r="W423" i="3"/>
  <c r="W424" i="3"/>
  <c r="W425" i="3"/>
  <c r="W426" i="3"/>
  <c r="W427" i="3"/>
  <c r="W428" i="3"/>
  <c r="W429" i="3"/>
  <c r="W430" i="3"/>
  <c r="W431" i="3"/>
  <c r="W432" i="3"/>
  <c r="W433" i="3"/>
  <c r="W434" i="3"/>
  <c r="W435" i="3"/>
  <c r="W436" i="3"/>
  <c r="W437" i="3"/>
  <c r="W438" i="3"/>
  <c r="W439" i="3"/>
  <c r="W440" i="3"/>
  <c r="W441" i="3"/>
  <c r="W442" i="3"/>
  <c r="W443" i="3"/>
  <c r="W444" i="3"/>
  <c r="W445" i="3"/>
  <c r="W446" i="3"/>
  <c r="W447" i="3"/>
  <c r="W448" i="3"/>
  <c r="W449" i="3"/>
  <c r="W450" i="3"/>
  <c r="W451" i="3"/>
  <c r="W452" i="3"/>
  <c r="W453" i="3"/>
  <c r="W454" i="3"/>
  <c r="W455" i="3"/>
  <c r="W456" i="3"/>
  <c r="W457" i="3"/>
  <c r="W458" i="3"/>
  <c r="W459" i="3"/>
  <c r="W460" i="3"/>
  <c r="W461" i="3"/>
  <c r="W462" i="3"/>
  <c r="W463" i="3"/>
  <c r="W464" i="3"/>
  <c r="W465" i="3"/>
  <c r="W466" i="3"/>
  <c r="W467" i="3"/>
  <c r="W468" i="3"/>
  <c r="W469" i="3"/>
  <c r="W470" i="3"/>
  <c r="W471" i="3"/>
  <c r="W472" i="3"/>
  <c r="W473" i="3"/>
  <c r="W474" i="3"/>
  <c r="W475" i="3"/>
  <c r="W476" i="3"/>
  <c r="W477" i="3"/>
  <c r="W478" i="3"/>
  <c r="W479" i="3"/>
  <c r="W480" i="3"/>
  <c r="W481" i="3"/>
  <c r="W482" i="3"/>
  <c r="W483" i="3"/>
  <c r="W484" i="3"/>
  <c r="W485" i="3"/>
  <c r="W486" i="3"/>
  <c r="W487" i="3"/>
  <c r="W488" i="3"/>
  <c r="W489" i="3"/>
  <c r="W490" i="3"/>
  <c r="W491" i="3"/>
  <c r="W492" i="3"/>
  <c r="W493" i="3"/>
  <c r="W494" i="3"/>
  <c r="W495" i="3"/>
  <c r="W496" i="3"/>
  <c r="W497" i="3"/>
  <c r="W498" i="3"/>
  <c r="W499" i="3"/>
  <c r="W500" i="3"/>
  <c r="W501" i="3"/>
  <c r="W502" i="3"/>
  <c r="W503" i="3"/>
  <c r="W504" i="3"/>
  <c r="W505" i="3"/>
  <c r="W506" i="3"/>
  <c r="W507" i="3"/>
  <c r="W508" i="3"/>
  <c r="W509" i="3"/>
  <c r="W510" i="3"/>
  <c r="W511" i="3"/>
  <c r="W512" i="3"/>
  <c r="W513" i="3"/>
  <c r="W514" i="3"/>
  <c r="W515" i="3"/>
  <c r="W516" i="3"/>
  <c r="W517" i="3"/>
  <c r="W518" i="3"/>
  <c r="W519" i="3"/>
  <c r="W520" i="3"/>
  <c r="W521" i="3"/>
  <c r="W522" i="3"/>
  <c r="W523" i="3"/>
  <c r="W524" i="3"/>
  <c r="W525" i="3"/>
  <c r="W526" i="3"/>
  <c r="W527" i="3"/>
  <c r="W528" i="3"/>
  <c r="W529" i="3"/>
  <c r="W530" i="3"/>
  <c r="W531" i="3"/>
  <c r="W532" i="3"/>
  <c r="W533" i="3"/>
  <c r="W534" i="3"/>
  <c r="W535" i="3"/>
  <c r="W536" i="3"/>
  <c r="W537" i="3"/>
  <c r="W538" i="3"/>
  <c r="W539" i="3"/>
  <c r="W540" i="3"/>
  <c r="W541" i="3"/>
  <c r="W542" i="3"/>
  <c r="W543" i="3"/>
  <c r="W544" i="3"/>
  <c r="W545" i="3"/>
  <c r="W546" i="3"/>
  <c r="W547" i="3"/>
  <c r="W548" i="3"/>
  <c r="W549" i="3"/>
  <c r="W550" i="3"/>
  <c r="W551" i="3"/>
  <c r="W552" i="3"/>
  <c r="W553" i="3"/>
  <c r="W554" i="3"/>
  <c r="W555" i="3"/>
  <c r="W556" i="3"/>
  <c r="W557" i="3"/>
  <c r="W558" i="3"/>
  <c r="W559" i="3"/>
  <c r="W560" i="3"/>
  <c r="W561" i="3"/>
  <c r="W562" i="3"/>
  <c r="W563" i="3"/>
  <c r="W564" i="3"/>
  <c r="W565" i="3"/>
  <c r="W566" i="3"/>
  <c r="W567" i="3"/>
  <c r="W568" i="3"/>
  <c r="W569" i="3"/>
  <c r="W570" i="3"/>
  <c r="W571" i="3"/>
  <c r="W572" i="3"/>
  <c r="W573" i="3"/>
  <c r="W574" i="3"/>
  <c r="W575" i="3"/>
  <c r="W576" i="3"/>
  <c r="W577" i="3"/>
  <c r="W578" i="3"/>
  <c r="W579" i="3"/>
  <c r="W580" i="3"/>
  <c r="W581" i="3"/>
  <c r="W582" i="3"/>
  <c r="W583" i="3"/>
  <c r="W584" i="3"/>
  <c r="W585" i="3"/>
  <c r="W586" i="3"/>
  <c r="W587" i="3"/>
  <c r="W588" i="3"/>
  <c r="W589" i="3"/>
  <c r="W590" i="3"/>
  <c r="W591" i="3"/>
  <c r="W592" i="3"/>
  <c r="W593" i="3"/>
  <c r="W594" i="3"/>
  <c r="W595" i="3"/>
  <c r="W596" i="3"/>
  <c r="W597" i="3"/>
  <c r="W598" i="3"/>
  <c r="W599" i="3"/>
  <c r="W600" i="3"/>
  <c r="W601" i="3"/>
  <c r="W602" i="3"/>
  <c r="W603" i="3"/>
  <c r="W604" i="3"/>
  <c r="W605" i="3"/>
  <c r="W606" i="3"/>
  <c r="W607" i="3"/>
  <c r="W608" i="3"/>
  <c r="W609" i="3"/>
  <c r="W610" i="3"/>
  <c r="W611" i="3"/>
  <c r="W612" i="3"/>
  <c r="W613" i="3"/>
  <c r="W614" i="3"/>
  <c r="W615" i="3"/>
  <c r="W616" i="3"/>
  <c r="W617" i="3"/>
  <c r="W618" i="3"/>
  <c r="W619" i="3"/>
  <c r="W620" i="3"/>
  <c r="W621" i="3"/>
  <c r="W622" i="3"/>
  <c r="W623" i="3"/>
  <c r="W624" i="3"/>
  <c r="W625" i="3"/>
  <c r="W626" i="3"/>
  <c r="W627" i="3"/>
  <c r="W628" i="3"/>
  <c r="W629" i="3"/>
  <c r="W630" i="3"/>
  <c r="W631" i="3"/>
  <c r="W632" i="3"/>
  <c r="W633" i="3"/>
  <c r="W634" i="3"/>
  <c r="W635" i="3"/>
  <c r="W636" i="3"/>
  <c r="W637" i="3"/>
  <c r="W638" i="3"/>
  <c r="W639" i="3"/>
  <c r="W640" i="3"/>
  <c r="W641" i="3"/>
  <c r="W642" i="3"/>
  <c r="W643" i="3"/>
  <c r="W644" i="3"/>
  <c r="W645" i="3"/>
  <c r="W646" i="3"/>
  <c r="W647" i="3"/>
  <c r="W648" i="3"/>
  <c r="W649" i="3"/>
  <c r="W650" i="3"/>
  <c r="W651" i="3"/>
  <c r="W652" i="3"/>
  <c r="W653" i="3"/>
  <c r="W654" i="3"/>
  <c r="W655" i="3"/>
  <c r="W656" i="3"/>
  <c r="W657" i="3"/>
  <c r="W658" i="3"/>
  <c r="W659" i="3"/>
  <c r="W660" i="3"/>
  <c r="W661" i="3"/>
  <c r="W662" i="3"/>
  <c r="W663" i="3"/>
  <c r="W664" i="3"/>
  <c r="W665" i="3"/>
  <c r="W666" i="3"/>
  <c r="W667" i="3"/>
  <c r="W668" i="3"/>
  <c r="W669" i="3"/>
  <c r="W670" i="3"/>
  <c r="W671" i="3"/>
  <c r="W672" i="3"/>
  <c r="W673" i="3"/>
  <c r="W674" i="3"/>
  <c r="W675" i="3"/>
  <c r="W676" i="3"/>
  <c r="W677" i="3"/>
  <c r="W678" i="3"/>
  <c r="W679" i="3"/>
  <c r="W680" i="3"/>
  <c r="W681" i="3"/>
  <c r="W682" i="3"/>
  <c r="W683" i="3"/>
  <c r="W684" i="3"/>
  <c r="W685" i="3"/>
  <c r="W686" i="3"/>
  <c r="W687" i="3"/>
  <c r="W688" i="3"/>
  <c r="W689" i="3"/>
  <c r="W690" i="3"/>
  <c r="W691" i="3"/>
  <c r="W692" i="3"/>
  <c r="W693" i="3"/>
  <c r="W694" i="3"/>
  <c r="W695" i="3"/>
  <c r="W696" i="3"/>
  <c r="W697" i="3"/>
  <c r="W698" i="3"/>
  <c r="W699" i="3"/>
  <c r="W700" i="3"/>
  <c r="W701" i="3"/>
  <c r="W702" i="3"/>
  <c r="W703" i="3"/>
  <c r="W704" i="3"/>
  <c r="W705" i="3"/>
  <c r="W706" i="3"/>
  <c r="W707" i="3"/>
  <c r="W708" i="3"/>
  <c r="W709" i="3"/>
  <c r="W710" i="3"/>
  <c r="W711" i="3"/>
  <c r="W712" i="3"/>
  <c r="W713" i="3"/>
  <c r="W714" i="3"/>
  <c r="W715" i="3"/>
  <c r="W716" i="3"/>
  <c r="W717" i="3"/>
  <c r="W718" i="3"/>
  <c r="W719" i="3"/>
  <c r="W720" i="3"/>
  <c r="W721" i="3"/>
  <c r="W722" i="3"/>
  <c r="W723" i="3"/>
  <c r="W724" i="3"/>
  <c r="W725" i="3"/>
  <c r="W726" i="3"/>
  <c r="W727" i="3"/>
  <c r="W728" i="3"/>
  <c r="W729" i="3"/>
  <c r="W730" i="3"/>
  <c r="W731" i="3"/>
  <c r="W732" i="3"/>
  <c r="W733" i="3"/>
  <c r="W734" i="3"/>
  <c r="W735" i="3"/>
  <c r="W736" i="3"/>
  <c r="W737" i="3"/>
  <c r="W738" i="3"/>
  <c r="W739" i="3"/>
  <c r="W740" i="3"/>
  <c r="W741" i="3"/>
  <c r="W742" i="3"/>
  <c r="W743" i="3"/>
  <c r="W744" i="3"/>
  <c r="W745" i="3"/>
  <c r="W746" i="3"/>
  <c r="W747" i="3"/>
  <c r="W748" i="3"/>
  <c r="W749" i="3"/>
  <c r="W750" i="3"/>
  <c r="W751" i="3"/>
  <c r="W752" i="3"/>
  <c r="W753" i="3"/>
  <c r="W754" i="3"/>
  <c r="W755" i="3"/>
  <c r="W756" i="3"/>
  <c r="W757" i="3"/>
  <c r="W758" i="3"/>
  <c r="W759" i="3"/>
  <c r="W760" i="3"/>
  <c r="W761" i="3"/>
  <c r="W762" i="3"/>
  <c r="W763" i="3"/>
  <c r="W764" i="3"/>
  <c r="W765" i="3"/>
  <c r="W766" i="3"/>
  <c r="W767" i="3"/>
  <c r="W768" i="3"/>
  <c r="W769" i="3"/>
  <c r="W770" i="3"/>
  <c r="W771" i="3"/>
  <c r="W772" i="3"/>
  <c r="W773" i="3"/>
  <c r="W774" i="3"/>
  <c r="W775" i="3"/>
  <c r="W776" i="3"/>
  <c r="W777" i="3"/>
  <c r="W778" i="3"/>
  <c r="W779" i="3"/>
  <c r="W780" i="3"/>
  <c r="W781" i="3"/>
  <c r="W782" i="3"/>
  <c r="W783" i="3"/>
  <c r="W784" i="3"/>
  <c r="W785" i="3"/>
  <c r="W786" i="3"/>
  <c r="W787" i="3"/>
  <c r="W788" i="3"/>
  <c r="W789" i="3"/>
  <c r="W790" i="3"/>
  <c r="W791" i="3"/>
  <c r="W792" i="3"/>
  <c r="W793" i="3"/>
  <c r="W794" i="3"/>
  <c r="W795" i="3"/>
  <c r="W796" i="3"/>
  <c r="W797" i="3"/>
  <c r="W798" i="3"/>
  <c r="W799" i="3"/>
  <c r="W800" i="3"/>
  <c r="W801" i="3"/>
  <c r="W802" i="3"/>
  <c r="W803" i="3"/>
  <c r="W804" i="3"/>
  <c r="W805" i="3"/>
  <c r="W806" i="3"/>
  <c r="W807" i="3"/>
  <c r="W808" i="3"/>
  <c r="W809" i="3"/>
  <c r="W810" i="3"/>
  <c r="W811" i="3"/>
  <c r="W812" i="3"/>
  <c r="W813" i="3"/>
  <c r="W814" i="3"/>
  <c r="W815" i="3"/>
  <c r="W816" i="3"/>
  <c r="W817" i="3"/>
  <c r="W818" i="3"/>
  <c r="W819" i="3"/>
  <c r="W820" i="3"/>
  <c r="W821" i="3"/>
  <c r="W822" i="3"/>
  <c r="W823" i="3"/>
  <c r="W824" i="3"/>
  <c r="W825" i="3"/>
  <c r="W826" i="3"/>
  <c r="W827" i="3"/>
  <c r="W828" i="3"/>
  <c r="W829" i="3"/>
  <c r="W830" i="3"/>
  <c r="W831" i="3"/>
  <c r="W832" i="3"/>
  <c r="W833" i="3"/>
  <c r="W834" i="3"/>
  <c r="W835" i="3"/>
  <c r="W836" i="3"/>
  <c r="W837" i="3"/>
  <c r="W838" i="3"/>
  <c r="W839" i="3"/>
  <c r="W840" i="3"/>
  <c r="W841" i="3"/>
  <c r="W842" i="3"/>
  <c r="W843" i="3"/>
  <c r="W844" i="3"/>
  <c r="W845" i="3"/>
  <c r="W846" i="3"/>
  <c r="W847" i="3"/>
  <c r="W848" i="3"/>
  <c r="W849" i="3"/>
  <c r="W850" i="3"/>
  <c r="W851" i="3"/>
  <c r="W852" i="3"/>
  <c r="W853" i="3"/>
  <c r="W854" i="3"/>
  <c r="W855" i="3"/>
  <c r="W856" i="3"/>
  <c r="W857" i="3"/>
  <c r="W858" i="3"/>
  <c r="W859" i="3"/>
  <c r="W860" i="3"/>
  <c r="W861" i="3"/>
  <c r="W862" i="3"/>
  <c r="W863" i="3"/>
  <c r="W864" i="3"/>
  <c r="W865" i="3"/>
  <c r="W866" i="3"/>
  <c r="W867" i="3"/>
  <c r="W868" i="3"/>
  <c r="W869" i="3"/>
  <c r="W870" i="3"/>
  <c r="W871" i="3"/>
  <c r="W872" i="3"/>
  <c r="W873" i="3"/>
  <c r="W874" i="3"/>
  <c r="W875" i="3"/>
  <c r="W876" i="3"/>
  <c r="W877" i="3"/>
  <c r="W878" i="3"/>
  <c r="W879" i="3"/>
  <c r="W880" i="3"/>
  <c r="W881" i="3"/>
  <c r="W882" i="3"/>
  <c r="W883" i="3"/>
  <c r="W884" i="3"/>
  <c r="W885" i="3"/>
  <c r="W886" i="3"/>
  <c r="W887" i="3"/>
  <c r="W888" i="3"/>
  <c r="W889" i="3"/>
  <c r="W890" i="3"/>
  <c r="W891" i="3"/>
  <c r="W892" i="3"/>
  <c r="W893" i="3"/>
  <c r="W894" i="3"/>
  <c r="W895" i="3"/>
  <c r="W896" i="3"/>
  <c r="W897" i="3"/>
  <c r="W898" i="3"/>
  <c r="W899" i="3"/>
  <c r="W900" i="3"/>
  <c r="W901" i="3"/>
  <c r="W902" i="3"/>
  <c r="W903" i="3"/>
  <c r="W904" i="3"/>
  <c r="W905" i="3"/>
  <c r="W906" i="3"/>
  <c r="W907" i="3"/>
  <c r="W908" i="3"/>
  <c r="W909" i="3"/>
  <c r="W910" i="3"/>
  <c r="W911" i="3"/>
  <c r="W912" i="3"/>
  <c r="W913" i="3"/>
  <c r="W914" i="3"/>
  <c r="W915" i="3"/>
  <c r="W916" i="3"/>
  <c r="W917" i="3"/>
  <c r="W918" i="3"/>
  <c r="W919" i="3"/>
  <c r="W920" i="3"/>
  <c r="W921" i="3"/>
  <c r="W922" i="3"/>
  <c r="W923" i="3"/>
  <c r="W924" i="3"/>
  <c r="W925" i="3"/>
  <c r="W926" i="3"/>
  <c r="W927" i="3"/>
  <c r="W928" i="3"/>
  <c r="W929" i="3"/>
  <c r="W930" i="3"/>
  <c r="W931" i="3"/>
  <c r="W932" i="3"/>
  <c r="W933" i="3"/>
  <c r="W934" i="3"/>
  <c r="W935" i="3"/>
  <c r="W936" i="3"/>
  <c r="W937" i="3"/>
  <c r="W938" i="3"/>
  <c r="W939" i="3"/>
  <c r="W940" i="3"/>
  <c r="W941" i="3"/>
  <c r="W942" i="3"/>
  <c r="W943" i="3"/>
  <c r="W944" i="3"/>
  <c r="W945" i="3"/>
  <c r="W946" i="3"/>
  <c r="W947" i="3"/>
  <c r="W948" i="3"/>
  <c r="W949" i="3"/>
  <c r="W950" i="3"/>
  <c r="W951" i="3"/>
  <c r="W952" i="3"/>
  <c r="W953" i="3"/>
  <c r="W954" i="3"/>
  <c r="W955" i="3"/>
  <c r="W956" i="3"/>
  <c r="W957" i="3"/>
  <c r="W958" i="3"/>
  <c r="W959" i="3"/>
  <c r="W960" i="3"/>
  <c r="W961" i="3"/>
  <c r="W962" i="3"/>
  <c r="W963" i="3"/>
  <c r="W964" i="3"/>
  <c r="W965" i="3"/>
  <c r="W966" i="3"/>
  <c r="W967" i="3"/>
  <c r="W968" i="3"/>
  <c r="W969" i="3"/>
  <c r="W970" i="3"/>
  <c r="W971" i="3"/>
  <c r="W972" i="3"/>
  <c r="W973" i="3"/>
  <c r="W974" i="3"/>
  <c r="W975" i="3"/>
  <c r="W976" i="3"/>
  <c r="W977" i="3"/>
  <c r="W978" i="3"/>
  <c r="W979" i="3"/>
  <c r="W980" i="3"/>
  <c r="W981" i="3"/>
  <c r="W982" i="3"/>
  <c r="W983" i="3"/>
  <c r="W984" i="3"/>
  <c r="W985" i="3"/>
  <c r="W986" i="3"/>
  <c r="W987" i="3"/>
  <c r="W988" i="3"/>
  <c r="W989" i="3"/>
  <c r="W990" i="3"/>
  <c r="W991" i="3"/>
  <c r="W992" i="3"/>
  <c r="W993" i="3"/>
  <c r="W994" i="3"/>
  <c r="W995" i="3"/>
  <c r="W996" i="3"/>
  <c r="W997" i="3"/>
  <c r="W998" i="3"/>
  <c r="W999" i="3"/>
  <c r="W1000" i="3"/>
  <c r="W1001" i="3"/>
  <c r="A9" i="6" a="1"/>
  <c r="A9" i="6" s="1"/>
  <c r="G5" i="6"/>
  <c r="A5" i="6"/>
  <c r="H8" i="5"/>
  <c r="C25" i="5" s="1"/>
  <c r="D25" i="5" s="1"/>
  <c r="H17" i="5"/>
  <c r="C22" i="5" s="1"/>
  <c r="H16" i="5"/>
  <c r="H15" i="5"/>
  <c r="H14" i="5"/>
  <c r="H13" i="5"/>
  <c r="C26" i="5" s="1"/>
  <c r="D26" i="5" s="1"/>
  <c r="H12" i="5"/>
  <c r="C24" i="5" s="1"/>
  <c r="D24" i="5" s="1"/>
  <c r="H11" i="5"/>
  <c r="C23" i="5" s="1"/>
  <c r="D23" i="5" s="1"/>
  <c r="H10" i="5"/>
  <c r="H9" i="5"/>
  <c r="C9" i="5"/>
  <c r="C10" i="5"/>
  <c r="C11" i="5"/>
  <c r="C12" i="5"/>
  <c r="C8" i="5"/>
  <c r="L24" i="4"/>
  <c r="L25" i="4"/>
  <c r="L26" i="4"/>
  <c r="L27" i="4"/>
  <c r="K24" i="4"/>
  <c r="M24" i="4" s="1"/>
  <c r="K25" i="4"/>
  <c r="M25" i="4" s="1"/>
  <c r="K26" i="4"/>
  <c r="M26" i="4" s="1"/>
  <c r="K27" i="4"/>
  <c r="M27" i="4" s="1"/>
  <c r="K23" i="4"/>
  <c r="M23" i="4" s="1"/>
  <c r="J24" i="4"/>
  <c r="J25" i="4"/>
  <c r="J26" i="4"/>
  <c r="J27" i="4"/>
  <c r="J23" i="4"/>
  <c r="F24" i="4"/>
  <c r="F25" i="4"/>
  <c r="F26" i="4"/>
  <c r="F27" i="4"/>
  <c r="F28" i="4"/>
  <c r="F29" i="4"/>
  <c r="F30" i="4"/>
  <c r="F31" i="4"/>
  <c r="F32" i="4"/>
  <c r="F33" i="4"/>
  <c r="F34" i="4"/>
  <c r="E24" i="4"/>
  <c r="E25" i="4"/>
  <c r="E26" i="4"/>
  <c r="E27" i="4"/>
  <c r="E28" i="4"/>
  <c r="E29" i="4"/>
  <c r="E30" i="4"/>
  <c r="E31" i="4"/>
  <c r="E32" i="4"/>
  <c r="E33" i="4"/>
  <c r="E34" i="4"/>
  <c r="D24" i="4"/>
  <c r="D25" i="4"/>
  <c r="D27" i="4"/>
  <c r="D28" i="4"/>
  <c r="D29" i="4"/>
  <c r="D30" i="4"/>
  <c r="D31" i="4"/>
  <c r="D32" i="4"/>
  <c r="D33" i="4"/>
  <c r="D34" i="4"/>
  <c r="C24" i="4"/>
  <c r="C25" i="4"/>
  <c r="C26" i="4"/>
  <c r="C27" i="4"/>
  <c r="C28" i="4"/>
  <c r="C29" i="4"/>
  <c r="C30" i="4"/>
  <c r="C31" i="4"/>
  <c r="C32" i="4"/>
  <c r="C33" i="4"/>
  <c r="C34" i="4"/>
  <c r="B24" i="4" a="1"/>
  <c r="B24" i="4" s="1"/>
  <c r="B25" i="4" a="1"/>
  <c r="B25" i="4" s="1"/>
  <c r="B26" i="4" a="1"/>
  <c r="B26" i="4"/>
  <c r="B27" i="4" a="1"/>
  <c r="B27" i="4" s="1"/>
  <c r="B28" i="4" a="1"/>
  <c r="B28" i="4" s="1"/>
  <c r="B29" i="4" a="1"/>
  <c r="B29" i="4" s="1"/>
  <c r="B30" i="4" a="1"/>
  <c r="B30" i="4" s="1"/>
  <c r="B31" i="4" a="1"/>
  <c r="B31" i="4" s="1"/>
  <c r="B32" i="4" a="1"/>
  <c r="B32" i="4" s="1"/>
  <c r="B33" i="4" a="1"/>
  <c r="B33" i="4" s="1"/>
  <c r="B34" i="4" a="1"/>
  <c r="B34" i="4" s="1"/>
  <c r="F23" i="4"/>
  <c r="E23" i="4"/>
  <c r="D23" i="4"/>
  <c r="C23" i="4"/>
  <c r="B23" i="4" a="1"/>
  <c r="B23" i="4" s="1"/>
  <c r="R4" i="4"/>
  <c r="S4" i="4" s="1"/>
  <c r="R5" i="4"/>
  <c r="S5" i="4" s="1"/>
  <c r="R6" i="4"/>
  <c r="S6" i="4" s="1"/>
  <c r="R7" i="4"/>
  <c r="S7" i="4" s="1"/>
  <c r="R8" i="4"/>
  <c r="S8" i="4" s="1"/>
  <c r="R9" i="4"/>
  <c r="S9" i="4" s="1"/>
  <c r="R10" i="4"/>
  <c r="S10" i="4" s="1"/>
  <c r="R11" i="4"/>
  <c r="S11" i="4" s="1"/>
  <c r="R12" i="4"/>
  <c r="S12" i="4" s="1"/>
  <c r="Q4" i="4"/>
  <c r="Q5" i="4"/>
  <c r="Q6" i="4"/>
  <c r="Q7" i="4"/>
  <c r="Q8" i="4"/>
  <c r="Q9" i="4"/>
  <c r="Q10" i="4"/>
  <c r="Q11" i="4"/>
  <c r="Q12" i="4"/>
  <c r="P4" i="4" a="1"/>
  <c r="P4" i="4" s="1"/>
  <c r="P5" i="4" a="1"/>
  <c r="P5" i="4" s="1"/>
  <c r="P6" i="4" a="1"/>
  <c r="P6" i="4" s="1"/>
  <c r="P7" i="4" a="1"/>
  <c r="P7" i="4" s="1"/>
  <c r="P8" i="4" a="1"/>
  <c r="P8" i="4" s="1"/>
  <c r="P9" i="4" a="1"/>
  <c r="P9" i="4" s="1"/>
  <c r="P10" i="4" a="1"/>
  <c r="P10" i="4" s="1"/>
  <c r="P11" i="4" a="1"/>
  <c r="P11" i="4" s="1"/>
  <c r="P12" i="4" a="1"/>
  <c r="P12" i="4" s="1"/>
  <c r="R3" i="4"/>
  <c r="S3" i="4" s="1"/>
  <c r="P3" i="4" a="1"/>
  <c r="P3" i="4" s="1"/>
  <c r="L4" i="4"/>
  <c r="L5" i="4"/>
  <c r="L6" i="4"/>
  <c r="L7" i="4"/>
  <c r="L8" i="4"/>
  <c r="L9" i="4"/>
  <c r="L10" i="4"/>
  <c r="K4" i="4"/>
  <c r="K5" i="4"/>
  <c r="K6" i="4"/>
  <c r="K7" i="4"/>
  <c r="K8" i="4"/>
  <c r="K9" i="4"/>
  <c r="K10" i="4"/>
  <c r="J4" i="4"/>
  <c r="J5" i="4"/>
  <c r="J6" i="4"/>
  <c r="J7" i="4"/>
  <c r="J8" i="4"/>
  <c r="J10" i="4"/>
  <c r="I4" i="4"/>
  <c r="I5" i="4"/>
  <c r="I6" i="4"/>
  <c r="I7" i="4"/>
  <c r="I8" i="4"/>
  <c r="I9" i="4"/>
  <c r="I10" i="4"/>
  <c r="H4" i="4" a="1"/>
  <c r="H4" i="4" s="1"/>
  <c r="H5" i="4" a="1"/>
  <c r="H5" i="4" s="1"/>
  <c r="H6" i="4" a="1"/>
  <c r="H6" i="4" s="1"/>
  <c r="H7" i="4" a="1"/>
  <c r="H7" i="4" s="1"/>
  <c r="H8" i="4" a="1"/>
  <c r="H8" i="4" s="1"/>
  <c r="H9" i="4" a="1"/>
  <c r="H9" i="4" s="1"/>
  <c r="H10" i="4" a="1"/>
  <c r="H10" i="4" s="1"/>
  <c r="L3" i="4"/>
  <c r="K3" i="4"/>
  <c r="J3" i="4"/>
  <c r="I3" i="4"/>
  <c r="H3" i="4" a="1"/>
  <c r="H3" i="4" s="1"/>
  <c r="B18" i="4"/>
  <c r="B15" i="4" a="1"/>
  <c r="B15" i="4" s="1"/>
  <c r="B14" i="4"/>
  <c r="B13" i="4"/>
  <c r="B11" i="4"/>
  <c r="B10" i="4"/>
  <c r="B9" i="4"/>
  <c r="B8" i="4"/>
  <c r="B6" i="4"/>
  <c r="B5" i="4"/>
  <c r="B4" i="4"/>
  <c r="B17" i="4"/>
  <c r="B3" i="4"/>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55" i="3"/>
  <c r="O56" i="3"/>
  <c r="O57" i="3"/>
  <c r="O58" i="3"/>
  <c r="O59" i="3"/>
  <c r="O60" i="3"/>
  <c r="O61" i="3"/>
  <c r="O62" i="3"/>
  <c r="O63" i="3"/>
  <c r="O64" i="3"/>
  <c r="O65" i="3"/>
  <c r="O66" i="3"/>
  <c r="O67" i="3"/>
  <c r="O68" i="3"/>
  <c r="O69" i="3"/>
  <c r="O70" i="3"/>
  <c r="O71" i="3"/>
  <c r="O72" i="3"/>
  <c r="O73" i="3"/>
  <c r="O74" i="3"/>
  <c r="O75" i="3"/>
  <c r="O76" i="3"/>
  <c r="O77" i="3"/>
  <c r="O78" i="3"/>
  <c r="O79" i="3"/>
  <c r="O80" i="3"/>
  <c r="O81" i="3"/>
  <c r="O82" i="3"/>
  <c r="O83" i="3"/>
  <c r="O84" i="3"/>
  <c r="O85" i="3"/>
  <c r="O86" i="3"/>
  <c r="O87" i="3"/>
  <c r="O88" i="3"/>
  <c r="O89" i="3"/>
  <c r="O90" i="3"/>
  <c r="O91" i="3"/>
  <c r="O92" i="3"/>
  <c r="O93" i="3"/>
  <c r="O94" i="3"/>
  <c r="O95" i="3"/>
  <c r="O96" i="3"/>
  <c r="O97" i="3"/>
  <c r="O98" i="3"/>
  <c r="O99" i="3"/>
  <c r="O100" i="3"/>
  <c r="O101" i="3"/>
  <c r="O102" i="3"/>
  <c r="O103" i="3"/>
  <c r="O104" i="3"/>
  <c r="O105" i="3"/>
  <c r="O106" i="3"/>
  <c r="O107" i="3"/>
  <c r="O108" i="3"/>
  <c r="O109" i="3"/>
  <c r="O110" i="3"/>
  <c r="O111" i="3"/>
  <c r="O112" i="3"/>
  <c r="O113" i="3"/>
  <c r="O114" i="3"/>
  <c r="O115" i="3"/>
  <c r="O116" i="3"/>
  <c r="O117" i="3"/>
  <c r="O118" i="3"/>
  <c r="O119" i="3"/>
  <c r="O120" i="3"/>
  <c r="O121" i="3"/>
  <c r="O122" i="3"/>
  <c r="O123" i="3"/>
  <c r="O124" i="3"/>
  <c r="O125" i="3"/>
  <c r="O126" i="3"/>
  <c r="O127" i="3"/>
  <c r="O128" i="3"/>
  <c r="O129" i="3"/>
  <c r="O130" i="3"/>
  <c r="O131" i="3"/>
  <c r="O132" i="3"/>
  <c r="O133" i="3"/>
  <c r="O134" i="3"/>
  <c r="O135" i="3"/>
  <c r="O136" i="3"/>
  <c r="O137" i="3"/>
  <c r="O138" i="3"/>
  <c r="O139" i="3"/>
  <c r="O140" i="3"/>
  <c r="O141" i="3"/>
  <c r="O142" i="3"/>
  <c r="O143" i="3"/>
  <c r="O144" i="3"/>
  <c r="O145" i="3"/>
  <c r="O146" i="3"/>
  <c r="O147" i="3"/>
  <c r="O148" i="3"/>
  <c r="O149" i="3"/>
  <c r="O150" i="3"/>
  <c r="O151" i="3"/>
  <c r="O152" i="3"/>
  <c r="O153" i="3"/>
  <c r="O154" i="3"/>
  <c r="O155" i="3"/>
  <c r="O156" i="3"/>
  <c r="O157" i="3"/>
  <c r="O158" i="3"/>
  <c r="O159" i="3"/>
  <c r="O160" i="3"/>
  <c r="O161" i="3"/>
  <c r="O162" i="3"/>
  <c r="O163" i="3"/>
  <c r="O164" i="3"/>
  <c r="O165" i="3"/>
  <c r="O166" i="3"/>
  <c r="O167" i="3"/>
  <c r="O168" i="3"/>
  <c r="O169" i="3"/>
  <c r="O170" i="3"/>
  <c r="O171" i="3"/>
  <c r="O172" i="3"/>
  <c r="O173" i="3"/>
  <c r="O174" i="3"/>
  <c r="O175" i="3"/>
  <c r="O176" i="3"/>
  <c r="O177" i="3"/>
  <c r="O178" i="3"/>
  <c r="O179" i="3"/>
  <c r="O180" i="3"/>
  <c r="O181" i="3"/>
  <c r="O182" i="3"/>
  <c r="O183" i="3"/>
  <c r="O184"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O243" i="3"/>
  <c r="O244" i="3"/>
  <c r="O245" i="3"/>
  <c r="O246" i="3"/>
  <c r="O247" i="3"/>
  <c r="O248" i="3"/>
  <c r="O249" i="3"/>
  <c r="O250" i="3"/>
  <c r="O251" i="3"/>
  <c r="O252" i="3"/>
  <c r="O253" i="3"/>
  <c r="O254" i="3"/>
  <c r="O255" i="3"/>
  <c r="O256" i="3"/>
  <c r="O257" i="3"/>
  <c r="O258" i="3"/>
  <c r="O259" i="3"/>
  <c r="O260" i="3"/>
  <c r="O261" i="3"/>
  <c r="O262" i="3"/>
  <c r="O263" i="3"/>
  <c r="O264" i="3"/>
  <c r="O265" i="3"/>
  <c r="O266" i="3"/>
  <c r="O267" i="3"/>
  <c r="O268" i="3"/>
  <c r="O269" i="3"/>
  <c r="O270" i="3"/>
  <c r="O271" i="3"/>
  <c r="O272" i="3"/>
  <c r="O273" i="3"/>
  <c r="O274" i="3"/>
  <c r="O275" i="3"/>
  <c r="O276" i="3"/>
  <c r="O277" i="3"/>
  <c r="O278" i="3"/>
  <c r="O279" i="3"/>
  <c r="O280" i="3"/>
  <c r="O281" i="3"/>
  <c r="O282" i="3"/>
  <c r="O283" i="3"/>
  <c r="O284" i="3"/>
  <c r="O285" i="3"/>
  <c r="O286" i="3"/>
  <c r="O287" i="3"/>
  <c r="O288" i="3"/>
  <c r="O289" i="3"/>
  <c r="O290" i="3"/>
  <c r="O291" i="3"/>
  <c r="O292" i="3"/>
  <c r="O293" i="3"/>
  <c r="O294" i="3"/>
  <c r="O295" i="3"/>
  <c r="O296" i="3"/>
  <c r="O297" i="3"/>
  <c r="O298" i="3"/>
  <c r="O299" i="3"/>
  <c r="O300" i="3"/>
  <c r="O301" i="3"/>
  <c r="O302" i="3"/>
  <c r="O303" i="3"/>
  <c r="O304" i="3"/>
  <c r="O305" i="3"/>
  <c r="O306" i="3"/>
  <c r="O307" i="3"/>
  <c r="O308" i="3"/>
  <c r="O309" i="3"/>
  <c r="O310" i="3"/>
  <c r="O311" i="3"/>
  <c r="O312" i="3"/>
  <c r="O313" i="3"/>
  <c r="O314" i="3"/>
  <c r="O315" i="3"/>
  <c r="O316" i="3"/>
  <c r="O317" i="3"/>
  <c r="O318" i="3"/>
  <c r="O319" i="3"/>
  <c r="O320" i="3"/>
  <c r="O321" i="3"/>
  <c r="O322" i="3"/>
  <c r="O323" i="3"/>
  <c r="O324" i="3"/>
  <c r="O325" i="3"/>
  <c r="O326" i="3"/>
  <c r="O327" i="3"/>
  <c r="O328" i="3"/>
  <c r="O329" i="3"/>
  <c r="O330" i="3"/>
  <c r="O331" i="3"/>
  <c r="O332" i="3"/>
  <c r="O333" i="3"/>
  <c r="O334" i="3"/>
  <c r="O335" i="3"/>
  <c r="O336" i="3"/>
  <c r="O337" i="3"/>
  <c r="O338" i="3"/>
  <c r="O339" i="3"/>
  <c r="O340" i="3"/>
  <c r="O341" i="3"/>
  <c r="O342" i="3"/>
  <c r="O343" i="3"/>
  <c r="O344" i="3"/>
  <c r="O345" i="3"/>
  <c r="O346" i="3"/>
  <c r="O347" i="3"/>
  <c r="O348" i="3"/>
  <c r="O349" i="3"/>
  <c r="O350" i="3"/>
  <c r="O351" i="3"/>
  <c r="O352" i="3"/>
  <c r="O353" i="3"/>
  <c r="O354" i="3"/>
  <c r="O355" i="3"/>
  <c r="O356" i="3"/>
  <c r="O357" i="3"/>
  <c r="O358" i="3"/>
  <c r="O359" i="3"/>
  <c r="O360" i="3"/>
  <c r="O361" i="3"/>
  <c r="O362" i="3"/>
  <c r="O363" i="3"/>
  <c r="O364" i="3"/>
  <c r="O365" i="3"/>
  <c r="O366" i="3"/>
  <c r="O367" i="3"/>
  <c r="O368" i="3"/>
  <c r="O369" i="3"/>
  <c r="O370" i="3"/>
  <c r="O371" i="3"/>
  <c r="O372" i="3"/>
  <c r="O373" i="3"/>
  <c r="O374" i="3"/>
  <c r="O375" i="3"/>
  <c r="O376" i="3"/>
  <c r="O377" i="3"/>
  <c r="O378" i="3"/>
  <c r="O379" i="3"/>
  <c r="O380" i="3"/>
  <c r="O381" i="3"/>
  <c r="O382" i="3"/>
  <c r="O383" i="3"/>
  <c r="O384" i="3"/>
  <c r="O385" i="3"/>
  <c r="O386" i="3"/>
  <c r="O387" i="3"/>
  <c r="O388" i="3"/>
  <c r="O389" i="3"/>
  <c r="O390" i="3"/>
  <c r="O391" i="3"/>
  <c r="O392" i="3"/>
  <c r="O393" i="3"/>
  <c r="O394" i="3"/>
  <c r="O395" i="3"/>
  <c r="O396" i="3"/>
  <c r="O397" i="3"/>
  <c r="O398" i="3"/>
  <c r="O399" i="3"/>
  <c r="O400" i="3"/>
  <c r="O401" i="3"/>
  <c r="O402" i="3"/>
  <c r="O403" i="3"/>
  <c r="O404" i="3"/>
  <c r="O405" i="3"/>
  <c r="O406" i="3"/>
  <c r="O407" i="3"/>
  <c r="O408" i="3"/>
  <c r="O409" i="3"/>
  <c r="O410" i="3"/>
  <c r="O411" i="3"/>
  <c r="O412" i="3"/>
  <c r="O413" i="3"/>
  <c r="O414" i="3"/>
  <c r="O415" i="3"/>
  <c r="O416" i="3"/>
  <c r="O417" i="3"/>
  <c r="O418" i="3"/>
  <c r="O419" i="3"/>
  <c r="O420" i="3"/>
  <c r="O421" i="3"/>
  <c r="O422" i="3"/>
  <c r="O423" i="3"/>
  <c r="O424" i="3"/>
  <c r="O425" i="3"/>
  <c r="O426" i="3"/>
  <c r="O427" i="3"/>
  <c r="O428" i="3"/>
  <c r="O429" i="3"/>
  <c r="O430" i="3"/>
  <c r="O431" i="3"/>
  <c r="O432" i="3"/>
  <c r="O433" i="3"/>
  <c r="O434" i="3"/>
  <c r="O435" i="3"/>
  <c r="O436" i="3"/>
  <c r="O437" i="3"/>
  <c r="O438" i="3"/>
  <c r="O439" i="3"/>
  <c r="O440" i="3"/>
  <c r="O441" i="3"/>
  <c r="O442" i="3"/>
  <c r="O443" i="3"/>
  <c r="O444" i="3"/>
  <c r="O445" i="3"/>
  <c r="O446" i="3"/>
  <c r="O447" i="3"/>
  <c r="O448" i="3"/>
  <c r="O449" i="3"/>
  <c r="O450" i="3"/>
  <c r="O451" i="3"/>
  <c r="O452" i="3"/>
  <c r="O453" i="3"/>
  <c r="O454" i="3"/>
  <c r="O455" i="3"/>
  <c r="O456" i="3"/>
  <c r="O457" i="3"/>
  <c r="O458" i="3"/>
  <c r="O459" i="3"/>
  <c r="O460" i="3"/>
  <c r="O461" i="3"/>
  <c r="O462" i="3"/>
  <c r="O463" i="3"/>
  <c r="O464" i="3"/>
  <c r="O465" i="3"/>
  <c r="O466" i="3"/>
  <c r="O467" i="3"/>
  <c r="O468" i="3"/>
  <c r="O469" i="3"/>
  <c r="O470" i="3"/>
  <c r="O471" i="3"/>
  <c r="O472" i="3"/>
  <c r="O473" i="3"/>
  <c r="O474" i="3"/>
  <c r="O475" i="3"/>
  <c r="O476" i="3"/>
  <c r="O477" i="3"/>
  <c r="O478" i="3"/>
  <c r="O479" i="3"/>
  <c r="O480" i="3"/>
  <c r="O481" i="3"/>
  <c r="O482" i="3"/>
  <c r="O483" i="3"/>
  <c r="O484" i="3"/>
  <c r="O485" i="3"/>
  <c r="O486" i="3"/>
  <c r="O487" i="3"/>
  <c r="O488" i="3"/>
  <c r="O489" i="3"/>
  <c r="O490" i="3"/>
  <c r="O491" i="3"/>
  <c r="O492" i="3"/>
  <c r="O493" i="3"/>
  <c r="O494" i="3"/>
  <c r="O495" i="3"/>
  <c r="O496" i="3"/>
  <c r="O497" i="3"/>
  <c r="O498" i="3"/>
  <c r="O499" i="3"/>
  <c r="O500" i="3"/>
  <c r="O501" i="3"/>
  <c r="O502" i="3"/>
  <c r="O503" i="3"/>
  <c r="O504" i="3"/>
  <c r="O505" i="3"/>
  <c r="O506" i="3"/>
  <c r="O507" i="3"/>
  <c r="O508" i="3"/>
  <c r="O509" i="3"/>
  <c r="O510" i="3"/>
  <c r="O511" i="3"/>
  <c r="O512" i="3"/>
  <c r="O513" i="3"/>
  <c r="O514" i="3"/>
  <c r="O515" i="3"/>
  <c r="O516" i="3"/>
  <c r="O517" i="3"/>
  <c r="O518" i="3"/>
  <c r="O519" i="3"/>
  <c r="O520" i="3"/>
  <c r="O521" i="3"/>
  <c r="O522" i="3"/>
  <c r="O523" i="3"/>
  <c r="O524" i="3"/>
  <c r="O525" i="3"/>
  <c r="O526" i="3"/>
  <c r="O527" i="3"/>
  <c r="O528" i="3"/>
  <c r="O529" i="3"/>
  <c r="O530" i="3"/>
  <c r="O531" i="3"/>
  <c r="O532" i="3"/>
  <c r="O533" i="3"/>
  <c r="O534" i="3"/>
  <c r="O535" i="3"/>
  <c r="O536" i="3"/>
  <c r="O537" i="3"/>
  <c r="O538" i="3"/>
  <c r="O539" i="3"/>
  <c r="O540" i="3"/>
  <c r="O541" i="3"/>
  <c r="O542" i="3"/>
  <c r="O543" i="3"/>
  <c r="O544" i="3"/>
  <c r="O545" i="3"/>
  <c r="O546" i="3"/>
  <c r="O547" i="3"/>
  <c r="O548" i="3"/>
  <c r="O549" i="3"/>
  <c r="O550" i="3"/>
  <c r="O551" i="3"/>
  <c r="O552" i="3"/>
  <c r="O553" i="3"/>
  <c r="O554" i="3"/>
  <c r="O555" i="3"/>
  <c r="O556" i="3"/>
  <c r="O557" i="3"/>
  <c r="O558" i="3"/>
  <c r="O559" i="3"/>
  <c r="O560" i="3"/>
  <c r="O561" i="3"/>
  <c r="O562" i="3"/>
  <c r="O563" i="3"/>
  <c r="O564" i="3"/>
  <c r="O565" i="3"/>
  <c r="O566" i="3"/>
  <c r="O567" i="3"/>
  <c r="O568" i="3"/>
  <c r="O569" i="3"/>
  <c r="O570" i="3"/>
  <c r="O571" i="3"/>
  <c r="O572" i="3"/>
  <c r="O573" i="3"/>
  <c r="O574" i="3"/>
  <c r="O575" i="3"/>
  <c r="O576" i="3"/>
  <c r="O577" i="3"/>
  <c r="O578" i="3"/>
  <c r="O579" i="3"/>
  <c r="O580" i="3"/>
  <c r="O581" i="3"/>
  <c r="O582" i="3"/>
  <c r="O583" i="3"/>
  <c r="O584" i="3"/>
  <c r="O585" i="3"/>
  <c r="O586" i="3"/>
  <c r="O587" i="3"/>
  <c r="O588" i="3"/>
  <c r="O589" i="3"/>
  <c r="O590" i="3"/>
  <c r="O591" i="3"/>
  <c r="O592" i="3"/>
  <c r="O593" i="3"/>
  <c r="O594" i="3"/>
  <c r="O595" i="3"/>
  <c r="O596" i="3"/>
  <c r="O597" i="3"/>
  <c r="O598" i="3"/>
  <c r="O599" i="3"/>
  <c r="O600" i="3"/>
  <c r="O601" i="3"/>
  <c r="O602" i="3"/>
  <c r="O603" i="3"/>
  <c r="O604" i="3"/>
  <c r="O605" i="3"/>
  <c r="O606" i="3"/>
  <c r="O607" i="3"/>
  <c r="O608" i="3"/>
  <c r="O609" i="3"/>
  <c r="O610" i="3"/>
  <c r="O611" i="3"/>
  <c r="O612" i="3"/>
  <c r="O613" i="3"/>
  <c r="O614" i="3"/>
  <c r="O615" i="3"/>
  <c r="O616" i="3"/>
  <c r="O617" i="3"/>
  <c r="O618" i="3"/>
  <c r="O619" i="3"/>
  <c r="O620" i="3"/>
  <c r="O621" i="3"/>
  <c r="O622" i="3"/>
  <c r="O623" i="3"/>
  <c r="O624" i="3"/>
  <c r="O625" i="3"/>
  <c r="O626" i="3"/>
  <c r="O627" i="3"/>
  <c r="O628" i="3"/>
  <c r="O629" i="3"/>
  <c r="O630" i="3"/>
  <c r="O631" i="3"/>
  <c r="O632" i="3"/>
  <c r="O633" i="3"/>
  <c r="O634" i="3"/>
  <c r="O635" i="3"/>
  <c r="O636" i="3"/>
  <c r="O637" i="3"/>
  <c r="O638" i="3"/>
  <c r="O639" i="3"/>
  <c r="O640" i="3"/>
  <c r="O641" i="3"/>
  <c r="O642" i="3"/>
  <c r="O643" i="3"/>
  <c r="O644" i="3"/>
  <c r="O645" i="3"/>
  <c r="O646" i="3"/>
  <c r="O647" i="3"/>
  <c r="O648" i="3"/>
  <c r="O649" i="3"/>
  <c r="O650" i="3"/>
  <c r="O651" i="3"/>
  <c r="O652" i="3"/>
  <c r="O653" i="3"/>
  <c r="O654" i="3"/>
  <c r="O655" i="3"/>
  <c r="O656" i="3"/>
  <c r="O657" i="3"/>
  <c r="O658" i="3"/>
  <c r="O659" i="3"/>
  <c r="O660" i="3"/>
  <c r="O661" i="3"/>
  <c r="O662" i="3"/>
  <c r="O663" i="3"/>
  <c r="O664" i="3"/>
  <c r="O665" i="3"/>
  <c r="O666" i="3"/>
  <c r="O667" i="3"/>
  <c r="O668" i="3"/>
  <c r="O669" i="3"/>
  <c r="O670" i="3"/>
  <c r="O671" i="3"/>
  <c r="O672" i="3"/>
  <c r="O673" i="3"/>
  <c r="O674" i="3"/>
  <c r="O675" i="3"/>
  <c r="O676" i="3"/>
  <c r="O677" i="3"/>
  <c r="O678" i="3"/>
  <c r="O679" i="3"/>
  <c r="O680" i="3"/>
  <c r="O681" i="3"/>
  <c r="O682" i="3"/>
  <c r="O683" i="3"/>
  <c r="O684" i="3"/>
  <c r="O685" i="3"/>
  <c r="O686" i="3"/>
  <c r="O687" i="3"/>
  <c r="O688" i="3"/>
  <c r="O689" i="3"/>
  <c r="O690" i="3"/>
  <c r="O691" i="3"/>
  <c r="O692" i="3"/>
  <c r="O693" i="3"/>
  <c r="O694" i="3"/>
  <c r="O695" i="3"/>
  <c r="O696" i="3"/>
  <c r="O697" i="3"/>
  <c r="O698" i="3"/>
  <c r="O699" i="3"/>
  <c r="O700" i="3"/>
  <c r="O701" i="3"/>
  <c r="O702" i="3"/>
  <c r="O703" i="3"/>
  <c r="O704" i="3"/>
  <c r="O705" i="3"/>
  <c r="O706" i="3"/>
  <c r="O707" i="3"/>
  <c r="O708" i="3"/>
  <c r="O709" i="3"/>
  <c r="O710" i="3"/>
  <c r="O711" i="3"/>
  <c r="O712" i="3"/>
  <c r="O713" i="3"/>
  <c r="O714" i="3"/>
  <c r="O715" i="3"/>
  <c r="O716" i="3"/>
  <c r="O717" i="3"/>
  <c r="O718" i="3"/>
  <c r="O719" i="3"/>
  <c r="O720" i="3"/>
  <c r="O721" i="3"/>
  <c r="O722" i="3"/>
  <c r="O723" i="3"/>
  <c r="O724" i="3"/>
  <c r="O725" i="3"/>
  <c r="O726" i="3"/>
  <c r="O727" i="3"/>
  <c r="O728" i="3"/>
  <c r="O729" i="3"/>
  <c r="O730" i="3"/>
  <c r="O731" i="3"/>
  <c r="O732" i="3"/>
  <c r="O733" i="3"/>
  <c r="O734" i="3"/>
  <c r="O735" i="3"/>
  <c r="O736" i="3"/>
  <c r="O737" i="3"/>
  <c r="O738" i="3"/>
  <c r="O739" i="3"/>
  <c r="O740" i="3"/>
  <c r="O741" i="3"/>
  <c r="O742" i="3"/>
  <c r="O743" i="3"/>
  <c r="O744" i="3"/>
  <c r="O745" i="3"/>
  <c r="O746" i="3"/>
  <c r="O747" i="3"/>
  <c r="O748" i="3"/>
  <c r="O749" i="3"/>
  <c r="O750" i="3"/>
  <c r="O751" i="3"/>
  <c r="O752" i="3"/>
  <c r="O753" i="3"/>
  <c r="O754" i="3"/>
  <c r="O755" i="3"/>
  <c r="O756" i="3"/>
  <c r="O757" i="3"/>
  <c r="O758" i="3"/>
  <c r="O759" i="3"/>
  <c r="O760" i="3"/>
  <c r="O761" i="3"/>
  <c r="O762" i="3"/>
  <c r="O763" i="3"/>
  <c r="O764" i="3"/>
  <c r="O765" i="3"/>
  <c r="O766" i="3"/>
  <c r="O767" i="3"/>
  <c r="O768" i="3"/>
  <c r="O769" i="3"/>
  <c r="O770" i="3"/>
  <c r="O771" i="3"/>
  <c r="O772" i="3"/>
  <c r="O773" i="3"/>
  <c r="O774" i="3"/>
  <c r="O775" i="3"/>
  <c r="O776" i="3"/>
  <c r="O777" i="3"/>
  <c r="O778" i="3"/>
  <c r="O779" i="3"/>
  <c r="O780" i="3"/>
  <c r="O781" i="3"/>
  <c r="O782" i="3"/>
  <c r="O783" i="3"/>
  <c r="O784" i="3"/>
  <c r="O785" i="3"/>
  <c r="O786" i="3"/>
  <c r="O787" i="3"/>
  <c r="O788" i="3"/>
  <c r="O789" i="3"/>
  <c r="O790" i="3"/>
  <c r="O791" i="3"/>
  <c r="O792" i="3"/>
  <c r="O793" i="3"/>
  <c r="O794" i="3"/>
  <c r="O795" i="3"/>
  <c r="O796" i="3"/>
  <c r="O797" i="3"/>
  <c r="O798" i="3"/>
  <c r="O799" i="3"/>
  <c r="O800" i="3"/>
  <c r="O801" i="3"/>
  <c r="O802" i="3"/>
  <c r="O803" i="3"/>
  <c r="O804" i="3"/>
  <c r="O805" i="3"/>
  <c r="O806" i="3"/>
  <c r="O807" i="3"/>
  <c r="O808" i="3"/>
  <c r="O809" i="3"/>
  <c r="O810" i="3"/>
  <c r="O811" i="3"/>
  <c r="O812" i="3"/>
  <c r="O813" i="3"/>
  <c r="O814" i="3"/>
  <c r="O815" i="3"/>
  <c r="O816" i="3"/>
  <c r="O817" i="3"/>
  <c r="O818" i="3"/>
  <c r="O819" i="3"/>
  <c r="O820" i="3"/>
  <c r="O821" i="3"/>
  <c r="O822" i="3"/>
  <c r="O823" i="3"/>
  <c r="O824" i="3"/>
  <c r="O825" i="3"/>
  <c r="O826" i="3"/>
  <c r="O827" i="3"/>
  <c r="O828" i="3"/>
  <c r="O829" i="3"/>
  <c r="O830" i="3"/>
  <c r="O831" i="3"/>
  <c r="O832" i="3"/>
  <c r="O833" i="3"/>
  <c r="O834" i="3"/>
  <c r="O835" i="3"/>
  <c r="O836" i="3"/>
  <c r="O837" i="3"/>
  <c r="O838" i="3"/>
  <c r="O839" i="3"/>
  <c r="O840" i="3"/>
  <c r="O841" i="3"/>
  <c r="O842" i="3"/>
  <c r="O843" i="3"/>
  <c r="O844" i="3"/>
  <c r="O845" i="3"/>
  <c r="O846" i="3"/>
  <c r="O847" i="3"/>
  <c r="O848" i="3"/>
  <c r="O849" i="3"/>
  <c r="O850" i="3"/>
  <c r="O851" i="3"/>
  <c r="O852" i="3"/>
  <c r="O853" i="3"/>
  <c r="O854" i="3"/>
  <c r="O855" i="3"/>
  <c r="O856" i="3"/>
  <c r="O857" i="3"/>
  <c r="O858" i="3"/>
  <c r="O859" i="3"/>
  <c r="O860" i="3"/>
  <c r="O861" i="3"/>
  <c r="O862" i="3"/>
  <c r="O863" i="3"/>
  <c r="O864" i="3"/>
  <c r="O865" i="3"/>
  <c r="O866" i="3"/>
  <c r="O867" i="3"/>
  <c r="O868" i="3"/>
  <c r="O869" i="3"/>
  <c r="O870" i="3"/>
  <c r="O871" i="3"/>
  <c r="O872" i="3"/>
  <c r="O873" i="3"/>
  <c r="O874" i="3"/>
  <c r="O875" i="3"/>
  <c r="O876" i="3"/>
  <c r="O877" i="3"/>
  <c r="O878" i="3"/>
  <c r="O879" i="3"/>
  <c r="O880" i="3"/>
  <c r="O881" i="3"/>
  <c r="O882" i="3"/>
  <c r="O883" i="3"/>
  <c r="O884" i="3"/>
  <c r="O885" i="3"/>
  <c r="O886" i="3"/>
  <c r="O887" i="3"/>
  <c r="O888" i="3"/>
  <c r="O889" i="3"/>
  <c r="O890" i="3"/>
  <c r="O891" i="3"/>
  <c r="O892" i="3"/>
  <c r="O893" i="3"/>
  <c r="O894" i="3"/>
  <c r="O895" i="3"/>
  <c r="O896" i="3"/>
  <c r="O897" i="3"/>
  <c r="O898" i="3"/>
  <c r="O899" i="3"/>
  <c r="O900" i="3"/>
  <c r="O901" i="3"/>
  <c r="O902" i="3"/>
  <c r="O903" i="3"/>
  <c r="O904" i="3"/>
  <c r="O905" i="3"/>
  <c r="O906" i="3"/>
  <c r="O907" i="3"/>
  <c r="O908" i="3"/>
  <c r="O909" i="3"/>
  <c r="O910" i="3"/>
  <c r="O911" i="3"/>
  <c r="O912" i="3"/>
  <c r="O913" i="3"/>
  <c r="O914" i="3"/>
  <c r="O915" i="3"/>
  <c r="O916" i="3"/>
  <c r="O917" i="3"/>
  <c r="O918" i="3"/>
  <c r="O919" i="3"/>
  <c r="O920" i="3"/>
  <c r="O921" i="3"/>
  <c r="O922" i="3"/>
  <c r="O923" i="3"/>
  <c r="O924" i="3"/>
  <c r="O925" i="3"/>
  <c r="O926" i="3"/>
  <c r="O927" i="3"/>
  <c r="O928" i="3"/>
  <c r="O929" i="3"/>
  <c r="O930" i="3"/>
  <c r="O931" i="3"/>
  <c r="O932" i="3"/>
  <c r="O933" i="3"/>
  <c r="O934" i="3"/>
  <c r="O935" i="3"/>
  <c r="O936" i="3"/>
  <c r="O937" i="3"/>
  <c r="O938" i="3"/>
  <c r="O939" i="3"/>
  <c r="O940" i="3"/>
  <c r="O941" i="3"/>
  <c r="O942" i="3"/>
  <c r="O943" i="3"/>
  <c r="O944" i="3"/>
  <c r="O945" i="3"/>
  <c r="O946" i="3"/>
  <c r="O947" i="3"/>
  <c r="O948" i="3"/>
  <c r="O949" i="3"/>
  <c r="O950" i="3"/>
  <c r="O951" i="3"/>
  <c r="O952" i="3"/>
  <c r="O953" i="3"/>
  <c r="O954" i="3"/>
  <c r="O955" i="3"/>
  <c r="O956" i="3"/>
  <c r="O957" i="3"/>
  <c r="O958" i="3"/>
  <c r="O959" i="3"/>
  <c r="O960" i="3"/>
  <c r="O961" i="3"/>
  <c r="O962" i="3"/>
  <c r="O963" i="3"/>
  <c r="O964" i="3"/>
  <c r="O965" i="3"/>
  <c r="O966" i="3"/>
  <c r="O967" i="3"/>
  <c r="O968" i="3"/>
  <c r="O969" i="3"/>
  <c r="O970" i="3"/>
  <c r="O971" i="3"/>
  <c r="O972" i="3"/>
  <c r="O973" i="3"/>
  <c r="O974" i="3"/>
  <c r="O975" i="3"/>
  <c r="O976" i="3"/>
  <c r="O977" i="3"/>
  <c r="O978" i="3"/>
  <c r="O979" i="3"/>
  <c r="O980" i="3"/>
  <c r="O981" i="3"/>
  <c r="O982" i="3"/>
  <c r="O983" i="3"/>
  <c r="O984" i="3"/>
  <c r="O985" i="3"/>
  <c r="O986" i="3"/>
  <c r="O987" i="3"/>
  <c r="O988" i="3"/>
  <c r="O989" i="3"/>
  <c r="O990" i="3"/>
  <c r="O991" i="3"/>
  <c r="O992" i="3"/>
  <c r="O993" i="3"/>
  <c r="O994" i="3"/>
  <c r="O995" i="3"/>
  <c r="O996" i="3"/>
  <c r="O997" i="3"/>
  <c r="O998" i="3"/>
  <c r="O999" i="3"/>
  <c r="O1000" i="3"/>
  <c r="O1001"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251" i="3"/>
  <c r="V252" i="3"/>
  <c r="V253" i="3"/>
  <c r="V254" i="3"/>
  <c r="V255" i="3"/>
  <c r="V256" i="3"/>
  <c r="V257" i="3"/>
  <c r="V258" i="3"/>
  <c r="V259" i="3"/>
  <c r="V260" i="3"/>
  <c r="V261" i="3"/>
  <c r="V262" i="3"/>
  <c r="V263" i="3"/>
  <c r="V264" i="3"/>
  <c r="V265" i="3"/>
  <c r="V266" i="3"/>
  <c r="V267" i="3"/>
  <c r="V268" i="3"/>
  <c r="V269" i="3"/>
  <c r="V270" i="3"/>
  <c r="V271" i="3"/>
  <c r="V272" i="3"/>
  <c r="V273" i="3"/>
  <c r="V274" i="3"/>
  <c r="V275" i="3"/>
  <c r="V276" i="3"/>
  <c r="V277" i="3"/>
  <c r="V278" i="3"/>
  <c r="V279" i="3"/>
  <c r="V280" i="3"/>
  <c r="V281" i="3"/>
  <c r="V282" i="3"/>
  <c r="V283" i="3"/>
  <c r="V284" i="3"/>
  <c r="V285" i="3"/>
  <c r="V286" i="3"/>
  <c r="V287" i="3"/>
  <c r="V288" i="3"/>
  <c r="V289" i="3"/>
  <c r="V290" i="3"/>
  <c r="V291" i="3"/>
  <c r="V292" i="3"/>
  <c r="V293" i="3"/>
  <c r="V294" i="3"/>
  <c r="V295" i="3"/>
  <c r="V296" i="3"/>
  <c r="V297" i="3"/>
  <c r="V298" i="3"/>
  <c r="V299" i="3"/>
  <c r="V300" i="3"/>
  <c r="V301" i="3"/>
  <c r="V302" i="3"/>
  <c r="V303" i="3"/>
  <c r="V304" i="3"/>
  <c r="V305" i="3"/>
  <c r="V306" i="3"/>
  <c r="V307" i="3"/>
  <c r="V308" i="3"/>
  <c r="V309" i="3"/>
  <c r="V310" i="3"/>
  <c r="V311" i="3"/>
  <c r="V312" i="3"/>
  <c r="V313" i="3"/>
  <c r="V314" i="3"/>
  <c r="V315" i="3"/>
  <c r="V316" i="3"/>
  <c r="V317" i="3"/>
  <c r="V318" i="3"/>
  <c r="V319" i="3"/>
  <c r="V320" i="3"/>
  <c r="V321" i="3"/>
  <c r="V322" i="3"/>
  <c r="V323" i="3"/>
  <c r="V324" i="3"/>
  <c r="V325" i="3"/>
  <c r="V326" i="3"/>
  <c r="V327" i="3"/>
  <c r="V328" i="3"/>
  <c r="V329" i="3"/>
  <c r="V330" i="3"/>
  <c r="V331" i="3"/>
  <c r="V332" i="3"/>
  <c r="V333" i="3"/>
  <c r="V334" i="3"/>
  <c r="V335" i="3"/>
  <c r="V336" i="3"/>
  <c r="V337" i="3"/>
  <c r="V338" i="3"/>
  <c r="V339" i="3"/>
  <c r="V340" i="3"/>
  <c r="V341" i="3"/>
  <c r="V342" i="3"/>
  <c r="V343" i="3"/>
  <c r="V344" i="3"/>
  <c r="V345" i="3"/>
  <c r="V346" i="3"/>
  <c r="V347" i="3"/>
  <c r="V348" i="3"/>
  <c r="V349" i="3"/>
  <c r="V350" i="3"/>
  <c r="V351" i="3"/>
  <c r="V352" i="3"/>
  <c r="V353" i="3"/>
  <c r="V354" i="3"/>
  <c r="V355" i="3"/>
  <c r="V356" i="3"/>
  <c r="V357" i="3"/>
  <c r="V358" i="3"/>
  <c r="V359" i="3"/>
  <c r="V360" i="3"/>
  <c r="V361" i="3"/>
  <c r="V362" i="3"/>
  <c r="V363" i="3"/>
  <c r="V364" i="3"/>
  <c r="V365" i="3"/>
  <c r="V366" i="3"/>
  <c r="V367" i="3"/>
  <c r="V368" i="3"/>
  <c r="V369" i="3"/>
  <c r="V370" i="3"/>
  <c r="V371" i="3"/>
  <c r="V372" i="3"/>
  <c r="V373" i="3"/>
  <c r="V374" i="3"/>
  <c r="V375" i="3"/>
  <c r="V376" i="3"/>
  <c r="V377" i="3"/>
  <c r="V378" i="3"/>
  <c r="V379" i="3"/>
  <c r="V380" i="3"/>
  <c r="V381" i="3"/>
  <c r="V382" i="3"/>
  <c r="V383" i="3"/>
  <c r="V384" i="3"/>
  <c r="V385" i="3"/>
  <c r="V386" i="3"/>
  <c r="V387" i="3"/>
  <c r="V388" i="3"/>
  <c r="V389" i="3"/>
  <c r="V390" i="3"/>
  <c r="V391" i="3"/>
  <c r="V392" i="3"/>
  <c r="V393" i="3"/>
  <c r="V394" i="3"/>
  <c r="V395" i="3"/>
  <c r="V396" i="3"/>
  <c r="V397" i="3"/>
  <c r="V398" i="3"/>
  <c r="V399" i="3"/>
  <c r="V400" i="3"/>
  <c r="V401" i="3"/>
  <c r="V402" i="3"/>
  <c r="V403" i="3"/>
  <c r="V404" i="3"/>
  <c r="V405" i="3"/>
  <c r="V406" i="3"/>
  <c r="V407" i="3"/>
  <c r="V408" i="3"/>
  <c r="V409" i="3"/>
  <c r="V410" i="3"/>
  <c r="V411" i="3"/>
  <c r="V412" i="3"/>
  <c r="V413" i="3"/>
  <c r="V414" i="3"/>
  <c r="V415" i="3"/>
  <c r="V416" i="3"/>
  <c r="V417" i="3"/>
  <c r="V418" i="3"/>
  <c r="V419" i="3"/>
  <c r="V420" i="3"/>
  <c r="V421" i="3"/>
  <c r="V422" i="3"/>
  <c r="V423" i="3"/>
  <c r="V424" i="3"/>
  <c r="V425" i="3"/>
  <c r="V426" i="3"/>
  <c r="V427" i="3"/>
  <c r="V428" i="3"/>
  <c r="V429" i="3"/>
  <c r="V430" i="3"/>
  <c r="V431" i="3"/>
  <c r="V432" i="3"/>
  <c r="V433" i="3"/>
  <c r="V434" i="3"/>
  <c r="V435" i="3"/>
  <c r="V436" i="3"/>
  <c r="V437" i="3"/>
  <c r="V438" i="3"/>
  <c r="V439" i="3"/>
  <c r="V440" i="3"/>
  <c r="V441" i="3"/>
  <c r="V442" i="3"/>
  <c r="V443" i="3"/>
  <c r="V444" i="3"/>
  <c r="V445" i="3"/>
  <c r="V446" i="3"/>
  <c r="V447" i="3"/>
  <c r="V448" i="3"/>
  <c r="V449" i="3"/>
  <c r="V450" i="3"/>
  <c r="V451" i="3"/>
  <c r="V452" i="3"/>
  <c r="V453" i="3"/>
  <c r="V454" i="3"/>
  <c r="V455" i="3"/>
  <c r="V456" i="3"/>
  <c r="V457" i="3"/>
  <c r="V458" i="3"/>
  <c r="V459" i="3"/>
  <c r="V460" i="3"/>
  <c r="V461" i="3"/>
  <c r="V462" i="3"/>
  <c r="V463" i="3"/>
  <c r="V464" i="3"/>
  <c r="V465" i="3"/>
  <c r="V466" i="3"/>
  <c r="V467" i="3"/>
  <c r="V468" i="3"/>
  <c r="V469" i="3"/>
  <c r="V470" i="3"/>
  <c r="V471" i="3"/>
  <c r="V472" i="3"/>
  <c r="V473" i="3"/>
  <c r="V474" i="3"/>
  <c r="V475" i="3"/>
  <c r="V476" i="3"/>
  <c r="V477" i="3"/>
  <c r="V478" i="3"/>
  <c r="V479" i="3"/>
  <c r="V480" i="3"/>
  <c r="V481" i="3"/>
  <c r="V482" i="3"/>
  <c r="V483" i="3"/>
  <c r="V484" i="3"/>
  <c r="V485" i="3"/>
  <c r="V486" i="3"/>
  <c r="V487" i="3"/>
  <c r="V488" i="3"/>
  <c r="V489" i="3"/>
  <c r="V490" i="3"/>
  <c r="V491" i="3"/>
  <c r="V492" i="3"/>
  <c r="V493" i="3"/>
  <c r="V494" i="3"/>
  <c r="V495" i="3"/>
  <c r="V496" i="3"/>
  <c r="V497" i="3"/>
  <c r="V498" i="3"/>
  <c r="V499" i="3"/>
  <c r="V500" i="3"/>
  <c r="V501" i="3"/>
  <c r="V502" i="3"/>
  <c r="V503" i="3"/>
  <c r="V504" i="3"/>
  <c r="V505" i="3"/>
  <c r="V506" i="3"/>
  <c r="V507" i="3"/>
  <c r="V508" i="3"/>
  <c r="V509" i="3"/>
  <c r="V510" i="3"/>
  <c r="V511" i="3"/>
  <c r="V512" i="3"/>
  <c r="V513" i="3"/>
  <c r="V514" i="3"/>
  <c r="V515" i="3"/>
  <c r="V516" i="3"/>
  <c r="V517" i="3"/>
  <c r="V518" i="3"/>
  <c r="V519" i="3"/>
  <c r="V520" i="3"/>
  <c r="V521" i="3"/>
  <c r="V522" i="3"/>
  <c r="V523" i="3"/>
  <c r="V524" i="3"/>
  <c r="V525" i="3"/>
  <c r="V526" i="3"/>
  <c r="V527" i="3"/>
  <c r="V528" i="3"/>
  <c r="V529" i="3"/>
  <c r="V530" i="3"/>
  <c r="V531" i="3"/>
  <c r="V532" i="3"/>
  <c r="V533" i="3"/>
  <c r="V534" i="3"/>
  <c r="V535" i="3"/>
  <c r="V536" i="3"/>
  <c r="V537" i="3"/>
  <c r="V538" i="3"/>
  <c r="V539" i="3"/>
  <c r="V540" i="3"/>
  <c r="V541" i="3"/>
  <c r="V542" i="3"/>
  <c r="V543" i="3"/>
  <c r="V544" i="3"/>
  <c r="V545" i="3"/>
  <c r="V546" i="3"/>
  <c r="V547" i="3"/>
  <c r="V548" i="3"/>
  <c r="V549" i="3"/>
  <c r="V550" i="3"/>
  <c r="V551" i="3"/>
  <c r="V552" i="3"/>
  <c r="V553" i="3"/>
  <c r="V554" i="3"/>
  <c r="V555" i="3"/>
  <c r="V556" i="3"/>
  <c r="V557" i="3"/>
  <c r="V558" i="3"/>
  <c r="V559" i="3"/>
  <c r="V560" i="3"/>
  <c r="V561" i="3"/>
  <c r="V562" i="3"/>
  <c r="V563" i="3"/>
  <c r="V564" i="3"/>
  <c r="V565" i="3"/>
  <c r="V566" i="3"/>
  <c r="V567" i="3"/>
  <c r="V568" i="3"/>
  <c r="V569" i="3"/>
  <c r="V570" i="3"/>
  <c r="V571" i="3"/>
  <c r="V572" i="3"/>
  <c r="V573" i="3"/>
  <c r="V574" i="3"/>
  <c r="V575" i="3"/>
  <c r="V576" i="3"/>
  <c r="V577" i="3"/>
  <c r="V578" i="3"/>
  <c r="V579" i="3"/>
  <c r="V580" i="3"/>
  <c r="V581" i="3"/>
  <c r="V582" i="3"/>
  <c r="V583" i="3"/>
  <c r="V584" i="3"/>
  <c r="V585" i="3"/>
  <c r="V586" i="3"/>
  <c r="V587" i="3"/>
  <c r="V588" i="3"/>
  <c r="V589" i="3"/>
  <c r="V590" i="3"/>
  <c r="V591" i="3"/>
  <c r="V592" i="3"/>
  <c r="V593" i="3"/>
  <c r="V594" i="3"/>
  <c r="V595" i="3"/>
  <c r="V596" i="3"/>
  <c r="V597" i="3"/>
  <c r="V598" i="3"/>
  <c r="V599" i="3"/>
  <c r="V600" i="3"/>
  <c r="V601" i="3"/>
  <c r="V602" i="3"/>
  <c r="V603" i="3"/>
  <c r="V604" i="3"/>
  <c r="V605" i="3"/>
  <c r="V606" i="3"/>
  <c r="V607" i="3"/>
  <c r="V608" i="3"/>
  <c r="V609" i="3"/>
  <c r="V610" i="3"/>
  <c r="V611" i="3"/>
  <c r="V612" i="3"/>
  <c r="V613" i="3"/>
  <c r="V614" i="3"/>
  <c r="V615" i="3"/>
  <c r="V616" i="3"/>
  <c r="V617" i="3"/>
  <c r="V618" i="3"/>
  <c r="V619" i="3"/>
  <c r="V620" i="3"/>
  <c r="V621" i="3"/>
  <c r="V622" i="3"/>
  <c r="V623" i="3"/>
  <c r="V624" i="3"/>
  <c r="V625" i="3"/>
  <c r="V626" i="3"/>
  <c r="V627" i="3"/>
  <c r="V628" i="3"/>
  <c r="V629" i="3"/>
  <c r="V630" i="3"/>
  <c r="V631" i="3"/>
  <c r="V632" i="3"/>
  <c r="V633" i="3"/>
  <c r="V634" i="3"/>
  <c r="V635" i="3"/>
  <c r="V636" i="3"/>
  <c r="V637" i="3"/>
  <c r="V638" i="3"/>
  <c r="V639" i="3"/>
  <c r="V640" i="3"/>
  <c r="V641" i="3"/>
  <c r="V642" i="3"/>
  <c r="V643" i="3"/>
  <c r="V644" i="3"/>
  <c r="V645" i="3"/>
  <c r="V646" i="3"/>
  <c r="V647" i="3"/>
  <c r="V648" i="3"/>
  <c r="V649" i="3"/>
  <c r="V650" i="3"/>
  <c r="V651" i="3"/>
  <c r="V652" i="3"/>
  <c r="V653" i="3"/>
  <c r="V654" i="3"/>
  <c r="V655" i="3"/>
  <c r="V656" i="3"/>
  <c r="V657" i="3"/>
  <c r="V658" i="3"/>
  <c r="V659" i="3"/>
  <c r="V660" i="3"/>
  <c r="V661" i="3"/>
  <c r="V662" i="3"/>
  <c r="V663" i="3"/>
  <c r="V664" i="3"/>
  <c r="V665" i="3"/>
  <c r="V666" i="3"/>
  <c r="V667" i="3"/>
  <c r="V668" i="3"/>
  <c r="V669" i="3"/>
  <c r="V670" i="3"/>
  <c r="V671" i="3"/>
  <c r="V672" i="3"/>
  <c r="V673" i="3"/>
  <c r="V674" i="3"/>
  <c r="V675" i="3"/>
  <c r="V676" i="3"/>
  <c r="V677" i="3"/>
  <c r="V678" i="3"/>
  <c r="V679" i="3"/>
  <c r="V680" i="3"/>
  <c r="V681" i="3"/>
  <c r="V682" i="3"/>
  <c r="V683" i="3"/>
  <c r="V684" i="3"/>
  <c r="V685" i="3"/>
  <c r="V686" i="3"/>
  <c r="V687" i="3"/>
  <c r="V688" i="3"/>
  <c r="V689" i="3"/>
  <c r="V690" i="3"/>
  <c r="V691" i="3"/>
  <c r="V692" i="3"/>
  <c r="V693" i="3"/>
  <c r="V694" i="3"/>
  <c r="V695" i="3"/>
  <c r="V696" i="3"/>
  <c r="V697" i="3"/>
  <c r="V698" i="3"/>
  <c r="V699" i="3"/>
  <c r="V700" i="3"/>
  <c r="V701" i="3"/>
  <c r="V702" i="3"/>
  <c r="V703" i="3"/>
  <c r="V704" i="3"/>
  <c r="V705" i="3"/>
  <c r="V706" i="3"/>
  <c r="V707" i="3"/>
  <c r="V708" i="3"/>
  <c r="V709" i="3"/>
  <c r="V710" i="3"/>
  <c r="V711" i="3"/>
  <c r="V712" i="3"/>
  <c r="V713" i="3"/>
  <c r="V714" i="3"/>
  <c r="V715" i="3"/>
  <c r="V716" i="3"/>
  <c r="V717" i="3"/>
  <c r="V718" i="3"/>
  <c r="V719" i="3"/>
  <c r="V720" i="3"/>
  <c r="V721" i="3"/>
  <c r="V722" i="3"/>
  <c r="V723" i="3"/>
  <c r="V724" i="3"/>
  <c r="V725" i="3"/>
  <c r="V726" i="3"/>
  <c r="V727" i="3"/>
  <c r="V728" i="3"/>
  <c r="V729" i="3"/>
  <c r="V730" i="3"/>
  <c r="V731" i="3"/>
  <c r="V732" i="3"/>
  <c r="V733" i="3"/>
  <c r="V734" i="3"/>
  <c r="V735" i="3"/>
  <c r="V736" i="3"/>
  <c r="V737" i="3"/>
  <c r="V738" i="3"/>
  <c r="V739" i="3"/>
  <c r="V740" i="3"/>
  <c r="V741" i="3"/>
  <c r="V742" i="3"/>
  <c r="V743" i="3"/>
  <c r="V744" i="3"/>
  <c r="V745" i="3"/>
  <c r="V746" i="3"/>
  <c r="V747" i="3"/>
  <c r="V748" i="3"/>
  <c r="V749" i="3"/>
  <c r="V750" i="3"/>
  <c r="V751" i="3"/>
  <c r="V752" i="3"/>
  <c r="V753" i="3"/>
  <c r="V754" i="3"/>
  <c r="V755" i="3"/>
  <c r="V756" i="3"/>
  <c r="V757" i="3"/>
  <c r="V758" i="3"/>
  <c r="V759" i="3"/>
  <c r="V760" i="3"/>
  <c r="V761" i="3"/>
  <c r="V762" i="3"/>
  <c r="V763" i="3"/>
  <c r="V764" i="3"/>
  <c r="V765" i="3"/>
  <c r="V766" i="3"/>
  <c r="V767" i="3"/>
  <c r="V768" i="3"/>
  <c r="V769" i="3"/>
  <c r="V770" i="3"/>
  <c r="V771" i="3"/>
  <c r="V772" i="3"/>
  <c r="V773" i="3"/>
  <c r="V774" i="3"/>
  <c r="V775" i="3"/>
  <c r="V776" i="3"/>
  <c r="V777" i="3"/>
  <c r="V778" i="3"/>
  <c r="V779" i="3"/>
  <c r="V780" i="3"/>
  <c r="V781" i="3"/>
  <c r="V782" i="3"/>
  <c r="V783" i="3"/>
  <c r="V784" i="3"/>
  <c r="V785" i="3"/>
  <c r="V786" i="3"/>
  <c r="V787" i="3"/>
  <c r="V788" i="3"/>
  <c r="V789" i="3"/>
  <c r="V790" i="3"/>
  <c r="V791" i="3"/>
  <c r="V792" i="3"/>
  <c r="V793" i="3"/>
  <c r="V794" i="3"/>
  <c r="V795" i="3"/>
  <c r="V796" i="3"/>
  <c r="V797" i="3"/>
  <c r="V798" i="3"/>
  <c r="V799" i="3"/>
  <c r="V800" i="3"/>
  <c r="V801" i="3"/>
  <c r="V802" i="3"/>
  <c r="V803" i="3"/>
  <c r="V804" i="3"/>
  <c r="V805" i="3"/>
  <c r="V806" i="3"/>
  <c r="V807" i="3"/>
  <c r="V808" i="3"/>
  <c r="V809" i="3"/>
  <c r="V810" i="3"/>
  <c r="V811" i="3"/>
  <c r="V812" i="3"/>
  <c r="V813" i="3"/>
  <c r="V814" i="3"/>
  <c r="V815" i="3"/>
  <c r="V816" i="3"/>
  <c r="V817" i="3"/>
  <c r="V818" i="3"/>
  <c r="V819" i="3"/>
  <c r="V820" i="3"/>
  <c r="V821" i="3"/>
  <c r="V822" i="3"/>
  <c r="V823" i="3"/>
  <c r="V824" i="3"/>
  <c r="V825" i="3"/>
  <c r="V826" i="3"/>
  <c r="V827" i="3"/>
  <c r="V828" i="3"/>
  <c r="V829" i="3"/>
  <c r="V830" i="3"/>
  <c r="V831" i="3"/>
  <c r="V832" i="3"/>
  <c r="V833" i="3"/>
  <c r="V834" i="3"/>
  <c r="V835" i="3"/>
  <c r="V836" i="3"/>
  <c r="V837" i="3"/>
  <c r="V838" i="3"/>
  <c r="V839" i="3"/>
  <c r="V840" i="3"/>
  <c r="V841" i="3"/>
  <c r="V842" i="3"/>
  <c r="V843" i="3"/>
  <c r="V844" i="3"/>
  <c r="V845" i="3"/>
  <c r="V846" i="3"/>
  <c r="V847" i="3"/>
  <c r="V848" i="3"/>
  <c r="V849" i="3"/>
  <c r="V850" i="3"/>
  <c r="V851" i="3"/>
  <c r="V852" i="3"/>
  <c r="V853" i="3"/>
  <c r="V854" i="3"/>
  <c r="V855" i="3"/>
  <c r="V856" i="3"/>
  <c r="V857" i="3"/>
  <c r="V858" i="3"/>
  <c r="V859" i="3"/>
  <c r="V860" i="3"/>
  <c r="V861" i="3"/>
  <c r="V862" i="3"/>
  <c r="V863" i="3"/>
  <c r="V864" i="3"/>
  <c r="V865" i="3"/>
  <c r="V866" i="3"/>
  <c r="V867" i="3"/>
  <c r="V868" i="3"/>
  <c r="V869" i="3"/>
  <c r="V870" i="3"/>
  <c r="V871" i="3"/>
  <c r="V872" i="3"/>
  <c r="V873" i="3"/>
  <c r="V874" i="3"/>
  <c r="V875" i="3"/>
  <c r="V876" i="3"/>
  <c r="V877" i="3"/>
  <c r="V878" i="3"/>
  <c r="V879" i="3"/>
  <c r="V880" i="3"/>
  <c r="V881" i="3"/>
  <c r="V882" i="3"/>
  <c r="V883" i="3"/>
  <c r="V884" i="3"/>
  <c r="V885" i="3"/>
  <c r="V886" i="3"/>
  <c r="V887" i="3"/>
  <c r="V888" i="3"/>
  <c r="V889" i="3"/>
  <c r="V890" i="3"/>
  <c r="V891" i="3"/>
  <c r="V892" i="3"/>
  <c r="V893" i="3"/>
  <c r="V894" i="3"/>
  <c r="V895" i="3"/>
  <c r="V896" i="3"/>
  <c r="V897" i="3"/>
  <c r="V898" i="3"/>
  <c r="V899" i="3"/>
  <c r="V900" i="3"/>
  <c r="V901" i="3"/>
  <c r="V902" i="3"/>
  <c r="V903" i="3"/>
  <c r="V904" i="3"/>
  <c r="V905" i="3"/>
  <c r="V906" i="3"/>
  <c r="V907" i="3"/>
  <c r="V908" i="3"/>
  <c r="V909" i="3"/>
  <c r="V910" i="3"/>
  <c r="V911" i="3"/>
  <c r="V912" i="3"/>
  <c r="V913" i="3"/>
  <c r="V914" i="3"/>
  <c r="V915" i="3"/>
  <c r="V916" i="3"/>
  <c r="V917" i="3"/>
  <c r="V918" i="3"/>
  <c r="V919" i="3"/>
  <c r="V920" i="3"/>
  <c r="V921" i="3"/>
  <c r="V922" i="3"/>
  <c r="V923" i="3"/>
  <c r="V924" i="3"/>
  <c r="V925" i="3"/>
  <c r="V926" i="3"/>
  <c r="V927" i="3"/>
  <c r="V928" i="3"/>
  <c r="V929" i="3"/>
  <c r="V930" i="3"/>
  <c r="V931" i="3"/>
  <c r="V932" i="3"/>
  <c r="V933" i="3"/>
  <c r="V934" i="3"/>
  <c r="V935" i="3"/>
  <c r="V936" i="3"/>
  <c r="V937" i="3"/>
  <c r="V938" i="3"/>
  <c r="V939" i="3"/>
  <c r="V940" i="3"/>
  <c r="V941" i="3"/>
  <c r="V942" i="3"/>
  <c r="V943" i="3"/>
  <c r="V944" i="3"/>
  <c r="V945" i="3"/>
  <c r="V946" i="3"/>
  <c r="V947" i="3"/>
  <c r="V948" i="3"/>
  <c r="V949" i="3"/>
  <c r="V950" i="3"/>
  <c r="V951" i="3"/>
  <c r="V952" i="3"/>
  <c r="V953" i="3"/>
  <c r="V954" i="3"/>
  <c r="V955" i="3"/>
  <c r="V956" i="3"/>
  <c r="V957" i="3"/>
  <c r="V958" i="3"/>
  <c r="V959" i="3"/>
  <c r="V960" i="3"/>
  <c r="V961" i="3"/>
  <c r="V962" i="3"/>
  <c r="V963" i="3"/>
  <c r="V964" i="3"/>
  <c r="V965" i="3"/>
  <c r="V966" i="3"/>
  <c r="V967" i="3"/>
  <c r="V968" i="3"/>
  <c r="V969" i="3"/>
  <c r="V970" i="3"/>
  <c r="V971" i="3"/>
  <c r="V972" i="3"/>
  <c r="V973" i="3"/>
  <c r="V974" i="3"/>
  <c r="V975" i="3"/>
  <c r="V976" i="3"/>
  <c r="V977" i="3"/>
  <c r="V978" i="3"/>
  <c r="V979" i="3"/>
  <c r="V980" i="3"/>
  <c r="V981" i="3"/>
  <c r="V982" i="3"/>
  <c r="V983" i="3"/>
  <c r="V984" i="3"/>
  <c r="V985" i="3"/>
  <c r="V986" i="3"/>
  <c r="V987" i="3"/>
  <c r="V988" i="3"/>
  <c r="V989" i="3"/>
  <c r="V990" i="3"/>
  <c r="V991" i="3"/>
  <c r="V992" i="3"/>
  <c r="V993" i="3"/>
  <c r="V994" i="3"/>
  <c r="V995" i="3"/>
  <c r="V996" i="3"/>
  <c r="V997" i="3"/>
  <c r="V998" i="3"/>
  <c r="V999" i="3"/>
  <c r="V1000" i="3"/>
  <c r="V1001" i="3"/>
  <c r="V3" i="3"/>
  <c r="V2"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U581" i="3"/>
  <c r="U582" i="3"/>
  <c r="U583" i="3"/>
  <c r="U584" i="3"/>
  <c r="U585" i="3"/>
  <c r="U586" i="3"/>
  <c r="U587" i="3"/>
  <c r="U588" i="3"/>
  <c r="U589" i="3"/>
  <c r="U590" i="3"/>
  <c r="U591" i="3"/>
  <c r="U592" i="3"/>
  <c r="U593" i="3"/>
  <c r="U594" i="3"/>
  <c r="U595" i="3"/>
  <c r="U596" i="3"/>
  <c r="U597" i="3"/>
  <c r="U598" i="3"/>
  <c r="U599" i="3"/>
  <c r="U600" i="3"/>
  <c r="U601" i="3"/>
  <c r="U602" i="3"/>
  <c r="U603" i="3"/>
  <c r="U604" i="3"/>
  <c r="U605" i="3"/>
  <c r="U606" i="3"/>
  <c r="U607" i="3"/>
  <c r="U608" i="3"/>
  <c r="U609" i="3"/>
  <c r="U610" i="3"/>
  <c r="U611" i="3"/>
  <c r="U612" i="3"/>
  <c r="U613" i="3"/>
  <c r="U614" i="3"/>
  <c r="U615" i="3"/>
  <c r="U616" i="3"/>
  <c r="U617" i="3"/>
  <c r="U618" i="3"/>
  <c r="U619" i="3"/>
  <c r="U620" i="3"/>
  <c r="U621" i="3"/>
  <c r="U622" i="3"/>
  <c r="U623" i="3"/>
  <c r="U624" i="3"/>
  <c r="U625" i="3"/>
  <c r="U626" i="3"/>
  <c r="U627" i="3"/>
  <c r="U628" i="3"/>
  <c r="U629" i="3"/>
  <c r="U630" i="3"/>
  <c r="U631" i="3"/>
  <c r="U632" i="3"/>
  <c r="U633" i="3"/>
  <c r="U634" i="3"/>
  <c r="U635" i="3"/>
  <c r="U636" i="3"/>
  <c r="U637" i="3"/>
  <c r="U638" i="3"/>
  <c r="U639" i="3"/>
  <c r="U640" i="3"/>
  <c r="U641" i="3"/>
  <c r="U642" i="3"/>
  <c r="U643" i="3"/>
  <c r="U644" i="3"/>
  <c r="U645" i="3"/>
  <c r="U646" i="3"/>
  <c r="U647" i="3"/>
  <c r="U648" i="3"/>
  <c r="U649" i="3"/>
  <c r="U650" i="3"/>
  <c r="U651" i="3"/>
  <c r="U652" i="3"/>
  <c r="U653" i="3"/>
  <c r="U654" i="3"/>
  <c r="U655" i="3"/>
  <c r="U656" i="3"/>
  <c r="U657" i="3"/>
  <c r="U658" i="3"/>
  <c r="U659" i="3"/>
  <c r="U660" i="3"/>
  <c r="U661" i="3"/>
  <c r="U662" i="3"/>
  <c r="U663" i="3"/>
  <c r="U664" i="3"/>
  <c r="U665" i="3"/>
  <c r="U666" i="3"/>
  <c r="U667" i="3"/>
  <c r="U668" i="3"/>
  <c r="U669" i="3"/>
  <c r="U670" i="3"/>
  <c r="U671" i="3"/>
  <c r="U672" i="3"/>
  <c r="U673" i="3"/>
  <c r="U674" i="3"/>
  <c r="U675" i="3"/>
  <c r="U676" i="3"/>
  <c r="U677" i="3"/>
  <c r="U678" i="3"/>
  <c r="U679" i="3"/>
  <c r="U680" i="3"/>
  <c r="U681" i="3"/>
  <c r="U682" i="3"/>
  <c r="U683" i="3"/>
  <c r="U684" i="3"/>
  <c r="U685" i="3"/>
  <c r="U686" i="3"/>
  <c r="U687" i="3"/>
  <c r="U688" i="3"/>
  <c r="U689" i="3"/>
  <c r="U690" i="3"/>
  <c r="U691" i="3"/>
  <c r="U692" i="3"/>
  <c r="U693" i="3"/>
  <c r="U694" i="3"/>
  <c r="U695" i="3"/>
  <c r="U696" i="3"/>
  <c r="U697" i="3"/>
  <c r="U698" i="3"/>
  <c r="U699" i="3"/>
  <c r="U700" i="3"/>
  <c r="U701" i="3"/>
  <c r="U702" i="3"/>
  <c r="U703" i="3"/>
  <c r="U704" i="3"/>
  <c r="U705" i="3"/>
  <c r="U706" i="3"/>
  <c r="U707" i="3"/>
  <c r="U708" i="3"/>
  <c r="U709" i="3"/>
  <c r="U710" i="3"/>
  <c r="U711" i="3"/>
  <c r="U712" i="3"/>
  <c r="U713" i="3"/>
  <c r="U714" i="3"/>
  <c r="U715" i="3"/>
  <c r="U716" i="3"/>
  <c r="U717" i="3"/>
  <c r="U718" i="3"/>
  <c r="U719" i="3"/>
  <c r="U720" i="3"/>
  <c r="U721" i="3"/>
  <c r="U722" i="3"/>
  <c r="U723" i="3"/>
  <c r="U724" i="3"/>
  <c r="U725" i="3"/>
  <c r="U726" i="3"/>
  <c r="U727" i="3"/>
  <c r="U728" i="3"/>
  <c r="U729" i="3"/>
  <c r="U730" i="3"/>
  <c r="U731" i="3"/>
  <c r="U732" i="3"/>
  <c r="U733" i="3"/>
  <c r="U734" i="3"/>
  <c r="U735" i="3"/>
  <c r="U736" i="3"/>
  <c r="U737" i="3"/>
  <c r="U738" i="3"/>
  <c r="U739" i="3"/>
  <c r="U740" i="3"/>
  <c r="U741" i="3"/>
  <c r="U742" i="3"/>
  <c r="U743" i="3"/>
  <c r="U744" i="3"/>
  <c r="U745" i="3"/>
  <c r="U746" i="3"/>
  <c r="U747" i="3"/>
  <c r="U748" i="3"/>
  <c r="U749" i="3"/>
  <c r="U750" i="3"/>
  <c r="U751" i="3"/>
  <c r="U752" i="3"/>
  <c r="U753" i="3"/>
  <c r="U754" i="3"/>
  <c r="U755" i="3"/>
  <c r="U756" i="3"/>
  <c r="U757" i="3"/>
  <c r="U758" i="3"/>
  <c r="U759" i="3"/>
  <c r="U760" i="3"/>
  <c r="U761" i="3"/>
  <c r="U762" i="3"/>
  <c r="U763" i="3"/>
  <c r="U764" i="3"/>
  <c r="U765" i="3"/>
  <c r="U766" i="3"/>
  <c r="U767" i="3"/>
  <c r="U768" i="3"/>
  <c r="U769" i="3"/>
  <c r="U770" i="3"/>
  <c r="U771" i="3"/>
  <c r="U772" i="3"/>
  <c r="U773" i="3"/>
  <c r="U774" i="3"/>
  <c r="U775" i="3"/>
  <c r="U776" i="3"/>
  <c r="U777" i="3"/>
  <c r="U778" i="3"/>
  <c r="U779" i="3"/>
  <c r="U780" i="3"/>
  <c r="U781" i="3"/>
  <c r="U782" i="3"/>
  <c r="U783" i="3"/>
  <c r="U784" i="3"/>
  <c r="U785" i="3"/>
  <c r="U786" i="3"/>
  <c r="U787" i="3"/>
  <c r="U788" i="3"/>
  <c r="U789" i="3"/>
  <c r="U790" i="3"/>
  <c r="U791" i="3"/>
  <c r="U792" i="3"/>
  <c r="U793" i="3"/>
  <c r="U794" i="3"/>
  <c r="U795" i="3"/>
  <c r="U796" i="3"/>
  <c r="U797" i="3"/>
  <c r="U798" i="3"/>
  <c r="U799" i="3"/>
  <c r="U800" i="3"/>
  <c r="U801" i="3"/>
  <c r="U802" i="3"/>
  <c r="U803" i="3"/>
  <c r="U804" i="3"/>
  <c r="U805" i="3"/>
  <c r="U806" i="3"/>
  <c r="U807" i="3"/>
  <c r="U808" i="3"/>
  <c r="U809" i="3"/>
  <c r="U810" i="3"/>
  <c r="U811" i="3"/>
  <c r="U812" i="3"/>
  <c r="U813" i="3"/>
  <c r="U814" i="3"/>
  <c r="U815" i="3"/>
  <c r="U816" i="3"/>
  <c r="U817" i="3"/>
  <c r="U818" i="3"/>
  <c r="U819" i="3"/>
  <c r="U820" i="3"/>
  <c r="U821" i="3"/>
  <c r="U822" i="3"/>
  <c r="U823" i="3"/>
  <c r="U824" i="3"/>
  <c r="U825" i="3"/>
  <c r="U826" i="3"/>
  <c r="U827" i="3"/>
  <c r="U828" i="3"/>
  <c r="U829" i="3"/>
  <c r="U830" i="3"/>
  <c r="U831" i="3"/>
  <c r="U832" i="3"/>
  <c r="U833" i="3"/>
  <c r="U834" i="3"/>
  <c r="U835" i="3"/>
  <c r="U836" i="3"/>
  <c r="U837" i="3"/>
  <c r="U838" i="3"/>
  <c r="U839" i="3"/>
  <c r="U840" i="3"/>
  <c r="U841" i="3"/>
  <c r="U842" i="3"/>
  <c r="U843" i="3"/>
  <c r="U844" i="3"/>
  <c r="U845" i="3"/>
  <c r="U846" i="3"/>
  <c r="U847" i="3"/>
  <c r="U848" i="3"/>
  <c r="U849" i="3"/>
  <c r="U850" i="3"/>
  <c r="U851" i="3"/>
  <c r="U852" i="3"/>
  <c r="U853" i="3"/>
  <c r="U854" i="3"/>
  <c r="U855" i="3"/>
  <c r="U856" i="3"/>
  <c r="U857" i="3"/>
  <c r="U858" i="3"/>
  <c r="U859" i="3"/>
  <c r="U860" i="3"/>
  <c r="U861" i="3"/>
  <c r="U862" i="3"/>
  <c r="U863" i="3"/>
  <c r="U864" i="3"/>
  <c r="U865" i="3"/>
  <c r="U866" i="3"/>
  <c r="U867" i="3"/>
  <c r="U868" i="3"/>
  <c r="U869" i="3"/>
  <c r="U870" i="3"/>
  <c r="U871" i="3"/>
  <c r="U872" i="3"/>
  <c r="U873" i="3"/>
  <c r="U874" i="3"/>
  <c r="U875" i="3"/>
  <c r="U876" i="3"/>
  <c r="U877" i="3"/>
  <c r="U878" i="3"/>
  <c r="U879" i="3"/>
  <c r="U880" i="3"/>
  <c r="U881" i="3"/>
  <c r="U882" i="3"/>
  <c r="U883" i="3"/>
  <c r="U884" i="3"/>
  <c r="U885" i="3"/>
  <c r="U886" i="3"/>
  <c r="U887" i="3"/>
  <c r="U888" i="3"/>
  <c r="U889" i="3"/>
  <c r="U890" i="3"/>
  <c r="U891" i="3"/>
  <c r="U892" i="3"/>
  <c r="U893" i="3"/>
  <c r="U894" i="3"/>
  <c r="U895" i="3"/>
  <c r="U896" i="3"/>
  <c r="U897" i="3"/>
  <c r="U898" i="3"/>
  <c r="U899" i="3"/>
  <c r="U900" i="3"/>
  <c r="U901" i="3"/>
  <c r="U902" i="3"/>
  <c r="U903" i="3"/>
  <c r="U904" i="3"/>
  <c r="U905" i="3"/>
  <c r="U906" i="3"/>
  <c r="U907" i="3"/>
  <c r="U908" i="3"/>
  <c r="U909" i="3"/>
  <c r="U910" i="3"/>
  <c r="U911" i="3"/>
  <c r="U912" i="3"/>
  <c r="U913" i="3"/>
  <c r="U914" i="3"/>
  <c r="U915" i="3"/>
  <c r="U916" i="3"/>
  <c r="U917" i="3"/>
  <c r="U918" i="3"/>
  <c r="U919" i="3"/>
  <c r="U920" i="3"/>
  <c r="U921" i="3"/>
  <c r="U922" i="3"/>
  <c r="U923" i="3"/>
  <c r="U924" i="3"/>
  <c r="U925" i="3"/>
  <c r="U926" i="3"/>
  <c r="U927" i="3"/>
  <c r="U928" i="3"/>
  <c r="U929" i="3"/>
  <c r="U930" i="3"/>
  <c r="U931" i="3"/>
  <c r="U932" i="3"/>
  <c r="U933" i="3"/>
  <c r="U934" i="3"/>
  <c r="U935" i="3"/>
  <c r="U936" i="3"/>
  <c r="U937" i="3"/>
  <c r="U938" i="3"/>
  <c r="U939" i="3"/>
  <c r="U940" i="3"/>
  <c r="U941" i="3"/>
  <c r="U942" i="3"/>
  <c r="U943" i="3"/>
  <c r="U944" i="3"/>
  <c r="U945" i="3"/>
  <c r="U946" i="3"/>
  <c r="U947" i="3"/>
  <c r="U948" i="3"/>
  <c r="U949" i="3"/>
  <c r="U950" i="3"/>
  <c r="U951" i="3"/>
  <c r="U952" i="3"/>
  <c r="U953" i="3"/>
  <c r="U954" i="3"/>
  <c r="U955" i="3"/>
  <c r="U956" i="3"/>
  <c r="U957" i="3"/>
  <c r="U958" i="3"/>
  <c r="U959" i="3"/>
  <c r="U960" i="3"/>
  <c r="U961" i="3"/>
  <c r="U962" i="3"/>
  <c r="U963" i="3"/>
  <c r="U964" i="3"/>
  <c r="U965" i="3"/>
  <c r="U966" i="3"/>
  <c r="U967" i="3"/>
  <c r="U968" i="3"/>
  <c r="U969" i="3"/>
  <c r="U970" i="3"/>
  <c r="U971" i="3"/>
  <c r="U972" i="3"/>
  <c r="U973" i="3"/>
  <c r="U974" i="3"/>
  <c r="U975" i="3"/>
  <c r="U976" i="3"/>
  <c r="U977" i="3"/>
  <c r="U978" i="3"/>
  <c r="U979" i="3"/>
  <c r="U980" i="3"/>
  <c r="U981" i="3"/>
  <c r="U982" i="3"/>
  <c r="U983" i="3"/>
  <c r="U984" i="3"/>
  <c r="U985" i="3"/>
  <c r="U986" i="3"/>
  <c r="U987" i="3"/>
  <c r="U988" i="3"/>
  <c r="U989" i="3"/>
  <c r="U990" i="3"/>
  <c r="U991" i="3"/>
  <c r="U992" i="3"/>
  <c r="U993" i="3"/>
  <c r="U994" i="3"/>
  <c r="U995" i="3"/>
  <c r="U996" i="3"/>
  <c r="U997" i="3"/>
  <c r="U998" i="3"/>
  <c r="U999" i="3"/>
  <c r="U1000" i="3"/>
  <c r="U1001" i="3"/>
  <c r="U3" i="3"/>
  <c r="U2"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534" i="3"/>
  <c r="R535" i="3"/>
  <c r="R536" i="3"/>
  <c r="R537" i="3"/>
  <c r="R538" i="3"/>
  <c r="R539" i="3"/>
  <c r="R540" i="3"/>
  <c r="R541" i="3"/>
  <c r="R542" i="3"/>
  <c r="R543" i="3"/>
  <c r="R544" i="3"/>
  <c r="R545" i="3"/>
  <c r="R546" i="3"/>
  <c r="R547" i="3"/>
  <c r="R548" i="3"/>
  <c r="R549" i="3"/>
  <c r="R550" i="3"/>
  <c r="R551" i="3"/>
  <c r="R552" i="3"/>
  <c r="R553" i="3"/>
  <c r="R554" i="3"/>
  <c r="R555" i="3"/>
  <c r="R556" i="3"/>
  <c r="R557" i="3"/>
  <c r="R558" i="3"/>
  <c r="R559" i="3"/>
  <c r="R560" i="3"/>
  <c r="R561" i="3"/>
  <c r="R562" i="3"/>
  <c r="R563" i="3"/>
  <c r="R564" i="3"/>
  <c r="R565" i="3"/>
  <c r="R566" i="3"/>
  <c r="R567" i="3"/>
  <c r="R568" i="3"/>
  <c r="R569" i="3"/>
  <c r="R570" i="3"/>
  <c r="R571" i="3"/>
  <c r="R572" i="3"/>
  <c r="R573" i="3"/>
  <c r="R574" i="3"/>
  <c r="R575" i="3"/>
  <c r="R576" i="3"/>
  <c r="R577" i="3"/>
  <c r="R578" i="3"/>
  <c r="R579" i="3"/>
  <c r="R580" i="3"/>
  <c r="R581" i="3"/>
  <c r="R582" i="3"/>
  <c r="R583" i="3"/>
  <c r="R584" i="3"/>
  <c r="R585" i="3"/>
  <c r="R586" i="3"/>
  <c r="R587" i="3"/>
  <c r="R588" i="3"/>
  <c r="R589" i="3"/>
  <c r="R590" i="3"/>
  <c r="R591" i="3"/>
  <c r="R592" i="3"/>
  <c r="R593" i="3"/>
  <c r="R594" i="3"/>
  <c r="R595" i="3"/>
  <c r="R596" i="3"/>
  <c r="R597" i="3"/>
  <c r="R598" i="3"/>
  <c r="R599" i="3"/>
  <c r="R600" i="3"/>
  <c r="R601" i="3"/>
  <c r="R602" i="3"/>
  <c r="R603" i="3"/>
  <c r="R604" i="3"/>
  <c r="R605" i="3"/>
  <c r="R606" i="3"/>
  <c r="R607" i="3"/>
  <c r="R608" i="3"/>
  <c r="R609" i="3"/>
  <c r="R610" i="3"/>
  <c r="R611" i="3"/>
  <c r="R612" i="3"/>
  <c r="R613" i="3"/>
  <c r="R614" i="3"/>
  <c r="R615" i="3"/>
  <c r="R616" i="3"/>
  <c r="R617" i="3"/>
  <c r="R618" i="3"/>
  <c r="R619" i="3"/>
  <c r="R620" i="3"/>
  <c r="R621" i="3"/>
  <c r="R622" i="3"/>
  <c r="R623" i="3"/>
  <c r="R624" i="3"/>
  <c r="R625" i="3"/>
  <c r="R626" i="3"/>
  <c r="R627" i="3"/>
  <c r="R628" i="3"/>
  <c r="R629" i="3"/>
  <c r="R630" i="3"/>
  <c r="R631" i="3"/>
  <c r="R632" i="3"/>
  <c r="R633" i="3"/>
  <c r="R634" i="3"/>
  <c r="R635" i="3"/>
  <c r="R636" i="3"/>
  <c r="R637" i="3"/>
  <c r="R638" i="3"/>
  <c r="R639" i="3"/>
  <c r="R640" i="3"/>
  <c r="R641" i="3"/>
  <c r="R642" i="3"/>
  <c r="R643" i="3"/>
  <c r="R644" i="3"/>
  <c r="R645" i="3"/>
  <c r="R646" i="3"/>
  <c r="R647" i="3"/>
  <c r="R648" i="3"/>
  <c r="R649" i="3"/>
  <c r="R650" i="3"/>
  <c r="R651" i="3"/>
  <c r="R652" i="3"/>
  <c r="R653" i="3"/>
  <c r="R654" i="3"/>
  <c r="R655" i="3"/>
  <c r="R656" i="3"/>
  <c r="R657" i="3"/>
  <c r="R658" i="3"/>
  <c r="R659" i="3"/>
  <c r="R660" i="3"/>
  <c r="R661" i="3"/>
  <c r="R662" i="3"/>
  <c r="R663" i="3"/>
  <c r="R664" i="3"/>
  <c r="R665" i="3"/>
  <c r="R666" i="3"/>
  <c r="R667" i="3"/>
  <c r="R668" i="3"/>
  <c r="R669" i="3"/>
  <c r="R670" i="3"/>
  <c r="R671" i="3"/>
  <c r="R672" i="3"/>
  <c r="R673" i="3"/>
  <c r="R674" i="3"/>
  <c r="R675" i="3"/>
  <c r="R676" i="3"/>
  <c r="R677" i="3"/>
  <c r="R678" i="3"/>
  <c r="R679" i="3"/>
  <c r="R680" i="3"/>
  <c r="R681" i="3"/>
  <c r="R682" i="3"/>
  <c r="R683" i="3"/>
  <c r="R684" i="3"/>
  <c r="R685" i="3"/>
  <c r="R686" i="3"/>
  <c r="R687" i="3"/>
  <c r="R688" i="3"/>
  <c r="R689" i="3"/>
  <c r="R690" i="3"/>
  <c r="R691" i="3"/>
  <c r="R692" i="3"/>
  <c r="R693" i="3"/>
  <c r="R694" i="3"/>
  <c r="R695" i="3"/>
  <c r="R696" i="3"/>
  <c r="R697" i="3"/>
  <c r="R698" i="3"/>
  <c r="R699" i="3"/>
  <c r="R700" i="3"/>
  <c r="R701" i="3"/>
  <c r="R702" i="3"/>
  <c r="R703" i="3"/>
  <c r="R704" i="3"/>
  <c r="R705" i="3"/>
  <c r="R706" i="3"/>
  <c r="R707" i="3"/>
  <c r="R708" i="3"/>
  <c r="R709" i="3"/>
  <c r="R710" i="3"/>
  <c r="R711" i="3"/>
  <c r="R712" i="3"/>
  <c r="R713" i="3"/>
  <c r="R714" i="3"/>
  <c r="R715" i="3"/>
  <c r="R716" i="3"/>
  <c r="R717" i="3"/>
  <c r="R718" i="3"/>
  <c r="R719" i="3"/>
  <c r="R720" i="3"/>
  <c r="R721" i="3"/>
  <c r="R722" i="3"/>
  <c r="R723" i="3"/>
  <c r="R724" i="3"/>
  <c r="R725" i="3"/>
  <c r="R726" i="3"/>
  <c r="R727" i="3"/>
  <c r="R728" i="3"/>
  <c r="R729" i="3"/>
  <c r="R730" i="3"/>
  <c r="R731" i="3"/>
  <c r="R732" i="3"/>
  <c r="R733" i="3"/>
  <c r="R734" i="3"/>
  <c r="R735" i="3"/>
  <c r="R736" i="3"/>
  <c r="R737" i="3"/>
  <c r="R738" i="3"/>
  <c r="R739" i="3"/>
  <c r="R740" i="3"/>
  <c r="R741" i="3"/>
  <c r="R742" i="3"/>
  <c r="R743" i="3"/>
  <c r="R744" i="3"/>
  <c r="R745" i="3"/>
  <c r="R746" i="3"/>
  <c r="R747" i="3"/>
  <c r="R748" i="3"/>
  <c r="R749" i="3"/>
  <c r="R750" i="3"/>
  <c r="R751" i="3"/>
  <c r="R752" i="3"/>
  <c r="R753" i="3"/>
  <c r="R754" i="3"/>
  <c r="R755" i="3"/>
  <c r="R756" i="3"/>
  <c r="R757" i="3"/>
  <c r="R758" i="3"/>
  <c r="R759" i="3"/>
  <c r="R760" i="3"/>
  <c r="R761" i="3"/>
  <c r="R762" i="3"/>
  <c r="R763" i="3"/>
  <c r="R764" i="3"/>
  <c r="R765" i="3"/>
  <c r="R766" i="3"/>
  <c r="R767" i="3"/>
  <c r="R768" i="3"/>
  <c r="R769" i="3"/>
  <c r="R770" i="3"/>
  <c r="R771" i="3"/>
  <c r="R772" i="3"/>
  <c r="R773" i="3"/>
  <c r="R774" i="3"/>
  <c r="R775" i="3"/>
  <c r="R776" i="3"/>
  <c r="R777" i="3"/>
  <c r="R778" i="3"/>
  <c r="R779" i="3"/>
  <c r="R780" i="3"/>
  <c r="R781" i="3"/>
  <c r="R782" i="3"/>
  <c r="R783" i="3"/>
  <c r="R784" i="3"/>
  <c r="R785" i="3"/>
  <c r="R786" i="3"/>
  <c r="R787" i="3"/>
  <c r="R788" i="3"/>
  <c r="R789" i="3"/>
  <c r="R790" i="3"/>
  <c r="R791" i="3"/>
  <c r="R792" i="3"/>
  <c r="R793" i="3"/>
  <c r="R794" i="3"/>
  <c r="R795" i="3"/>
  <c r="R796" i="3"/>
  <c r="R797" i="3"/>
  <c r="R798" i="3"/>
  <c r="R799" i="3"/>
  <c r="R800" i="3"/>
  <c r="R801" i="3"/>
  <c r="R802" i="3"/>
  <c r="R803" i="3"/>
  <c r="R804" i="3"/>
  <c r="R805" i="3"/>
  <c r="R806" i="3"/>
  <c r="R807" i="3"/>
  <c r="R808" i="3"/>
  <c r="R809" i="3"/>
  <c r="R810" i="3"/>
  <c r="R811" i="3"/>
  <c r="R812" i="3"/>
  <c r="R813" i="3"/>
  <c r="R814" i="3"/>
  <c r="R815" i="3"/>
  <c r="R816" i="3"/>
  <c r="R817" i="3"/>
  <c r="R818" i="3"/>
  <c r="R819" i="3"/>
  <c r="R820" i="3"/>
  <c r="R821" i="3"/>
  <c r="R822" i="3"/>
  <c r="R823" i="3"/>
  <c r="R824" i="3"/>
  <c r="R825" i="3"/>
  <c r="R826" i="3"/>
  <c r="R827" i="3"/>
  <c r="R828" i="3"/>
  <c r="R829" i="3"/>
  <c r="R830" i="3"/>
  <c r="R831" i="3"/>
  <c r="R832" i="3"/>
  <c r="R833" i="3"/>
  <c r="R834" i="3"/>
  <c r="R835" i="3"/>
  <c r="R836" i="3"/>
  <c r="R837" i="3"/>
  <c r="R838" i="3"/>
  <c r="R839" i="3"/>
  <c r="R840" i="3"/>
  <c r="R841" i="3"/>
  <c r="R842" i="3"/>
  <c r="R843" i="3"/>
  <c r="R844" i="3"/>
  <c r="R845" i="3"/>
  <c r="R846" i="3"/>
  <c r="R847" i="3"/>
  <c r="R848" i="3"/>
  <c r="R849" i="3"/>
  <c r="R850" i="3"/>
  <c r="R851" i="3"/>
  <c r="R852" i="3"/>
  <c r="R853" i="3"/>
  <c r="R854" i="3"/>
  <c r="R855" i="3"/>
  <c r="R856" i="3"/>
  <c r="R857" i="3"/>
  <c r="R858" i="3"/>
  <c r="R859" i="3"/>
  <c r="R860" i="3"/>
  <c r="R861" i="3"/>
  <c r="R862" i="3"/>
  <c r="R863" i="3"/>
  <c r="R864" i="3"/>
  <c r="R865" i="3"/>
  <c r="R866" i="3"/>
  <c r="R867" i="3"/>
  <c r="R868" i="3"/>
  <c r="R869" i="3"/>
  <c r="R870" i="3"/>
  <c r="R871" i="3"/>
  <c r="R872" i="3"/>
  <c r="R873" i="3"/>
  <c r="R874" i="3"/>
  <c r="R875" i="3"/>
  <c r="R876" i="3"/>
  <c r="R877" i="3"/>
  <c r="R878" i="3"/>
  <c r="R879" i="3"/>
  <c r="R880" i="3"/>
  <c r="R881" i="3"/>
  <c r="R882" i="3"/>
  <c r="R883" i="3"/>
  <c r="R884" i="3"/>
  <c r="R885" i="3"/>
  <c r="R886" i="3"/>
  <c r="R887" i="3"/>
  <c r="R888" i="3"/>
  <c r="R889" i="3"/>
  <c r="R890" i="3"/>
  <c r="R891" i="3"/>
  <c r="R892" i="3"/>
  <c r="R893" i="3"/>
  <c r="R894" i="3"/>
  <c r="R895" i="3"/>
  <c r="R896" i="3"/>
  <c r="R897" i="3"/>
  <c r="R898" i="3"/>
  <c r="R899" i="3"/>
  <c r="R900" i="3"/>
  <c r="R901" i="3"/>
  <c r="R902" i="3"/>
  <c r="R903" i="3"/>
  <c r="R904" i="3"/>
  <c r="R905" i="3"/>
  <c r="R906" i="3"/>
  <c r="R907" i="3"/>
  <c r="R908" i="3"/>
  <c r="R909" i="3"/>
  <c r="R910" i="3"/>
  <c r="R911" i="3"/>
  <c r="R912" i="3"/>
  <c r="R913" i="3"/>
  <c r="R914" i="3"/>
  <c r="R915" i="3"/>
  <c r="R916" i="3"/>
  <c r="R917" i="3"/>
  <c r="R918" i="3"/>
  <c r="R919" i="3"/>
  <c r="R920" i="3"/>
  <c r="R921" i="3"/>
  <c r="R922" i="3"/>
  <c r="R923" i="3"/>
  <c r="R924" i="3"/>
  <c r="R925" i="3"/>
  <c r="R926" i="3"/>
  <c r="R927" i="3"/>
  <c r="R928" i="3"/>
  <c r="R929" i="3"/>
  <c r="R930" i="3"/>
  <c r="R931" i="3"/>
  <c r="R932" i="3"/>
  <c r="R933" i="3"/>
  <c r="R934" i="3"/>
  <c r="R935" i="3"/>
  <c r="R936" i="3"/>
  <c r="R937" i="3"/>
  <c r="R938" i="3"/>
  <c r="R939" i="3"/>
  <c r="R940" i="3"/>
  <c r="R941" i="3"/>
  <c r="R942" i="3"/>
  <c r="R943" i="3"/>
  <c r="R944" i="3"/>
  <c r="R945" i="3"/>
  <c r="R946" i="3"/>
  <c r="R947" i="3"/>
  <c r="R948" i="3"/>
  <c r="R949" i="3"/>
  <c r="R950" i="3"/>
  <c r="R951" i="3"/>
  <c r="R952" i="3"/>
  <c r="R953" i="3"/>
  <c r="R954" i="3"/>
  <c r="R955" i="3"/>
  <c r="R956" i="3"/>
  <c r="R957" i="3"/>
  <c r="R958" i="3"/>
  <c r="R959" i="3"/>
  <c r="R960" i="3"/>
  <c r="R961" i="3"/>
  <c r="R962" i="3"/>
  <c r="R963" i="3"/>
  <c r="R964" i="3"/>
  <c r="R965" i="3"/>
  <c r="R966" i="3"/>
  <c r="R967" i="3"/>
  <c r="R968" i="3"/>
  <c r="R969" i="3"/>
  <c r="R970" i="3"/>
  <c r="R971" i="3"/>
  <c r="R972" i="3"/>
  <c r="R973" i="3"/>
  <c r="R974" i="3"/>
  <c r="R975" i="3"/>
  <c r="R976" i="3"/>
  <c r="R977" i="3"/>
  <c r="R978" i="3"/>
  <c r="R979" i="3"/>
  <c r="R980" i="3"/>
  <c r="R981" i="3"/>
  <c r="R982" i="3"/>
  <c r="R983" i="3"/>
  <c r="R984" i="3"/>
  <c r="R985" i="3"/>
  <c r="R986" i="3"/>
  <c r="R987" i="3"/>
  <c r="R988" i="3"/>
  <c r="R989" i="3"/>
  <c r="R990" i="3"/>
  <c r="R991" i="3"/>
  <c r="R992" i="3"/>
  <c r="R993" i="3"/>
  <c r="R994" i="3"/>
  <c r="R995" i="3"/>
  <c r="R996" i="3"/>
  <c r="R997" i="3"/>
  <c r="R998" i="3"/>
  <c r="R999" i="3"/>
  <c r="R1000" i="3"/>
  <c r="R3" i="3"/>
  <c r="R2" i="3"/>
  <c r="Q1000" i="3"/>
  <c r="Q999" i="3"/>
  <c r="Q998" i="3"/>
  <c r="Q997" i="3"/>
  <c r="Q996" i="3"/>
  <c r="Q995" i="3"/>
  <c r="Q994" i="3"/>
  <c r="Q993" i="3"/>
  <c r="Q992" i="3"/>
  <c r="Q991" i="3"/>
  <c r="Q990" i="3"/>
  <c r="Q989" i="3"/>
  <c r="Q988" i="3"/>
  <c r="Q987" i="3"/>
  <c r="Q986" i="3"/>
  <c r="Q985" i="3"/>
  <c r="Q984" i="3"/>
  <c r="Q983" i="3"/>
  <c r="Q982" i="3"/>
  <c r="Q981" i="3"/>
  <c r="Q980" i="3"/>
  <c r="Q979" i="3"/>
  <c r="Q978" i="3"/>
  <c r="Q977" i="3"/>
  <c r="Q976" i="3"/>
  <c r="Q975" i="3"/>
  <c r="Q974" i="3"/>
  <c r="Q973" i="3"/>
  <c r="Q972" i="3"/>
  <c r="Q971" i="3"/>
  <c r="Q970" i="3"/>
  <c r="Q969" i="3"/>
  <c r="Q968" i="3"/>
  <c r="Q967" i="3"/>
  <c r="Q966" i="3"/>
  <c r="Q965" i="3"/>
  <c r="Q964" i="3"/>
  <c r="Q963" i="3"/>
  <c r="Q962" i="3"/>
  <c r="Q961" i="3"/>
  <c r="Q960" i="3"/>
  <c r="Q959" i="3"/>
  <c r="Q958" i="3"/>
  <c r="Q957" i="3"/>
  <c r="Q956" i="3"/>
  <c r="Q955" i="3"/>
  <c r="Q954" i="3"/>
  <c r="Q953" i="3"/>
  <c r="Q952" i="3"/>
  <c r="Q951" i="3"/>
  <c r="Q950" i="3"/>
  <c r="Q949" i="3"/>
  <c r="Q948" i="3"/>
  <c r="Q947" i="3"/>
  <c r="Q946" i="3"/>
  <c r="Q945" i="3"/>
  <c r="Q944" i="3"/>
  <c r="Q943" i="3"/>
  <c r="Q942" i="3"/>
  <c r="Q941" i="3"/>
  <c r="Q940" i="3"/>
  <c r="Q939" i="3"/>
  <c r="Q938" i="3"/>
  <c r="Q937" i="3"/>
  <c r="Q936" i="3"/>
  <c r="Q935" i="3"/>
  <c r="Q934" i="3"/>
  <c r="Q933" i="3"/>
  <c r="Q932" i="3"/>
  <c r="Q931" i="3"/>
  <c r="Q930" i="3"/>
  <c r="Q929" i="3"/>
  <c r="Q928" i="3"/>
  <c r="Q927" i="3"/>
  <c r="Q926" i="3"/>
  <c r="Q925" i="3"/>
  <c r="Q924" i="3"/>
  <c r="Q923" i="3"/>
  <c r="Q922" i="3"/>
  <c r="Q921" i="3"/>
  <c r="Q920" i="3"/>
  <c r="Q919" i="3"/>
  <c r="Q918" i="3"/>
  <c r="Q917" i="3"/>
  <c r="Q916" i="3"/>
  <c r="Q915" i="3"/>
  <c r="Q914" i="3"/>
  <c r="Q913" i="3"/>
  <c r="Q912" i="3"/>
  <c r="Q911" i="3"/>
  <c r="Q910" i="3"/>
  <c r="Q909" i="3"/>
  <c r="Q908" i="3"/>
  <c r="Q907" i="3"/>
  <c r="Q906" i="3"/>
  <c r="Q905" i="3"/>
  <c r="Q904" i="3"/>
  <c r="Q903" i="3"/>
  <c r="Q902" i="3"/>
  <c r="Q901" i="3"/>
  <c r="Q900" i="3"/>
  <c r="Q899" i="3"/>
  <c r="Q898" i="3"/>
  <c r="Q897" i="3"/>
  <c r="Q896" i="3"/>
  <c r="Q895" i="3"/>
  <c r="Q894" i="3"/>
  <c r="Q893" i="3"/>
  <c r="Q892" i="3"/>
  <c r="Q891" i="3"/>
  <c r="Q890" i="3"/>
  <c r="Q889" i="3"/>
  <c r="Q888" i="3"/>
  <c r="Q887" i="3"/>
  <c r="Q886" i="3"/>
  <c r="Q885" i="3"/>
  <c r="Q884" i="3"/>
  <c r="Q883" i="3"/>
  <c r="Q882" i="3"/>
  <c r="Q881" i="3"/>
  <c r="Q880" i="3"/>
  <c r="Q879" i="3"/>
  <c r="Q878" i="3"/>
  <c r="Q877" i="3"/>
  <c r="Q876" i="3"/>
  <c r="Q875" i="3"/>
  <c r="Q874" i="3"/>
  <c r="Q873" i="3"/>
  <c r="Q872" i="3"/>
  <c r="Q871" i="3"/>
  <c r="Q870" i="3"/>
  <c r="Q869" i="3"/>
  <c r="Q868" i="3"/>
  <c r="Q867" i="3"/>
  <c r="Q866" i="3"/>
  <c r="Q865" i="3"/>
  <c r="Q864" i="3"/>
  <c r="Q863" i="3"/>
  <c r="Q862" i="3"/>
  <c r="Q861" i="3"/>
  <c r="Q860" i="3"/>
  <c r="Q859" i="3"/>
  <c r="Q858" i="3"/>
  <c r="Q857" i="3"/>
  <c r="Q856" i="3"/>
  <c r="Q855" i="3"/>
  <c r="Q854" i="3"/>
  <c r="Q853" i="3"/>
  <c r="Q852" i="3"/>
  <c r="Q851" i="3"/>
  <c r="Q850" i="3"/>
  <c r="Q849" i="3"/>
  <c r="Q848" i="3"/>
  <c r="Q847" i="3"/>
  <c r="Q846" i="3"/>
  <c r="Q845" i="3"/>
  <c r="Q844" i="3"/>
  <c r="Q843" i="3"/>
  <c r="Q842" i="3"/>
  <c r="Q841" i="3"/>
  <c r="Q840" i="3"/>
  <c r="Q839" i="3"/>
  <c r="Q838" i="3"/>
  <c r="Q837" i="3"/>
  <c r="Q836" i="3"/>
  <c r="Q835" i="3"/>
  <c r="Q834" i="3"/>
  <c r="Q833" i="3"/>
  <c r="Q832" i="3"/>
  <c r="Q831" i="3"/>
  <c r="Q830" i="3"/>
  <c r="Q829" i="3"/>
  <c r="Q828" i="3"/>
  <c r="Q827" i="3"/>
  <c r="Q826" i="3"/>
  <c r="Q825" i="3"/>
  <c r="Q824" i="3"/>
  <c r="Q823" i="3"/>
  <c r="Q822" i="3"/>
  <c r="Q821" i="3"/>
  <c r="Q820" i="3"/>
  <c r="Q819" i="3"/>
  <c r="Q818" i="3"/>
  <c r="Q817" i="3"/>
  <c r="Q816" i="3"/>
  <c r="Q815" i="3"/>
  <c r="Q814" i="3"/>
  <c r="Q813" i="3"/>
  <c r="Q812" i="3"/>
  <c r="Q811" i="3"/>
  <c r="Q810" i="3"/>
  <c r="Q809" i="3"/>
  <c r="Q808" i="3"/>
  <c r="Q807" i="3"/>
  <c r="Q806" i="3"/>
  <c r="Q805" i="3"/>
  <c r="Q804" i="3"/>
  <c r="Q803" i="3"/>
  <c r="Q802" i="3"/>
  <c r="Q801" i="3"/>
  <c r="Q800" i="3"/>
  <c r="Q799" i="3"/>
  <c r="Q798" i="3"/>
  <c r="Q797" i="3"/>
  <c r="Q796" i="3"/>
  <c r="Q795" i="3"/>
  <c r="Q794" i="3"/>
  <c r="Q793" i="3"/>
  <c r="Q792" i="3"/>
  <c r="Q791" i="3"/>
  <c r="Q790" i="3"/>
  <c r="Q789" i="3"/>
  <c r="Q788" i="3"/>
  <c r="Q787" i="3"/>
  <c r="Q786" i="3"/>
  <c r="Q785" i="3"/>
  <c r="Q784" i="3"/>
  <c r="Q783" i="3"/>
  <c r="Q782" i="3"/>
  <c r="Q781" i="3"/>
  <c r="Q780" i="3"/>
  <c r="Q779" i="3"/>
  <c r="Q778" i="3"/>
  <c r="Q777" i="3"/>
  <c r="Q776" i="3"/>
  <c r="Q775" i="3"/>
  <c r="Q774" i="3"/>
  <c r="Q773" i="3"/>
  <c r="Q772" i="3"/>
  <c r="Q771" i="3"/>
  <c r="Q770" i="3"/>
  <c r="Q769" i="3"/>
  <c r="Q768" i="3"/>
  <c r="Q767" i="3"/>
  <c r="Q766" i="3"/>
  <c r="Q765" i="3"/>
  <c r="Q764" i="3"/>
  <c r="Q763" i="3"/>
  <c r="Q762" i="3"/>
  <c r="Q761" i="3"/>
  <c r="Q760" i="3"/>
  <c r="Q759" i="3"/>
  <c r="Q758" i="3"/>
  <c r="Q757" i="3"/>
  <c r="Q756" i="3"/>
  <c r="Q755" i="3"/>
  <c r="Q754" i="3"/>
  <c r="Q753" i="3"/>
  <c r="Q752" i="3"/>
  <c r="Q751" i="3"/>
  <c r="Q750" i="3"/>
  <c r="Q749" i="3"/>
  <c r="Q748" i="3"/>
  <c r="Q747" i="3"/>
  <c r="Q746" i="3"/>
  <c r="Q745" i="3"/>
  <c r="Q744" i="3"/>
  <c r="Q743" i="3"/>
  <c r="Q742" i="3"/>
  <c r="Q741" i="3"/>
  <c r="Q740" i="3"/>
  <c r="Q739" i="3"/>
  <c r="Q738" i="3"/>
  <c r="Q737" i="3"/>
  <c r="Q736" i="3"/>
  <c r="Q735" i="3"/>
  <c r="Q734" i="3"/>
  <c r="Q733" i="3"/>
  <c r="Q732" i="3"/>
  <c r="Q731" i="3"/>
  <c r="Q730" i="3"/>
  <c r="Q729" i="3"/>
  <c r="Q728" i="3"/>
  <c r="Q727" i="3"/>
  <c r="Q726" i="3"/>
  <c r="Q725" i="3"/>
  <c r="Q724" i="3"/>
  <c r="Q723" i="3"/>
  <c r="Q722" i="3"/>
  <c r="Q721" i="3"/>
  <c r="Q720" i="3"/>
  <c r="Q719" i="3"/>
  <c r="Q718" i="3"/>
  <c r="Q717" i="3"/>
  <c r="Q716" i="3"/>
  <c r="Q715" i="3"/>
  <c r="Q714" i="3"/>
  <c r="Q713" i="3"/>
  <c r="Q712" i="3"/>
  <c r="Q711" i="3"/>
  <c r="Q710" i="3"/>
  <c r="Q709" i="3"/>
  <c r="Q708" i="3"/>
  <c r="Q707" i="3"/>
  <c r="Q706" i="3"/>
  <c r="Q705" i="3"/>
  <c r="Q704" i="3"/>
  <c r="Q703" i="3"/>
  <c r="Q702" i="3"/>
  <c r="Q701" i="3"/>
  <c r="Q700" i="3"/>
  <c r="Q699" i="3"/>
  <c r="Q698" i="3"/>
  <c r="Q697" i="3"/>
  <c r="Q696" i="3"/>
  <c r="Q695" i="3"/>
  <c r="Q694" i="3"/>
  <c r="Q693" i="3"/>
  <c r="Q692" i="3"/>
  <c r="Q691" i="3"/>
  <c r="Q690" i="3"/>
  <c r="Q689" i="3"/>
  <c r="Q688" i="3"/>
  <c r="Q687" i="3"/>
  <c r="Q686" i="3"/>
  <c r="Q685" i="3"/>
  <c r="Q684" i="3"/>
  <c r="Q683" i="3"/>
  <c r="Q682" i="3"/>
  <c r="Q681" i="3"/>
  <c r="Q680" i="3"/>
  <c r="Q679" i="3"/>
  <c r="Q678" i="3"/>
  <c r="Q677" i="3"/>
  <c r="Q676" i="3"/>
  <c r="Q675" i="3"/>
  <c r="Q674" i="3"/>
  <c r="Q673" i="3"/>
  <c r="Q672" i="3"/>
  <c r="Q671" i="3"/>
  <c r="Q670" i="3"/>
  <c r="Q669" i="3"/>
  <c r="Q668" i="3"/>
  <c r="Q667" i="3"/>
  <c r="Q666" i="3"/>
  <c r="Q665" i="3"/>
  <c r="Q664" i="3"/>
  <c r="Q663" i="3"/>
  <c r="Q662" i="3"/>
  <c r="Q661" i="3"/>
  <c r="Q660" i="3"/>
  <c r="Q659" i="3"/>
  <c r="Q658" i="3"/>
  <c r="Q657" i="3"/>
  <c r="Q656" i="3"/>
  <c r="Q655" i="3"/>
  <c r="Q654" i="3"/>
  <c r="Q653" i="3"/>
  <c r="Q652" i="3"/>
  <c r="Q651" i="3"/>
  <c r="Q650" i="3"/>
  <c r="Q649" i="3"/>
  <c r="Q648" i="3"/>
  <c r="Q647" i="3"/>
  <c r="Q646" i="3"/>
  <c r="Q645" i="3"/>
  <c r="Q644" i="3"/>
  <c r="Q643" i="3"/>
  <c r="Q642" i="3"/>
  <c r="Q641" i="3"/>
  <c r="Q640" i="3"/>
  <c r="Q639" i="3"/>
  <c r="Q638" i="3"/>
  <c r="Q637" i="3"/>
  <c r="Q636" i="3"/>
  <c r="Q635" i="3"/>
  <c r="Q634" i="3"/>
  <c r="Q633" i="3"/>
  <c r="Q632" i="3"/>
  <c r="Q631" i="3"/>
  <c r="Q630" i="3"/>
  <c r="Q629" i="3"/>
  <c r="Q628" i="3"/>
  <c r="Q627" i="3"/>
  <c r="Q626" i="3"/>
  <c r="Q625" i="3"/>
  <c r="Q624" i="3"/>
  <c r="Q623" i="3"/>
  <c r="Q622" i="3"/>
  <c r="Q621" i="3"/>
  <c r="Q620" i="3"/>
  <c r="Q619" i="3"/>
  <c r="Q618" i="3"/>
  <c r="Q617" i="3"/>
  <c r="Q616" i="3"/>
  <c r="Q615" i="3"/>
  <c r="Q614" i="3"/>
  <c r="Q613" i="3"/>
  <c r="Q612" i="3"/>
  <c r="Q611" i="3"/>
  <c r="Q610" i="3"/>
  <c r="Q609" i="3"/>
  <c r="Q608" i="3"/>
  <c r="Q607" i="3"/>
  <c r="Q606" i="3"/>
  <c r="Q605" i="3"/>
  <c r="Q604" i="3"/>
  <c r="Q603" i="3"/>
  <c r="Q602" i="3"/>
  <c r="Q601" i="3"/>
  <c r="Q600" i="3"/>
  <c r="Q599" i="3"/>
  <c r="Q598" i="3"/>
  <c r="Q597" i="3"/>
  <c r="Q596" i="3"/>
  <c r="Q595" i="3"/>
  <c r="Q594" i="3"/>
  <c r="Q593" i="3"/>
  <c r="Q592" i="3"/>
  <c r="Q591" i="3"/>
  <c r="Q590" i="3"/>
  <c r="Q589" i="3"/>
  <c r="Q588" i="3"/>
  <c r="Q587" i="3"/>
  <c r="Q586" i="3"/>
  <c r="Q585" i="3"/>
  <c r="Q584" i="3"/>
  <c r="Q583" i="3"/>
  <c r="Q582" i="3"/>
  <c r="Q581" i="3"/>
  <c r="Q580" i="3"/>
  <c r="Q579" i="3"/>
  <c r="Q578" i="3"/>
  <c r="Q577" i="3"/>
  <c r="Q576" i="3"/>
  <c r="Q575" i="3"/>
  <c r="Q574" i="3"/>
  <c r="Q573" i="3"/>
  <c r="Q572" i="3"/>
  <c r="Q571" i="3"/>
  <c r="Q570" i="3"/>
  <c r="Q569" i="3"/>
  <c r="Q568" i="3"/>
  <c r="Q567" i="3"/>
  <c r="Q566" i="3"/>
  <c r="Q565" i="3"/>
  <c r="Q564" i="3"/>
  <c r="Q563" i="3"/>
  <c r="Q562" i="3"/>
  <c r="Q561" i="3"/>
  <c r="Q560" i="3"/>
  <c r="Q559" i="3"/>
  <c r="Q558" i="3"/>
  <c r="Q557" i="3"/>
  <c r="Q556" i="3"/>
  <c r="Q555" i="3"/>
  <c r="Q554" i="3"/>
  <c r="Q553" i="3"/>
  <c r="Q552" i="3"/>
  <c r="Q551" i="3"/>
  <c r="Q550" i="3"/>
  <c r="Q549" i="3"/>
  <c r="Q548" i="3"/>
  <c r="Q547" i="3"/>
  <c r="Q546" i="3"/>
  <c r="Q545" i="3"/>
  <c r="Q544" i="3"/>
  <c r="Q543" i="3"/>
  <c r="Q542" i="3"/>
  <c r="Q541" i="3"/>
  <c r="Q540" i="3"/>
  <c r="Q539" i="3"/>
  <c r="Q538" i="3"/>
  <c r="Q537" i="3"/>
  <c r="Q536" i="3"/>
  <c r="Q535" i="3"/>
  <c r="Q534" i="3"/>
  <c r="Q533" i="3"/>
  <c r="Q532" i="3"/>
  <c r="Q531" i="3"/>
  <c r="Q530" i="3"/>
  <c r="Q529" i="3"/>
  <c r="Q528" i="3"/>
  <c r="Q527" i="3"/>
  <c r="Q526" i="3"/>
  <c r="Q525" i="3"/>
  <c r="Q524" i="3"/>
  <c r="Q523" i="3"/>
  <c r="Q522" i="3"/>
  <c r="Q521" i="3"/>
  <c r="Q520" i="3"/>
  <c r="Q519" i="3"/>
  <c r="Q518" i="3"/>
  <c r="Q517" i="3"/>
  <c r="Q516" i="3"/>
  <c r="Q515" i="3"/>
  <c r="Q514" i="3"/>
  <c r="Q513" i="3"/>
  <c r="Q512" i="3"/>
  <c r="Q511" i="3"/>
  <c r="Q510" i="3"/>
  <c r="Q509" i="3"/>
  <c r="Q508" i="3"/>
  <c r="Q507" i="3"/>
  <c r="Q506" i="3"/>
  <c r="Q505" i="3"/>
  <c r="Q504" i="3"/>
  <c r="Q503" i="3"/>
  <c r="Q502" i="3"/>
  <c r="Q501" i="3"/>
  <c r="Q500" i="3"/>
  <c r="Q499" i="3"/>
  <c r="Q498" i="3"/>
  <c r="Q497" i="3"/>
  <c r="Q496" i="3"/>
  <c r="Q495" i="3"/>
  <c r="Q494" i="3"/>
  <c r="Q493" i="3"/>
  <c r="Q492" i="3"/>
  <c r="Q491" i="3"/>
  <c r="Q490" i="3"/>
  <c r="Q489" i="3"/>
  <c r="Q488" i="3"/>
  <c r="Q487" i="3"/>
  <c r="Q486" i="3"/>
  <c r="Q485" i="3"/>
  <c r="Q484" i="3"/>
  <c r="Q483" i="3"/>
  <c r="Q482" i="3"/>
  <c r="Q481" i="3"/>
  <c r="Q480" i="3"/>
  <c r="Q479" i="3"/>
  <c r="Q478" i="3"/>
  <c r="Q477" i="3"/>
  <c r="Q476" i="3"/>
  <c r="Q475" i="3"/>
  <c r="Q474" i="3"/>
  <c r="Q473" i="3"/>
  <c r="Q472" i="3"/>
  <c r="Q471" i="3"/>
  <c r="Q470" i="3"/>
  <c r="Q469" i="3"/>
  <c r="Q468" i="3"/>
  <c r="Q467" i="3"/>
  <c r="Q466" i="3"/>
  <c r="Q465" i="3"/>
  <c r="Q464" i="3"/>
  <c r="Q463" i="3"/>
  <c r="Q462" i="3"/>
  <c r="Q461" i="3"/>
  <c r="Q460" i="3"/>
  <c r="Q459" i="3"/>
  <c r="Q458" i="3"/>
  <c r="Q457" i="3"/>
  <c r="Q456" i="3"/>
  <c r="Q455" i="3"/>
  <c r="Q454" i="3"/>
  <c r="Q453" i="3"/>
  <c r="Q452" i="3"/>
  <c r="Q451" i="3"/>
  <c r="Q450" i="3"/>
  <c r="Q449" i="3"/>
  <c r="Q448" i="3"/>
  <c r="Q447" i="3"/>
  <c r="Q446" i="3"/>
  <c r="Q445" i="3"/>
  <c r="Q444" i="3"/>
  <c r="Q443" i="3"/>
  <c r="Q442" i="3"/>
  <c r="Q441" i="3"/>
  <c r="Q440" i="3"/>
  <c r="Q439" i="3"/>
  <c r="Q438" i="3"/>
  <c r="Q437" i="3"/>
  <c r="Q436" i="3"/>
  <c r="Q435" i="3"/>
  <c r="Q434" i="3"/>
  <c r="Q433" i="3"/>
  <c r="Q432" i="3"/>
  <c r="Q431" i="3"/>
  <c r="Q430" i="3"/>
  <c r="Q429" i="3"/>
  <c r="Q428" i="3"/>
  <c r="Q427" i="3"/>
  <c r="Q426" i="3"/>
  <c r="Q425" i="3"/>
  <c r="Q424" i="3"/>
  <c r="Q423" i="3"/>
  <c r="Q422" i="3"/>
  <c r="Q421" i="3"/>
  <c r="Q420" i="3"/>
  <c r="Q419" i="3"/>
  <c r="Q418" i="3"/>
  <c r="Q417" i="3"/>
  <c r="Q416" i="3"/>
  <c r="Q415" i="3"/>
  <c r="Q414" i="3"/>
  <c r="Q413" i="3"/>
  <c r="Q412" i="3"/>
  <c r="Q411" i="3"/>
  <c r="Q410" i="3"/>
  <c r="Q409" i="3"/>
  <c r="Q408" i="3"/>
  <c r="Q407" i="3"/>
  <c r="Q406" i="3"/>
  <c r="Q405" i="3"/>
  <c r="Q404" i="3"/>
  <c r="Q403" i="3"/>
  <c r="Q402" i="3"/>
  <c r="Q401" i="3"/>
  <c r="Q400" i="3"/>
  <c r="Q399" i="3"/>
  <c r="Q398" i="3"/>
  <c r="Q397" i="3"/>
  <c r="Q396" i="3"/>
  <c r="Q395" i="3"/>
  <c r="Q394" i="3"/>
  <c r="Q393" i="3"/>
  <c r="Q392" i="3"/>
  <c r="Q391" i="3"/>
  <c r="Q390" i="3"/>
  <c r="Q389" i="3"/>
  <c r="Q388" i="3"/>
  <c r="Q387" i="3"/>
  <c r="Q386" i="3"/>
  <c r="Q385" i="3"/>
  <c r="Q384" i="3"/>
  <c r="Q383" i="3"/>
  <c r="Q382" i="3"/>
  <c r="Q381" i="3"/>
  <c r="Q380" i="3"/>
  <c r="Q379" i="3"/>
  <c r="Q378" i="3"/>
  <c r="Q377" i="3"/>
  <c r="Q376" i="3"/>
  <c r="Q375" i="3"/>
  <c r="Q374" i="3"/>
  <c r="Q373" i="3"/>
  <c r="Q372" i="3"/>
  <c r="Q371" i="3"/>
  <c r="Q370" i="3"/>
  <c r="Q369" i="3"/>
  <c r="Q368" i="3"/>
  <c r="Q367" i="3"/>
  <c r="Q366" i="3"/>
  <c r="Q365" i="3"/>
  <c r="Q364" i="3"/>
  <c r="Q363" i="3"/>
  <c r="Q362" i="3"/>
  <c r="Q361" i="3"/>
  <c r="Q360" i="3"/>
  <c r="Q359" i="3"/>
  <c r="Q358" i="3"/>
  <c r="Q357" i="3"/>
  <c r="Q356" i="3"/>
  <c r="Q355" i="3"/>
  <c r="Q354" i="3"/>
  <c r="Q353" i="3"/>
  <c r="Q352" i="3"/>
  <c r="Q351" i="3"/>
  <c r="Q350" i="3"/>
  <c r="Q349" i="3"/>
  <c r="Q348" i="3"/>
  <c r="Q347" i="3"/>
  <c r="Q346" i="3"/>
  <c r="Q345" i="3"/>
  <c r="Q344" i="3"/>
  <c r="Q343" i="3"/>
  <c r="Q342" i="3"/>
  <c r="Q341" i="3"/>
  <c r="Q340" i="3"/>
  <c r="Q339" i="3"/>
  <c r="Q338" i="3"/>
  <c r="Q337" i="3"/>
  <c r="Q336" i="3"/>
  <c r="Q335" i="3"/>
  <c r="Q334" i="3"/>
  <c r="Q333" i="3"/>
  <c r="Q332" i="3"/>
  <c r="Q331" i="3"/>
  <c r="Q330" i="3"/>
  <c r="Q329" i="3"/>
  <c r="Q328" i="3"/>
  <c r="Q327" i="3"/>
  <c r="Q326" i="3"/>
  <c r="Q325" i="3"/>
  <c r="Q324" i="3"/>
  <c r="Q323" i="3"/>
  <c r="Q322" i="3"/>
  <c r="Q321" i="3"/>
  <c r="Q320" i="3"/>
  <c r="Q319" i="3"/>
  <c r="Q318" i="3"/>
  <c r="Q317" i="3"/>
  <c r="Q316" i="3"/>
  <c r="Q315" i="3"/>
  <c r="Q314" i="3"/>
  <c r="Q313" i="3"/>
  <c r="Q312" i="3"/>
  <c r="Q311" i="3"/>
  <c r="Q310" i="3"/>
  <c r="Q309" i="3"/>
  <c r="Q308" i="3"/>
  <c r="Q307" i="3"/>
  <c r="Q306" i="3"/>
  <c r="Q305" i="3"/>
  <c r="Q304" i="3"/>
  <c r="Q303" i="3"/>
  <c r="Q302" i="3"/>
  <c r="Q301" i="3"/>
  <c r="Q300" i="3"/>
  <c r="Q299" i="3"/>
  <c r="Q298" i="3"/>
  <c r="Q297" i="3"/>
  <c r="Q296" i="3"/>
  <c r="Q295" i="3"/>
  <c r="Q294" i="3"/>
  <c r="Q293" i="3"/>
  <c r="Q292" i="3"/>
  <c r="Q291" i="3"/>
  <c r="Q290" i="3"/>
  <c r="Q289" i="3"/>
  <c r="Q288" i="3"/>
  <c r="Q287" i="3"/>
  <c r="Q286" i="3"/>
  <c r="Q285" i="3"/>
  <c r="Q284" i="3"/>
  <c r="Q283" i="3"/>
  <c r="Q282" i="3"/>
  <c r="Q281" i="3"/>
  <c r="Q280" i="3"/>
  <c r="Q279" i="3"/>
  <c r="Q278" i="3"/>
  <c r="Q277" i="3"/>
  <c r="Q276" i="3"/>
  <c r="Q275" i="3"/>
  <c r="Q274" i="3"/>
  <c r="Q273" i="3"/>
  <c r="Q272" i="3"/>
  <c r="Q271" i="3"/>
  <c r="Q270" i="3"/>
  <c r="Q269" i="3"/>
  <c r="Q268" i="3"/>
  <c r="Q267" i="3"/>
  <c r="Q266" i="3"/>
  <c r="Q265" i="3"/>
  <c r="Q264" i="3"/>
  <c r="Q263" i="3"/>
  <c r="Q262" i="3"/>
  <c r="Q261" i="3"/>
  <c r="Q260" i="3"/>
  <c r="Q259" i="3"/>
  <c r="Q258" i="3"/>
  <c r="Q257" i="3"/>
  <c r="Q256" i="3"/>
  <c r="Q255" i="3"/>
  <c r="Q254" i="3"/>
  <c r="Q253" i="3"/>
  <c r="Q252" i="3"/>
  <c r="Q251" i="3"/>
  <c r="Q250" i="3"/>
  <c r="Q249" i="3"/>
  <c r="Q248" i="3"/>
  <c r="Q247" i="3"/>
  <c r="Q246" i="3"/>
  <c r="Q245" i="3"/>
  <c r="Q244" i="3"/>
  <c r="Q243" i="3"/>
  <c r="Q242" i="3"/>
  <c r="Q241" i="3"/>
  <c r="Q240" i="3"/>
  <c r="Q239" i="3"/>
  <c r="Q238" i="3"/>
  <c r="Q237" i="3"/>
  <c r="Q236" i="3"/>
  <c r="Q235" i="3"/>
  <c r="Q234" i="3"/>
  <c r="Q233" i="3"/>
  <c r="Q232" i="3"/>
  <c r="Q231" i="3"/>
  <c r="Q230" i="3"/>
  <c r="Q229" i="3"/>
  <c r="Q228" i="3"/>
  <c r="Q227" i="3"/>
  <c r="Q226" i="3"/>
  <c r="Q225" i="3"/>
  <c r="Q224" i="3"/>
  <c r="Q223" i="3"/>
  <c r="Q222" i="3"/>
  <c r="Q221" i="3"/>
  <c r="Q220" i="3"/>
  <c r="Q219" i="3"/>
  <c r="Q218" i="3"/>
  <c r="Q217" i="3"/>
  <c r="Q216" i="3"/>
  <c r="Q215" i="3"/>
  <c r="Q214" i="3"/>
  <c r="Q213" i="3"/>
  <c r="Q212" i="3"/>
  <c r="Q211" i="3"/>
  <c r="Q210" i="3"/>
  <c r="Q209" i="3"/>
  <c r="Q208" i="3"/>
  <c r="Q207" i="3"/>
  <c r="Q206" i="3"/>
  <c r="Q205" i="3"/>
  <c r="Q204" i="3"/>
  <c r="Q203" i="3"/>
  <c r="Q202" i="3"/>
  <c r="Q201" i="3"/>
  <c r="Q200" i="3"/>
  <c r="Q199" i="3"/>
  <c r="Q198" i="3"/>
  <c r="Q197" i="3"/>
  <c r="Q196" i="3"/>
  <c r="Q195" i="3"/>
  <c r="Q194" i="3"/>
  <c r="Q193" i="3"/>
  <c r="Q192" i="3"/>
  <c r="Q191" i="3"/>
  <c r="Q190" i="3"/>
  <c r="Q189" i="3"/>
  <c r="Q188" i="3"/>
  <c r="Q187" i="3"/>
  <c r="Q186" i="3"/>
  <c r="Q185" i="3"/>
  <c r="Q184" i="3"/>
  <c r="Q183" i="3"/>
  <c r="Q182" i="3"/>
  <c r="Q181" i="3"/>
  <c r="Q180" i="3"/>
  <c r="Q179" i="3"/>
  <c r="Q178" i="3"/>
  <c r="Q177" i="3"/>
  <c r="Q176" i="3"/>
  <c r="Q175" i="3"/>
  <c r="Q174" i="3"/>
  <c r="Q173" i="3"/>
  <c r="Q172" i="3"/>
  <c r="Q171" i="3"/>
  <c r="Q170" i="3"/>
  <c r="Q169" i="3"/>
  <c r="Q168" i="3"/>
  <c r="Q167" i="3"/>
  <c r="Q166" i="3"/>
  <c r="Q165" i="3"/>
  <c r="Q164" i="3"/>
  <c r="Q163" i="3"/>
  <c r="Q162" i="3"/>
  <c r="Q161" i="3"/>
  <c r="Q160" i="3"/>
  <c r="Q159" i="3"/>
  <c r="Q158" i="3"/>
  <c r="Q157" i="3"/>
  <c r="Q156" i="3"/>
  <c r="Q155" i="3"/>
  <c r="Q154" i="3"/>
  <c r="Q153" i="3"/>
  <c r="Q152" i="3"/>
  <c r="Q151" i="3"/>
  <c r="Q150" i="3"/>
  <c r="Q149" i="3"/>
  <c r="Q148" i="3"/>
  <c r="Q147" i="3"/>
  <c r="Q146" i="3"/>
  <c r="Q145" i="3"/>
  <c r="Q144" i="3"/>
  <c r="Q143" i="3"/>
  <c r="Q142" i="3"/>
  <c r="Q141" i="3"/>
  <c r="Q140" i="3"/>
  <c r="Q139" i="3"/>
  <c r="Q138" i="3"/>
  <c r="Q137" i="3"/>
  <c r="Q136" i="3"/>
  <c r="Q135" i="3"/>
  <c r="Q134" i="3"/>
  <c r="Q133" i="3"/>
  <c r="Q132" i="3"/>
  <c r="Q131" i="3"/>
  <c r="Q130" i="3"/>
  <c r="Q129" i="3"/>
  <c r="Q128" i="3"/>
  <c r="Q127" i="3"/>
  <c r="Q126" i="3"/>
  <c r="Q125" i="3"/>
  <c r="Q124" i="3"/>
  <c r="Q123" i="3"/>
  <c r="Q122" i="3"/>
  <c r="Q121" i="3"/>
  <c r="Q120" i="3"/>
  <c r="Q119" i="3"/>
  <c r="Q118" i="3"/>
  <c r="Q117" i="3"/>
  <c r="Q116" i="3"/>
  <c r="Q115" i="3"/>
  <c r="Q114" i="3"/>
  <c r="Q113" i="3"/>
  <c r="Q112" i="3"/>
  <c r="Q111" i="3"/>
  <c r="Q110" i="3"/>
  <c r="Q109" i="3"/>
  <c r="Q108" i="3"/>
  <c r="Q107" i="3"/>
  <c r="Q106" i="3"/>
  <c r="Q105" i="3"/>
  <c r="Q104" i="3"/>
  <c r="Q103" i="3"/>
  <c r="Q102" i="3"/>
  <c r="Q101" i="3"/>
  <c r="Q100" i="3"/>
  <c r="Q99" i="3"/>
  <c r="Q98" i="3"/>
  <c r="Q97" i="3"/>
  <c r="Q96" i="3"/>
  <c r="Q95" i="3"/>
  <c r="Q94" i="3"/>
  <c r="Q93" i="3"/>
  <c r="Q92" i="3"/>
  <c r="Q91" i="3"/>
  <c r="Q90" i="3"/>
  <c r="Q89" i="3"/>
  <c r="Q88" i="3"/>
  <c r="Q87" i="3"/>
  <c r="Q86" i="3"/>
  <c r="Q85" i="3"/>
  <c r="Q84" i="3"/>
  <c r="Q83" i="3"/>
  <c r="Q82" i="3"/>
  <c r="Q81" i="3"/>
  <c r="Q80" i="3"/>
  <c r="Q79" i="3"/>
  <c r="Q78" i="3"/>
  <c r="Q77" i="3"/>
  <c r="Q76" i="3"/>
  <c r="Q75" i="3"/>
  <c r="Q74" i="3"/>
  <c r="Q73" i="3"/>
  <c r="Q72" i="3"/>
  <c r="Q71" i="3"/>
  <c r="Q70" i="3"/>
  <c r="Q69" i="3"/>
  <c r="Q68" i="3"/>
  <c r="Q67" i="3"/>
  <c r="Q66" i="3"/>
  <c r="Q65" i="3"/>
  <c r="Q64" i="3"/>
  <c r="Q63" i="3"/>
  <c r="Q62" i="3"/>
  <c r="Q61" i="3"/>
  <c r="Q60" i="3"/>
  <c r="Q59" i="3"/>
  <c r="Q58" i="3"/>
  <c r="Q57" i="3"/>
  <c r="Q56" i="3"/>
  <c r="Q55" i="3"/>
  <c r="Q54" i="3"/>
  <c r="Q53" i="3"/>
  <c r="Q52" i="3"/>
  <c r="Q51" i="3"/>
  <c r="Q50" i="3"/>
  <c r="Q49" i="3"/>
  <c r="Q48" i="3"/>
  <c r="Q47" i="3"/>
  <c r="Q46" i="3"/>
  <c r="Q45" i="3"/>
  <c r="Q44" i="3"/>
  <c r="Q43" i="3"/>
  <c r="Q42" i="3"/>
  <c r="Q41" i="3"/>
  <c r="Q40" i="3"/>
  <c r="Q39" i="3"/>
  <c r="Q38" i="3"/>
  <c r="Q37" i="3"/>
  <c r="Q36" i="3"/>
  <c r="Q35" i="3"/>
  <c r="Q34" i="3"/>
  <c r="Q33" i="3"/>
  <c r="Q32" i="3"/>
  <c r="Q31" i="3"/>
  <c r="Q30" i="3"/>
  <c r="Q29" i="3"/>
  <c r="Q28" i="3"/>
  <c r="Q27" i="3"/>
  <c r="Q26" i="3"/>
  <c r="Q25" i="3"/>
  <c r="Q24" i="3"/>
  <c r="Q23" i="3"/>
  <c r="Q22" i="3"/>
  <c r="Q21" i="3"/>
  <c r="Q20" i="3"/>
  <c r="Q19" i="3"/>
  <c r="Q18" i="3"/>
  <c r="Q17" i="3"/>
  <c r="Q16" i="3"/>
  <c r="Q15" i="3"/>
  <c r="Q14" i="3"/>
  <c r="Q13" i="3"/>
  <c r="Q12" i="3"/>
  <c r="Q11" i="3"/>
  <c r="Q10" i="3"/>
  <c r="Q9" i="3"/>
  <c r="Q8" i="3"/>
  <c r="Q7" i="3"/>
  <c r="Q6" i="3"/>
  <c r="Q5" i="3"/>
  <c r="Q4" i="3"/>
  <c r="Q3" i="3"/>
  <c r="Q2" i="3"/>
  <c r="O3" i="3"/>
  <c r="O2"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N677" i="3"/>
  <c r="N678" i="3"/>
  <c r="N679" i="3"/>
  <c r="N680" i="3"/>
  <c r="N681" i="3"/>
  <c r="N682" i="3"/>
  <c r="N683" i="3"/>
  <c r="N684" i="3"/>
  <c r="N685" i="3"/>
  <c r="N686" i="3"/>
  <c r="N687" i="3"/>
  <c r="N688" i="3"/>
  <c r="N689" i="3"/>
  <c r="N690" i="3"/>
  <c r="N691" i="3"/>
  <c r="N692" i="3"/>
  <c r="N693" i="3"/>
  <c r="N694" i="3"/>
  <c r="N695" i="3"/>
  <c r="N696" i="3"/>
  <c r="N697" i="3"/>
  <c r="N698" i="3"/>
  <c r="N699" i="3"/>
  <c r="N700" i="3"/>
  <c r="N701" i="3"/>
  <c r="N702" i="3"/>
  <c r="N703" i="3"/>
  <c r="N704" i="3"/>
  <c r="N705" i="3"/>
  <c r="N706" i="3"/>
  <c r="N707" i="3"/>
  <c r="N708" i="3"/>
  <c r="N709" i="3"/>
  <c r="N710" i="3"/>
  <c r="N711" i="3"/>
  <c r="N712" i="3"/>
  <c r="N713" i="3"/>
  <c r="N714" i="3"/>
  <c r="N715" i="3"/>
  <c r="N716" i="3"/>
  <c r="N717" i="3"/>
  <c r="N718" i="3"/>
  <c r="N719" i="3"/>
  <c r="N720" i="3"/>
  <c r="N721" i="3"/>
  <c r="N722" i="3"/>
  <c r="N723" i="3"/>
  <c r="N724" i="3"/>
  <c r="N725" i="3"/>
  <c r="N726" i="3"/>
  <c r="N727" i="3"/>
  <c r="N728" i="3"/>
  <c r="N729" i="3"/>
  <c r="N730" i="3"/>
  <c r="N731" i="3"/>
  <c r="N732" i="3"/>
  <c r="N733" i="3"/>
  <c r="N734" i="3"/>
  <c r="N735" i="3"/>
  <c r="N736" i="3"/>
  <c r="N737" i="3"/>
  <c r="N738" i="3"/>
  <c r="N739" i="3"/>
  <c r="N740" i="3"/>
  <c r="N741" i="3"/>
  <c r="N742" i="3"/>
  <c r="N743" i="3"/>
  <c r="N744" i="3"/>
  <c r="N745" i="3"/>
  <c r="N746" i="3"/>
  <c r="N747" i="3"/>
  <c r="N748" i="3"/>
  <c r="N749" i="3"/>
  <c r="N750" i="3"/>
  <c r="N751" i="3"/>
  <c r="N752" i="3"/>
  <c r="N753" i="3"/>
  <c r="N754" i="3"/>
  <c r="N755" i="3"/>
  <c r="N756" i="3"/>
  <c r="N757" i="3"/>
  <c r="N758" i="3"/>
  <c r="N759" i="3"/>
  <c r="N760" i="3"/>
  <c r="N761" i="3"/>
  <c r="N762" i="3"/>
  <c r="N763" i="3"/>
  <c r="N764" i="3"/>
  <c r="N765" i="3"/>
  <c r="N766" i="3"/>
  <c r="N767" i="3"/>
  <c r="N768" i="3"/>
  <c r="N769" i="3"/>
  <c r="N770" i="3"/>
  <c r="N771" i="3"/>
  <c r="N772" i="3"/>
  <c r="N773" i="3"/>
  <c r="N774" i="3"/>
  <c r="N775" i="3"/>
  <c r="N776" i="3"/>
  <c r="N777" i="3"/>
  <c r="N778" i="3"/>
  <c r="N779" i="3"/>
  <c r="N780" i="3"/>
  <c r="N781" i="3"/>
  <c r="N782" i="3"/>
  <c r="N783" i="3"/>
  <c r="N784" i="3"/>
  <c r="N785" i="3"/>
  <c r="N786" i="3"/>
  <c r="N787" i="3"/>
  <c r="N788" i="3"/>
  <c r="N789" i="3"/>
  <c r="N790" i="3"/>
  <c r="N791" i="3"/>
  <c r="N792" i="3"/>
  <c r="N793" i="3"/>
  <c r="N794" i="3"/>
  <c r="N795" i="3"/>
  <c r="N796" i="3"/>
  <c r="N797" i="3"/>
  <c r="N798" i="3"/>
  <c r="N799" i="3"/>
  <c r="N800" i="3"/>
  <c r="N801" i="3"/>
  <c r="N802" i="3"/>
  <c r="N803" i="3"/>
  <c r="N804" i="3"/>
  <c r="N805" i="3"/>
  <c r="N806" i="3"/>
  <c r="N807" i="3"/>
  <c r="N808" i="3"/>
  <c r="N809" i="3"/>
  <c r="N810" i="3"/>
  <c r="N811" i="3"/>
  <c r="N812" i="3"/>
  <c r="N813" i="3"/>
  <c r="N814" i="3"/>
  <c r="N815" i="3"/>
  <c r="N816" i="3"/>
  <c r="N817" i="3"/>
  <c r="N818" i="3"/>
  <c r="N819" i="3"/>
  <c r="N820" i="3"/>
  <c r="N821" i="3"/>
  <c r="N822" i="3"/>
  <c r="N823" i="3"/>
  <c r="N824" i="3"/>
  <c r="N825" i="3"/>
  <c r="N826" i="3"/>
  <c r="N827" i="3"/>
  <c r="N828" i="3"/>
  <c r="N829" i="3"/>
  <c r="N830" i="3"/>
  <c r="N831" i="3"/>
  <c r="N832" i="3"/>
  <c r="N833" i="3"/>
  <c r="N834" i="3"/>
  <c r="N835" i="3"/>
  <c r="N836" i="3"/>
  <c r="N837" i="3"/>
  <c r="N838" i="3"/>
  <c r="N839" i="3"/>
  <c r="N840" i="3"/>
  <c r="N841" i="3"/>
  <c r="N842" i="3"/>
  <c r="N843" i="3"/>
  <c r="N844" i="3"/>
  <c r="N845" i="3"/>
  <c r="N846" i="3"/>
  <c r="N847" i="3"/>
  <c r="N848" i="3"/>
  <c r="N849" i="3"/>
  <c r="N850" i="3"/>
  <c r="N851" i="3"/>
  <c r="N852" i="3"/>
  <c r="N853" i="3"/>
  <c r="N854" i="3"/>
  <c r="N855" i="3"/>
  <c r="N856" i="3"/>
  <c r="N857" i="3"/>
  <c r="N858" i="3"/>
  <c r="N859" i="3"/>
  <c r="N860" i="3"/>
  <c r="N861" i="3"/>
  <c r="N862" i="3"/>
  <c r="N863" i="3"/>
  <c r="N864" i="3"/>
  <c r="N865" i="3"/>
  <c r="N866" i="3"/>
  <c r="N867" i="3"/>
  <c r="N868" i="3"/>
  <c r="N869" i="3"/>
  <c r="N870" i="3"/>
  <c r="N871" i="3"/>
  <c r="N872" i="3"/>
  <c r="N873" i="3"/>
  <c r="N874" i="3"/>
  <c r="N875" i="3"/>
  <c r="N876" i="3"/>
  <c r="N877" i="3"/>
  <c r="N878" i="3"/>
  <c r="N879" i="3"/>
  <c r="N880" i="3"/>
  <c r="N881" i="3"/>
  <c r="N882" i="3"/>
  <c r="N883" i="3"/>
  <c r="N884" i="3"/>
  <c r="N885" i="3"/>
  <c r="N886" i="3"/>
  <c r="N887" i="3"/>
  <c r="N888" i="3"/>
  <c r="N889" i="3"/>
  <c r="N890" i="3"/>
  <c r="N891" i="3"/>
  <c r="N892" i="3"/>
  <c r="N893" i="3"/>
  <c r="N894" i="3"/>
  <c r="N895" i="3"/>
  <c r="N896" i="3"/>
  <c r="N897" i="3"/>
  <c r="N898" i="3"/>
  <c r="N899" i="3"/>
  <c r="N900" i="3"/>
  <c r="N901" i="3"/>
  <c r="N902" i="3"/>
  <c r="N903" i="3"/>
  <c r="N904" i="3"/>
  <c r="N905" i="3"/>
  <c r="N906" i="3"/>
  <c r="N907" i="3"/>
  <c r="N908" i="3"/>
  <c r="N909" i="3"/>
  <c r="N910" i="3"/>
  <c r="N911" i="3"/>
  <c r="N912" i="3"/>
  <c r="N913" i="3"/>
  <c r="N914" i="3"/>
  <c r="N915" i="3"/>
  <c r="N916" i="3"/>
  <c r="N917" i="3"/>
  <c r="N918" i="3"/>
  <c r="N919" i="3"/>
  <c r="N920" i="3"/>
  <c r="N921" i="3"/>
  <c r="N922" i="3"/>
  <c r="N923" i="3"/>
  <c r="N924" i="3"/>
  <c r="N925" i="3"/>
  <c r="N926" i="3"/>
  <c r="N927" i="3"/>
  <c r="N928" i="3"/>
  <c r="N929" i="3"/>
  <c r="N930" i="3"/>
  <c r="N931" i="3"/>
  <c r="N932" i="3"/>
  <c r="N933" i="3"/>
  <c r="N934" i="3"/>
  <c r="N935" i="3"/>
  <c r="N936" i="3"/>
  <c r="N937" i="3"/>
  <c r="N938" i="3"/>
  <c r="N939" i="3"/>
  <c r="N940" i="3"/>
  <c r="N941" i="3"/>
  <c r="N942" i="3"/>
  <c r="N943" i="3"/>
  <c r="N944" i="3"/>
  <c r="N945" i="3"/>
  <c r="N946" i="3"/>
  <c r="N947" i="3"/>
  <c r="N948" i="3"/>
  <c r="N949" i="3"/>
  <c r="N950" i="3"/>
  <c r="N951" i="3"/>
  <c r="N952" i="3"/>
  <c r="N953" i="3"/>
  <c r="N954" i="3"/>
  <c r="N955" i="3"/>
  <c r="N956" i="3"/>
  <c r="N957" i="3"/>
  <c r="N958" i="3"/>
  <c r="N959" i="3"/>
  <c r="N960" i="3"/>
  <c r="N961" i="3"/>
  <c r="N962" i="3"/>
  <c r="N963" i="3"/>
  <c r="N964" i="3"/>
  <c r="N965" i="3"/>
  <c r="N966" i="3"/>
  <c r="N967" i="3"/>
  <c r="N968" i="3"/>
  <c r="N969" i="3"/>
  <c r="N970" i="3"/>
  <c r="N971" i="3"/>
  <c r="N972" i="3"/>
  <c r="N973" i="3"/>
  <c r="N974" i="3"/>
  <c r="N975" i="3"/>
  <c r="N976" i="3"/>
  <c r="N977" i="3"/>
  <c r="N978" i="3"/>
  <c r="N979" i="3"/>
  <c r="N980" i="3"/>
  <c r="N981" i="3"/>
  <c r="N982" i="3"/>
  <c r="N983" i="3"/>
  <c r="N984" i="3"/>
  <c r="N985" i="3"/>
  <c r="N986" i="3"/>
  <c r="N987" i="3"/>
  <c r="N988" i="3"/>
  <c r="N989" i="3"/>
  <c r="N990" i="3"/>
  <c r="N991" i="3"/>
  <c r="N992" i="3"/>
  <c r="N993" i="3"/>
  <c r="N994" i="3"/>
  <c r="N995" i="3"/>
  <c r="N996" i="3"/>
  <c r="N997" i="3"/>
  <c r="N998" i="3"/>
  <c r="N999" i="3"/>
  <c r="N1000" i="3"/>
  <c r="N1001" i="3"/>
  <c r="Q1001" i="3" s="1"/>
  <c r="N5" i="3"/>
  <c r="N4" i="3"/>
  <c r="N3" i="3"/>
  <c r="N2" i="3"/>
  <c r="C27" i="5" l="1"/>
  <c r="D27" i="5" s="1"/>
  <c r="D22" i="5"/>
  <c r="G616" i="8" a="1"/>
  <c r="G616" i="8" s="1"/>
  <c r="G621" i="8" a="1"/>
  <c r="G621" i="8" s="1"/>
  <c r="G624" i="8" a="1"/>
  <c r="G624" i="8" s="1"/>
  <c r="G627" i="8" a="1"/>
  <c r="G627" i="8" s="1"/>
  <c r="G630" i="8" a="1"/>
  <c r="G630" i="8" s="1"/>
  <c r="G633" i="8" a="1"/>
  <c r="G633" i="8" s="1"/>
  <c r="G637" i="8" a="1"/>
  <c r="G637" i="8" s="1"/>
  <c r="G640" i="8" a="1"/>
  <c r="G640" i="8" s="1"/>
  <c r="G643" i="8" a="1"/>
  <c r="G643" i="8" s="1"/>
  <c r="G646" i="8" a="1"/>
  <c r="G646" i="8" s="1"/>
  <c r="G649" i="8" a="1"/>
  <c r="G649" i="8" s="1"/>
  <c r="G653" i="8" a="1"/>
  <c r="G653" i="8" s="1"/>
  <c r="G656" i="8" a="1"/>
  <c r="G656" i="8" s="1"/>
  <c r="G660" i="8" a="1"/>
  <c r="G660" i="8" s="1"/>
  <c r="G663" i="8" a="1"/>
  <c r="G663" i="8" s="1"/>
  <c r="G666" i="8" a="1"/>
  <c r="G666" i="8" s="1"/>
  <c r="G669" i="8" a="1"/>
  <c r="G669" i="8" s="1"/>
  <c r="G673" i="8" a="1"/>
  <c r="G673" i="8" s="1"/>
  <c r="G676" i="8" a="1"/>
  <c r="G676" i="8" s="1"/>
  <c r="G680" i="8" a="1"/>
  <c r="G680" i="8" s="1"/>
  <c r="G684" i="8" a="1"/>
  <c r="G684" i="8" s="1"/>
  <c r="G688" i="8" a="1"/>
  <c r="G688" i="8" s="1"/>
  <c r="G692" i="8" a="1"/>
  <c r="G692" i="8" s="1"/>
  <c r="G696" i="8" a="1"/>
  <c r="G696" i="8" s="1"/>
  <c r="G700" i="8" a="1"/>
  <c r="G700" i="8" s="1"/>
  <c r="G704" i="8" a="1"/>
  <c r="G704" i="8" s="1"/>
  <c r="G708" i="8" a="1"/>
  <c r="G708" i="8" s="1"/>
  <c r="G712" i="8" a="1"/>
  <c r="G712" i="8" s="1"/>
  <c r="G716" i="8" a="1"/>
  <c r="G716" i="8" s="1"/>
  <c r="G720" i="8" a="1"/>
  <c r="G720" i="8" s="1"/>
  <c r="G724" i="8" a="1"/>
  <c r="G724" i="8" s="1"/>
  <c r="G728" i="8" a="1"/>
  <c r="G728" i="8" s="1"/>
  <c r="G732" i="8" a="1"/>
  <c r="G732" i="8" s="1"/>
  <c r="G736" i="8" a="1"/>
  <c r="G736" i="8" s="1"/>
  <c r="G740" i="8" a="1"/>
  <c r="G740" i="8" s="1"/>
  <c r="G744" i="8" a="1"/>
  <c r="G744" i="8" s="1"/>
  <c r="G748" i="8" a="1"/>
  <c r="G748" i="8" s="1"/>
  <c r="G752" i="8" a="1"/>
  <c r="G752" i="8" s="1"/>
  <c r="G756" i="8" a="1"/>
  <c r="G756" i="8" s="1"/>
  <c r="G760" i="8" a="1"/>
  <c r="G760" i="8" s="1"/>
  <c r="G764" i="8" a="1"/>
  <c r="G764" i="8" s="1"/>
  <c r="G768" i="8" a="1"/>
  <c r="G768" i="8" s="1"/>
  <c r="G772" i="8" a="1"/>
  <c r="G772" i="8" s="1"/>
  <c r="G776" i="8" a="1"/>
  <c r="G776" i="8" s="1"/>
  <c r="G780" i="8" a="1"/>
  <c r="G780" i="8" s="1"/>
  <c r="G784" i="8" a="1"/>
  <c r="G784" i="8" s="1"/>
  <c r="G788" i="8" a="1"/>
  <c r="G788" i="8" s="1"/>
  <c r="G792" i="8" a="1"/>
  <c r="G792" i="8" s="1"/>
  <c r="G796" i="8" a="1"/>
  <c r="G796" i="8" s="1"/>
  <c r="G800" i="8" a="1"/>
  <c r="G800" i="8" s="1"/>
  <c r="G804" i="8" a="1"/>
  <c r="G804" i="8" s="1"/>
  <c r="G808" i="8" a="1"/>
  <c r="G808" i="8" s="1"/>
  <c r="G812" i="8" a="1"/>
  <c r="G812" i="8" s="1"/>
  <c r="G816" i="8" a="1"/>
  <c r="G816" i="8" s="1"/>
  <c r="G819" i="8" a="1"/>
  <c r="G819" i="8" s="1"/>
  <c r="G822" i="8" a="1"/>
  <c r="G822" i="8" s="1"/>
  <c r="G825" i="8" a="1"/>
  <c r="G825" i="8" s="1"/>
  <c r="G829" i="8" a="1"/>
  <c r="G829" i="8" s="1"/>
  <c r="G832" i="8" a="1"/>
  <c r="G832" i="8" s="1"/>
  <c r="G836" i="8" a="1"/>
  <c r="G836" i="8" s="1"/>
  <c r="G840" i="8" a="1"/>
  <c r="G840" i="8" s="1"/>
  <c r="G844" i="8" a="1"/>
  <c r="G844" i="8" s="1"/>
  <c r="G1133" i="8" a="1"/>
  <c r="G1133" i="8" s="1"/>
  <c r="F152" i="8"/>
  <c r="F153" i="8"/>
  <c r="F154" i="8"/>
  <c r="F155" i="8"/>
  <c r="F156" i="8"/>
  <c r="F157" i="8"/>
  <c r="F159" i="8"/>
  <c r="F160" i="8"/>
  <c r="F161" i="8"/>
  <c r="F164" i="8"/>
  <c r="F167" i="8"/>
  <c r="F171" i="8"/>
  <c r="F174" i="8"/>
  <c r="F177" i="8"/>
  <c r="F182" i="8"/>
  <c r="F186" i="8"/>
  <c r="F190" i="8"/>
  <c r="F194" i="8"/>
  <c r="F198" i="8"/>
  <c r="F202" i="8"/>
  <c r="F206" i="8"/>
  <c r="F207" i="8"/>
  <c r="G617" i="8" a="1"/>
  <c r="G617" i="8" s="1"/>
  <c r="G620" i="8" a="1"/>
  <c r="G620" i="8" s="1"/>
  <c r="G622" i="8" a="1"/>
  <c r="G622" i="8" s="1"/>
  <c r="G625" i="8" a="1"/>
  <c r="G625" i="8" s="1"/>
  <c r="G628" i="8" a="1"/>
  <c r="G628" i="8" s="1"/>
  <c r="G631" i="8" a="1"/>
  <c r="G631" i="8" s="1"/>
  <c r="G634" i="8" a="1"/>
  <c r="G634" i="8" s="1"/>
  <c r="G635" i="8" a="1"/>
  <c r="G635" i="8" s="1"/>
  <c r="G638" i="8" a="1"/>
  <c r="G638" i="8" s="1"/>
  <c r="G641" i="8" a="1"/>
  <c r="G641" i="8" s="1"/>
  <c r="G644" i="8" a="1"/>
  <c r="G644" i="8" s="1"/>
  <c r="G647" i="8" a="1"/>
  <c r="G647" i="8" s="1"/>
  <c r="G650" i="8" a="1"/>
  <c r="G650" i="8" s="1"/>
  <c r="G651" i="8" a="1"/>
  <c r="G651" i="8" s="1"/>
  <c r="G654" i="8" a="1"/>
  <c r="G654" i="8" s="1"/>
  <c r="G657" i="8" a="1"/>
  <c r="G657" i="8" s="1"/>
  <c r="G659" i="8" a="1"/>
  <c r="G659" i="8" s="1"/>
  <c r="G662" i="8" a="1"/>
  <c r="G662" i="8" s="1"/>
  <c r="G665" i="8" a="1"/>
  <c r="G665" i="8" s="1"/>
  <c r="G668" i="8" a="1"/>
  <c r="G668" i="8" s="1"/>
  <c r="G671" i="8" a="1"/>
  <c r="G671" i="8" s="1"/>
  <c r="G675" i="8" a="1"/>
  <c r="G675" i="8" s="1"/>
  <c r="G679" i="8" a="1"/>
  <c r="G679" i="8" s="1"/>
  <c r="G683" i="8" a="1"/>
  <c r="G683" i="8" s="1"/>
  <c r="G687" i="8" a="1"/>
  <c r="G687" i="8" s="1"/>
  <c r="G691" i="8" a="1"/>
  <c r="G691" i="8" s="1"/>
  <c r="G695" i="8" a="1"/>
  <c r="G695" i="8" s="1"/>
  <c r="G699" i="8" a="1"/>
  <c r="G699" i="8" s="1"/>
  <c r="G703" i="8" a="1"/>
  <c r="G703" i="8" s="1"/>
  <c r="G707" i="8" a="1"/>
  <c r="G707" i="8" s="1"/>
  <c r="G711" i="8" a="1"/>
  <c r="G711" i="8" s="1"/>
  <c r="G715" i="8" a="1"/>
  <c r="G715" i="8" s="1"/>
  <c r="G719" i="8" a="1"/>
  <c r="G719" i="8" s="1"/>
  <c r="G723" i="8" a="1"/>
  <c r="G723" i="8" s="1"/>
  <c r="G727" i="8" a="1"/>
  <c r="G727" i="8" s="1"/>
  <c r="G731" i="8" a="1"/>
  <c r="G731" i="8" s="1"/>
  <c r="G735" i="8" a="1"/>
  <c r="G735" i="8" s="1"/>
  <c r="G739" i="8" a="1"/>
  <c r="G739" i="8" s="1"/>
  <c r="G743" i="8" a="1"/>
  <c r="G743" i="8" s="1"/>
  <c r="G747" i="8" a="1"/>
  <c r="G747" i="8" s="1"/>
  <c r="G751" i="8" a="1"/>
  <c r="G751" i="8" s="1"/>
  <c r="G755" i="8" a="1"/>
  <c r="G755" i="8" s="1"/>
  <c r="G759" i="8" a="1"/>
  <c r="G759" i="8" s="1"/>
  <c r="G763" i="8" a="1"/>
  <c r="G763" i="8" s="1"/>
  <c r="G767" i="8" a="1"/>
  <c r="G767" i="8" s="1"/>
  <c r="G771" i="8" a="1"/>
  <c r="G771" i="8" s="1"/>
  <c r="G775" i="8" a="1"/>
  <c r="G775" i="8" s="1"/>
  <c r="G779" i="8" a="1"/>
  <c r="G779" i="8" s="1"/>
  <c r="G783" i="8" a="1"/>
  <c r="G783" i="8" s="1"/>
  <c r="G787" i="8" a="1"/>
  <c r="G787" i="8" s="1"/>
  <c r="G791" i="8" a="1"/>
  <c r="G791" i="8" s="1"/>
  <c r="G795" i="8" a="1"/>
  <c r="G795" i="8" s="1"/>
  <c r="G799" i="8" a="1"/>
  <c r="G799" i="8" s="1"/>
  <c r="G803" i="8" a="1"/>
  <c r="G803" i="8" s="1"/>
  <c r="G807" i="8" a="1"/>
  <c r="G807" i="8" s="1"/>
  <c r="G811" i="8" a="1"/>
  <c r="G811" i="8" s="1"/>
  <c r="G815" i="8" a="1"/>
  <c r="G815" i="8" s="1"/>
  <c r="G818" i="8" a="1"/>
  <c r="G818" i="8" s="1"/>
  <c r="G821" i="8" a="1"/>
  <c r="G821" i="8" s="1"/>
  <c r="G833" i="8" a="1"/>
  <c r="G833" i="8" s="1"/>
  <c r="G837" i="8" a="1"/>
  <c r="G837" i="8" s="1"/>
  <c r="G841" i="8" a="1"/>
  <c r="G841" i="8" s="1"/>
  <c r="G845" i="8" a="1"/>
  <c r="G845" i="8" s="1"/>
  <c r="G1134" i="8" a="1"/>
  <c r="G1134" i="8" s="1"/>
  <c r="F158" i="8"/>
  <c r="F162" i="8"/>
  <c r="F165" i="8"/>
  <c r="F166" i="8"/>
  <c r="F170" i="8"/>
  <c r="F173" i="8"/>
  <c r="F178" i="8"/>
  <c r="F181" i="8"/>
  <c r="F185" i="8"/>
  <c r="F189" i="8"/>
  <c r="F193" i="8"/>
  <c r="F197" i="8"/>
  <c r="F201" i="8"/>
  <c r="F205" i="8"/>
  <c r="F209" i="8"/>
  <c r="F211" i="8"/>
  <c r="G618" i="8" a="1"/>
  <c r="G618" i="8" s="1"/>
  <c r="G619" i="8" a="1"/>
  <c r="G619" i="8" s="1"/>
  <c r="G623" i="8" a="1"/>
  <c r="G623" i="8" s="1"/>
  <c r="G626" i="8" a="1"/>
  <c r="G626" i="8" s="1"/>
  <c r="G629" i="8" a="1"/>
  <c r="G629" i="8" s="1"/>
  <c r="G632" i="8" a="1"/>
  <c r="G632" i="8" s="1"/>
  <c r="G636" i="8" a="1"/>
  <c r="G636" i="8" s="1"/>
  <c r="G639" i="8" a="1"/>
  <c r="G639" i="8" s="1"/>
  <c r="G642" i="8" a="1"/>
  <c r="G642" i="8" s="1"/>
  <c r="G645" i="8" a="1"/>
  <c r="G645" i="8" s="1"/>
  <c r="G648" i="8" a="1"/>
  <c r="G648" i="8" s="1"/>
  <c r="G652" i="8" a="1"/>
  <c r="G652" i="8" s="1"/>
  <c r="G655" i="8" a="1"/>
  <c r="G655" i="8" s="1"/>
  <c r="G658" i="8" a="1"/>
  <c r="G658" i="8" s="1"/>
  <c r="G661" i="8" a="1"/>
  <c r="G661" i="8" s="1"/>
  <c r="G664" i="8" a="1"/>
  <c r="G664" i="8" s="1"/>
  <c r="G667" i="8" a="1"/>
  <c r="G667" i="8" s="1"/>
  <c r="G670" i="8" a="1"/>
  <c r="G670" i="8" s="1"/>
  <c r="G674" i="8" a="1"/>
  <c r="G674" i="8" s="1"/>
  <c r="G678" i="8" a="1"/>
  <c r="G678" i="8" s="1"/>
  <c r="G682" i="8" a="1"/>
  <c r="G682" i="8" s="1"/>
  <c r="G685" i="8" a="1"/>
  <c r="G685" i="8" s="1"/>
  <c r="G689" i="8" a="1"/>
  <c r="G689" i="8" s="1"/>
  <c r="G693" i="8" a="1"/>
  <c r="G693" i="8" s="1"/>
  <c r="G697" i="8" a="1"/>
  <c r="G697" i="8" s="1"/>
  <c r="G701" i="8" a="1"/>
  <c r="G701" i="8" s="1"/>
  <c r="G705" i="8" a="1"/>
  <c r="G705" i="8" s="1"/>
  <c r="G709" i="8" a="1"/>
  <c r="G709" i="8" s="1"/>
  <c r="G713" i="8" a="1"/>
  <c r="G713" i="8" s="1"/>
  <c r="G717" i="8" a="1"/>
  <c r="G717" i="8" s="1"/>
  <c r="G721" i="8" a="1"/>
  <c r="G721" i="8" s="1"/>
  <c r="G725" i="8" a="1"/>
  <c r="G725" i="8" s="1"/>
  <c r="G729" i="8" a="1"/>
  <c r="G729" i="8" s="1"/>
  <c r="G733" i="8" a="1"/>
  <c r="G733" i="8" s="1"/>
  <c r="G737" i="8" a="1"/>
  <c r="G737" i="8" s="1"/>
  <c r="G741" i="8" a="1"/>
  <c r="G741" i="8" s="1"/>
  <c r="G745" i="8" a="1"/>
  <c r="G745" i="8" s="1"/>
  <c r="G749" i="8" a="1"/>
  <c r="G749" i="8" s="1"/>
  <c r="G753" i="8" a="1"/>
  <c r="G753" i="8" s="1"/>
  <c r="G757" i="8" a="1"/>
  <c r="G757" i="8" s="1"/>
  <c r="G761" i="8" a="1"/>
  <c r="G761" i="8" s="1"/>
  <c r="G765" i="8" a="1"/>
  <c r="G765" i="8" s="1"/>
  <c r="G769" i="8" a="1"/>
  <c r="G769" i="8" s="1"/>
  <c r="G773" i="8" a="1"/>
  <c r="G773" i="8" s="1"/>
  <c r="G777" i="8" a="1"/>
  <c r="G777" i="8" s="1"/>
  <c r="G781" i="8" a="1"/>
  <c r="G781" i="8" s="1"/>
  <c r="G785" i="8" a="1"/>
  <c r="G785" i="8" s="1"/>
  <c r="G789" i="8" a="1"/>
  <c r="G789" i="8" s="1"/>
  <c r="G793" i="8" a="1"/>
  <c r="G793" i="8" s="1"/>
  <c r="G797" i="8" a="1"/>
  <c r="G797" i="8" s="1"/>
  <c r="G801" i="8" a="1"/>
  <c r="G801" i="8" s="1"/>
  <c r="G805" i="8" a="1"/>
  <c r="G805" i="8" s="1"/>
  <c r="G809" i="8" a="1"/>
  <c r="G809" i="8" s="1"/>
  <c r="G813" i="8" a="1"/>
  <c r="G813" i="8" s="1"/>
  <c r="G817" i="8" a="1"/>
  <c r="G817" i="8" s="1"/>
  <c r="G820" i="8" a="1"/>
  <c r="G820" i="8" s="1"/>
  <c r="G823" i="8" a="1"/>
  <c r="G823" i="8" s="1"/>
  <c r="G827" i="8" a="1"/>
  <c r="G827" i="8" s="1"/>
  <c r="G830" i="8" a="1"/>
  <c r="G830" i="8" s="1"/>
  <c r="G834" i="8" a="1"/>
  <c r="G834" i="8" s="1"/>
  <c r="G838" i="8" a="1"/>
  <c r="G838" i="8" s="1"/>
  <c r="G842" i="8" a="1"/>
  <c r="G842" i="8" s="1"/>
  <c r="G846" i="8" a="1"/>
  <c r="G846" i="8" s="1"/>
  <c r="G1135" i="8" a="1"/>
  <c r="G1135" i="8" s="1"/>
  <c r="F163" i="8"/>
  <c r="F168" i="8"/>
  <c r="F172" i="8"/>
  <c r="F176" i="8"/>
  <c r="F179" i="8"/>
  <c r="F183" i="8"/>
  <c r="F188" i="8"/>
  <c r="F192" i="8"/>
  <c r="F196" i="8"/>
  <c r="F200" i="8"/>
  <c r="F204" i="8"/>
  <c r="F210" i="8"/>
  <c r="F213" i="8"/>
  <c r="G672" i="8" a="1"/>
  <c r="G672" i="8" s="1"/>
  <c r="G677" i="8" a="1"/>
  <c r="G677" i="8" s="1"/>
  <c r="G681" i="8" a="1"/>
  <c r="G681" i="8" s="1"/>
  <c r="G686" i="8" a="1"/>
  <c r="G686" i="8" s="1"/>
  <c r="G690" i="8" a="1"/>
  <c r="G690" i="8" s="1"/>
  <c r="G694" i="8" a="1"/>
  <c r="G694" i="8" s="1"/>
  <c r="G698" i="8" a="1"/>
  <c r="G698" i="8" s="1"/>
  <c r="G702" i="8" a="1"/>
  <c r="G702" i="8" s="1"/>
  <c r="G706" i="8" a="1"/>
  <c r="G706" i="8" s="1"/>
  <c r="G710" i="8" a="1"/>
  <c r="G710" i="8" s="1"/>
  <c r="G714" i="8" a="1"/>
  <c r="G714" i="8" s="1"/>
  <c r="G718" i="8" a="1"/>
  <c r="G718" i="8" s="1"/>
  <c r="G722" i="8" a="1"/>
  <c r="G722" i="8" s="1"/>
  <c r="G726" i="8" a="1"/>
  <c r="G726" i="8" s="1"/>
  <c r="G730" i="8" a="1"/>
  <c r="G730" i="8" s="1"/>
  <c r="G734" i="8" a="1"/>
  <c r="G734" i="8" s="1"/>
  <c r="G738" i="8" a="1"/>
  <c r="G738" i="8" s="1"/>
  <c r="G742" i="8" a="1"/>
  <c r="G742" i="8" s="1"/>
  <c r="G746" i="8" a="1"/>
  <c r="G746" i="8" s="1"/>
  <c r="G750" i="8" a="1"/>
  <c r="G750" i="8" s="1"/>
  <c r="G754" i="8" a="1"/>
  <c r="G754" i="8" s="1"/>
  <c r="G758" i="8" a="1"/>
  <c r="G758" i="8" s="1"/>
  <c r="G762" i="8" a="1"/>
  <c r="G762" i="8" s="1"/>
  <c r="G766" i="8" a="1"/>
  <c r="G766" i="8" s="1"/>
  <c r="G770" i="8" a="1"/>
  <c r="G770" i="8" s="1"/>
  <c r="G774" i="8" a="1"/>
  <c r="G774" i="8" s="1"/>
  <c r="G778" i="8" a="1"/>
  <c r="G778" i="8" s="1"/>
  <c r="G782" i="8" a="1"/>
  <c r="G782" i="8" s="1"/>
  <c r="G786" i="8" a="1"/>
  <c r="G786" i="8" s="1"/>
  <c r="G790" i="8" a="1"/>
  <c r="G790" i="8" s="1"/>
  <c r="G794" i="8" a="1"/>
  <c r="G794" i="8" s="1"/>
  <c r="G798" i="8" a="1"/>
  <c r="G798" i="8" s="1"/>
  <c r="G802" i="8" a="1"/>
  <c r="G802" i="8" s="1"/>
  <c r="G806" i="8" a="1"/>
  <c r="G806" i="8" s="1"/>
  <c r="G810" i="8" a="1"/>
  <c r="G810" i="8" s="1"/>
  <c r="G814" i="8" a="1"/>
  <c r="G814" i="8" s="1"/>
  <c r="G824" i="8" a="1"/>
  <c r="G824" i="8" s="1"/>
  <c r="G826" i="8" a="1"/>
  <c r="G826" i="8" s="1"/>
  <c r="G828" i="8" a="1"/>
  <c r="G828" i="8" s="1"/>
  <c r="G831" i="8" a="1"/>
  <c r="G831" i="8" s="1"/>
  <c r="G835" i="8" a="1"/>
  <c r="G835" i="8" s="1"/>
  <c r="G839" i="8" a="1"/>
  <c r="G839" i="8" s="1"/>
  <c r="G843" i="8" a="1"/>
  <c r="G843" i="8" s="1"/>
  <c r="G847" i="8" a="1"/>
  <c r="G847" i="8" s="1"/>
  <c r="G1136" i="8" a="1"/>
  <c r="G1136" i="8" s="1"/>
  <c r="F169" i="8"/>
  <c r="F175" i="8"/>
  <c r="F180" i="8"/>
  <c r="F184" i="8"/>
  <c r="F187" i="8"/>
  <c r="F191" i="8"/>
  <c r="F195" i="8"/>
  <c r="F199" i="8"/>
  <c r="F203" i="8"/>
  <c r="F208" i="8"/>
  <c r="F212" i="8"/>
  <c r="G300" i="8" a="1"/>
  <c r="G300" i="8" s="1"/>
  <c r="G547" i="8" a="1"/>
  <c r="G547" i="8" s="1"/>
  <c r="G549" i="8" a="1"/>
  <c r="G549" i="8" s="1"/>
  <c r="G551" i="8" a="1"/>
  <c r="G551" i="8" s="1"/>
  <c r="G553" i="8" a="1"/>
  <c r="G553" i="8" s="1"/>
  <c r="G555" i="8" a="1"/>
  <c r="G555" i="8" s="1"/>
  <c r="G557" i="8" a="1"/>
  <c r="G557" i="8" s="1"/>
  <c r="G559" i="8" a="1"/>
  <c r="G559" i="8" s="1"/>
  <c r="G561" i="8" a="1"/>
  <c r="G561" i="8" s="1"/>
  <c r="G563" i="8" a="1"/>
  <c r="G563" i="8" s="1"/>
  <c r="G565" i="8" a="1"/>
  <c r="G565" i="8" s="1"/>
  <c r="G567" i="8" a="1"/>
  <c r="G567" i="8" s="1"/>
  <c r="G569" i="8" a="1"/>
  <c r="G569" i="8" s="1"/>
  <c r="G571" i="8" a="1"/>
  <c r="G571" i="8" s="1"/>
  <c r="G573" i="8" a="1"/>
  <c r="G573" i="8" s="1"/>
  <c r="G575" i="8" a="1"/>
  <c r="G575" i="8" s="1"/>
  <c r="G577" i="8" a="1"/>
  <c r="G577" i="8" s="1"/>
  <c r="G579" i="8" a="1"/>
  <c r="G579" i="8" s="1"/>
  <c r="G581" i="8" a="1"/>
  <c r="G581" i="8" s="1"/>
  <c r="G583" i="8" a="1"/>
  <c r="G583" i="8" s="1"/>
  <c r="G584" i="8" a="1"/>
  <c r="G584" i="8" s="1"/>
  <c r="G586" i="8" a="1"/>
  <c r="G586" i="8" s="1"/>
  <c r="G588" i="8" a="1"/>
  <c r="G588" i="8" s="1"/>
  <c r="G590" i="8" a="1"/>
  <c r="G590" i="8" s="1"/>
  <c r="G592" i="8" a="1"/>
  <c r="G592" i="8" s="1"/>
  <c r="G594" i="8" a="1"/>
  <c r="G594" i="8" s="1"/>
  <c r="G596" i="8" a="1"/>
  <c r="G596" i="8" s="1"/>
  <c r="G598" i="8" a="1"/>
  <c r="G598" i="8" s="1"/>
  <c r="G600" i="8" a="1"/>
  <c r="G600" i="8" s="1"/>
  <c r="G602" i="8" a="1"/>
  <c r="G602" i="8" s="1"/>
  <c r="G604" i="8" a="1"/>
  <c r="G604" i="8" s="1"/>
  <c r="G606" i="8" a="1"/>
  <c r="G606" i="8" s="1"/>
  <c r="G608" i="8" a="1"/>
  <c r="G608" i="8" s="1"/>
  <c r="G610" i="8" a="1"/>
  <c r="G610" i="8" s="1"/>
  <c r="G612" i="8" a="1"/>
  <c r="G612" i="8" s="1"/>
  <c r="G614" i="8" a="1"/>
  <c r="G614" i="8" s="1"/>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F620" i="8"/>
  <c r="F621" i="8"/>
  <c r="F622" i="8"/>
  <c r="F623" i="8"/>
  <c r="F624" i="8"/>
  <c r="F625" i="8"/>
  <c r="F626" i="8"/>
  <c r="F627" i="8"/>
  <c r="F628" i="8"/>
  <c r="F629" i="8"/>
  <c r="F630" i="8"/>
  <c r="F631" i="8"/>
  <c r="F632" i="8"/>
  <c r="F633" i="8"/>
  <c r="F634" i="8"/>
  <c r="F635" i="8"/>
  <c r="F636" i="8"/>
  <c r="F637" i="8"/>
  <c r="F638" i="8"/>
  <c r="F639" i="8"/>
  <c r="F640" i="8"/>
  <c r="F641" i="8"/>
  <c r="F642" i="8"/>
  <c r="F643" i="8"/>
  <c r="F644" i="8"/>
  <c r="F645" i="8"/>
  <c r="F646" i="8"/>
  <c r="F647" i="8"/>
  <c r="F648" i="8"/>
  <c r="F649" i="8"/>
  <c r="F650" i="8"/>
  <c r="F651" i="8"/>
  <c r="F652" i="8"/>
  <c r="F653" i="8"/>
  <c r="F654" i="8"/>
  <c r="F655" i="8"/>
  <c r="F656" i="8"/>
  <c r="F657" i="8"/>
  <c r="F658" i="8"/>
  <c r="F659" i="8"/>
  <c r="F660" i="8"/>
  <c r="F661" i="8"/>
  <c r="F662" i="8"/>
  <c r="F663" i="8"/>
  <c r="F664" i="8"/>
  <c r="F665" i="8"/>
  <c r="F666" i="8"/>
  <c r="F667" i="8"/>
  <c r="F668" i="8"/>
  <c r="F669" i="8"/>
  <c r="F670" i="8"/>
  <c r="F671" i="8"/>
  <c r="F672" i="8"/>
  <c r="F673" i="8"/>
  <c r="F674" i="8"/>
  <c r="F675" i="8"/>
  <c r="F676" i="8"/>
  <c r="F677" i="8"/>
  <c r="F678" i="8"/>
  <c r="F679" i="8"/>
  <c r="F680" i="8"/>
  <c r="F681" i="8"/>
  <c r="F682" i="8"/>
  <c r="F683" i="8"/>
  <c r="F684" i="8"/>
  <c r="F685" i="8"/>
  <c r="F686" i="8"/>
  <c r="F687" i="8"/>
  <c r="F688" i="8"/>
  <c r="F689" i="8"/>
  <c r="F690" i="8"/>
  <c r="F691" i="8"/>
  <c r="F692" i="8"/>
  <c r="F693" i="8"/>
  <c r="F694" i="8"/>
  <c r="F695" i="8"/>
  <c r="F696" i="8"/>
  <c r="F697" i="8"/>
  <c r="F698" i="8"/>
  <c r="F699" i="8"/>
  <c r="F700" i="8"/>
  <c r="F701" i="8"/>
  <c r="F702" i="8"/>
  <c r="F703" i="8"/>
  <c r="F704" i="8"/>
  <c r="F705" i="8"/>
  <c r="F706" i="8"/>
  <c r="F707" i="8"/>
  <c r="F708" i="8"/>
  <c r="F709" i="8"/>
  <c r="F710" i="8"/>
  <c r="F711" i="8"/>
  <c r="F712" i="8"/>
  <c r="F713" i="8"/>
  <c r="F714" i="8"/>
  <c r="F715" i="8"/>
  <c r="F716" i="8"/>
  <c r="F717" i="8"/>
  <c r="F718" i="8"/>
  <c r="F719" i="8"/>
  <c r="F720" i="8"/>
  <c r="F721" i="8"/>
  <c r="F722" i="8"/>
  <c r="F723" i="8"/>
  <c r="F724" i="8"/>
  <c r="F725" i="8"/>
  <c r="F726" i="8"/>
  <c r="F727" i="8"/>
  <c r="F728" i="8"/>
  <c r="F729" i="8"/>
  <c r="F730" i="8"/>
  <c r="F731" i="8"/>
  <c r="F732" i="8"/>
  <c r="F733" i="8"/>
  <c r="F734" i="8"/>
  <c r="F735" i="8"/>
  <c r="F736" i="8"/>
  <c r="F737" i="8"/>
  <c r="F738" i="8"/>
  <c r="F739" i="8"/>
  <c r="F740" i="8"/>
  <c r="F741" i="8"/>
  <c r="F742" i="8"/>
  <c r="F743" i="8"/>
  <c r="F744" i="8"/>
  <c r="F745" i="8"/>
  <c r="F746" i="8"/>
  <c r="F747" i="8"/>
  <c r="F748" i="8"/>
  <c r="F749" i="8"/>
  <c r="F750" i="8"/>
  <c r="F751" i="8"/>
  <c r="F752" i="8"/>
  <c r="F753" i="8"/>
  <c r="F754" i="8"/>
  <c r="F755" i="8"/>
  <c r="F756" i="8"/>
  <c r="F757" i="8"/>
  <c r="F758" i="8"/>
  <c r="F759" i="8"/>
  <c r="F760" i="8"/>
  <c r="F761" i="8"/>
  <c r="F762" i="8"/>
  <c r="F763" i="8"/>
  <c r="F764" i="8"/>
  <c r="F765" i="8"/>
  <c r="F766" i="8"/>
  <c r="F767" i="8"/>
  <c r="F768" i="8"/>
  <c r="F769" i="8"/>
  <c r="F770" i="8"/>
  <c r="F771" i="8"/>
  <c r="F772" i="8"/>
  <c r="F773" i="8"/>
  <c r="F774" i="8"/>
  <c r="F775" i="8"/>
  <c r="F776" i="8"/>
  <c r="F777" i="8"/>
  <c r="F778" i="8"/>
  <c r="F779" i="8"/>
  <c r="F780" i="8"/>
  <c r="F781" i="8"/>
  <c r="F782" i="8"/>
  <c r="F783" i="8"/>
  <c r="F784" i="8"/>
  <c r="F785" i="8"/>
  <c r="F786" i="8"/>
  <c r="F787" i="8"/>
  <c r="F788" i="8"/>
  <c r="F789" i="8"/>
  <c r="F790" i="8"/>
  <c r="F791" i="8"/>
  <c r="F792" i="8"/>
  <c r="F793" i="8"/>
  <c r="F794" i="8"/>
  <c r="F795" i="8"/>
  <c r="F796" i="8"/>
  <c r="F797" i="8"/>
  <c r="F798" i="8"/>
  <c r="F799" i="8"/>
  <c r="F800" i="8"/>
  <c r="F801" i="8"/>
  <c r="F802" i="8"/>
  <c r="F803" i="8"/>
  <c r="F804" i="8"/>
  <c r="F805" i="8"/>
  <c r="F806" i="8"/>
  <c r="F807" i="8"/>
  <c r="F808" i="8"/>
  <c r="F809" i="8"/>
  <c r="F810" i="8"/>
  <c r="F811" i="8"/>
  <c r="F812" i="8"/>
  <c r="F813" i="8"/>
  <c r="F814" i="8"/>
  <c r="F815" i="8"/>
  <c r="F816" i="8"/>
  <c r="F817" i="8"/>
  <c r="F818" i="8"/>
  <c r="F819" i="8"/>
  <c r="F820" i="8"/>
  <c r="F821" i="8"/>
  <c r="F822" i="8"/>
  <c r="F823" i="8"/>
  <c r="F824" i="8"/>
  <c r="F825" i="8"/>
  <c r="F826" i="8"/>
  <c r="F827" i="8"/>
  <c r="F828" i="8"/>
  <c r="F829" i="8"/>
  <c r="F830" i="8"/>
  <c r="F831" i="8"/>
  <c r="F832" i="8"/>
  <c r="F833" i="8"/>
  <c r="F834" i="8"/>
  <c r="F835" i="8"/>
  <c r="F836" i="8"/>
  <c r="F837" i="8"/>
  <c r="F838" i="8"/>
  <c r="F839" i="8"/>
  <c r="F840" i="8"/>
  <c r="F841" i="8"/>
  <c r="F842" i="8"/>
  <c r="F843" i="8"/>
  <c r="F844" i="8"/>
  <c r="F845" i="8"/>
  <c r="F846" i="8"/>
  <c r="F847" i="8"/>
  <c r="F848" i="8"/>
  <c r="F849" i="8"/>
  <c r="F850" i="8"/>
  <c r="F851" i="8"/>
  <c r="F852" i="8"/>
  <c r="F853" i="8"/>
  <c r="F854" i="8"/>
  <c r="F855" i="8"/>
  <c r="F856" i="8"/>
  <c r="F857" i="8"/>
  <c r="F858" i="8"/>
  <c r="F859" i="8"/>
  <c r="F860" i="8"/>
  <c r="G506" i="8" a="1"/>
  <c r="G506" i="8" s="1"/>
  <c r="G507" i="8" a="1"/>
  <c r="G507" i="8" s="1"/>
  <c r="G508" i="8" a="1"/>
  <c r="G508" i="8" s="1"/>
  <c r="G509" i="8" a="1"/>
  <c r="G509" i="8" s="1"/>
  <c r="G510" i="8" a="1"/>
  <c r="G510" i="8" s="1"/>
  <c r="G511" i="8" a="1"/>
  <c r="G511" i="8" s="1"/>
  <c r="G512" i="8" a="1"/>
  <c r="G512" i="8" s="1"/>
  <c r="G513" i="8" a="1"/>
  <c r="G513" i="8" s="1"/>
  <c r="G514" i="8" a="1"/>
  <c r="G514" i="8" s="1"/>
  <c r="G515" i="8" a="1"/>
  <c r="G515" i="8" s="1"/>
  <c r="G516" i="8" a="1"/>
  <c r="G516" i="8" s="1"/>
  <c r="G517" i="8" a="1"/>
  <c r="G517" i="8" s="1"/>
  <c r="G518" i="8" a="1"/>
  <c r="G518" i="8" s="1"/>
  <c r="G519" i="8" a="1"/>
  <c r="G519" i="8" s="1"/>
  <c r="G520" i="8" a="1"/>
  <c r="G520" i="8" s="1"/>
  <c r="G521" i="8" a="1"/>
  <c r="G521" i="8" s="1"/>
  <c r="G522" i="8" a="1"/>
  <c r="G522" i="8" s="1"/>
  <c r="G523" i="8" a="1"/>
  <c r="G523" i="8" s="1"/>
  <c r="G524" i="8" a="1"/>
  <c r="G524" i="8" s="1"/>
  <c r="G525" i="8" a="1"/>
  <c r="G525" i="8" s="1"/>
  <c r="G526" i="8" a="1"/>
  <c r="G526" i="8" s="1"/>
  <c r="G527" i="8" a="1"/>
  <c r="G527" i="8" s="1"/>
  <c r="G528" i="8" a="1"/>
  <c r="G528" i="8" s="1"/>
  <c r="G529" i="8" a="1"/>
  <c r="G529" i="8" s="1"/>
  <c r="G530" i="8" a="1"/>
  <c r="G530" i="8" s="1"/>
  <c r="G531" i="8" a="1"/>
  <c r="G531" i="8" s="1"/>
  <c r="G532" i="8" a="1"/>
  <c r="G532" i="8" s="1"/>
  <c r="G533" i="8" a="1"/>
  <c r="G533" i="8" s="1"/>
  <c r="G534" i="8" a="1"/>
  <c r="G534" i="8" s="1"/>
  <c r="G535" i="8" a="1"/>
  <c r="G535" i="8" s="1"/>
  <c r="G536" i="8" a="1"/>
  <c r="G536" i="8" s="1"/>
  <c r="G537" i="8" a="1"/>
  <c r="G537" i="8" s="1"/>
  <c r="G538" i="8" a="1"/>
  <c r="G538" i="8" s="1"/>
  <c r="G539" i="8" a="1"/>
  <c r="G539" i="8" s="1"/>
  <c r="G540" i="8" a="1"/>
  <c r="G540" i="8" s="1"/>
  <c r="G541" i="8" a="1"/>
  <c r="G541" i="8" s="1"/>
  <c r="G542" i="8" a="1"/>
  <c r="G542" i="8" s="1"/>
  <c r="G543" i="8" a="1"/>
  <c r="G543" i="8" s="1"/>
  <c r="G544" i="8" a="1"/>
  <c r="G544" i="8" s="1"/>
  <c r="G545" i="8" a="1"/>
  <c r="G545" i="8" s="1"/>
  <c r="G546" i="8" a="1"/>
  <c r="G546" i="8" s="1"/>
  <c r="G548" i="8" a="1"/>
  <c r="G548" i="8" s="1"/>
  <c r="G550" i="8" a="1"/>
  <c r="G550" i="8" s="1"/>
  <c r="G552" i="8" a="1"/>
  <c r="G552" i="8" s="1"/>
  <c r="G554" i="8" a="1"/>
  <c r="G554" i="8" s="1"/>
  <c r="G556" i="8" a="1"/>
  <c r="G556" i="8" s="1"/>
  <c r="G558" i="8" a="1"/>
  <c r="G558" i="8" s="1"/>
  <c r="G560" i="8" a="1"/>
  <c r="G560" i="8" s="1"/>
  <c r="G562" i="8" a="1"/>
  <c r="G562" i="8" s="1"/>
  <c r="G564" i="8" a="1"/>
  <c r="G564" i="8" s="1"/>
  <c r="G566" i="8" a="1"/>
  <c r="G566" i="8" s="1"/>
  <c r="G568" i="8" a="1"/>
  <c r="G568" i="8" s="1"/>
  <c r="G570" i="8" a="1"/>
  <c r="G570" i="8" s="1"/>
  <c r="G572" i="8" a="1"/>
  <c r="G572" i="8" s="1"/>
  <c r="G574" i="8" a="1"/>
  <c r="G574" i="8" s="1"/>
  <c r="G576" i="8" a="1"/>
  <c r="G576" i="8" s="1"/>
  <c r="G578" i="8" a="1"/>
  <c r="G578" i="8" s="1"/>
  <c r="G580" i="8" a="1"/>
  <c r="G580" i="8" s="1"/>
  <c r="G582" i="8" a="1"/>
  <c r="G582" i="8" s="1"/>
  <c r="G585" i="8" a="1"/>
  <c r="G585" i="8" s="1"/>
  <c r="G587" i="8" a="1"/>
  <c r="G587" i="8" s="1"/>
  <c r="G589" i="8" a="1"/>
  <c r="G589" i="8" s="1"/>
  <c r="G591" i="8" a="1"/>
  <c r="G591" i="8" s="1"/>
  <c r="G593" i="8" a="1"/>
  <c r="G593" i="8" s="1"/>
  <c r="G595" i="8" a="1"/>
  <c r="G595" i="8" s="1"/>
  <c r="G597" i="8" a="1"/>
  <c r="G597" i="8" s="1"/>
  <c r="G599" i="8" a="1"/>
  <c r="G599" i="8" s="1"/>
  <c r="G601" i="8" a="1"/>
  <c r="G601" i="8" s="1"/>
  <c r="G603" i="8" a="1"/>
  <c r="G603" i="8" s="1"/>
  <c r="G605" i="8" a="1"/>
  <c r="G605" i="8" s="1"/>
  <c r="G607" i="8" a="1"/>
  <c r="G607" i="8" s="1"/>
  <c r="G609" i="8" a="1"/>
  <c r="G609" i="8" s="1"/>
  <c r="G611" i="8" a="1"/>
  <c r="G611" i="8" s="1"/>
  <c r="G613" i="8" a="1"/>
  <c r="G613" i="8" s="1"/>
  <c r="G615" i="8" a="1"/>
  <c r="G615" i="8" s="1"/>
  <c r="G183" i="8" a="1"/>
  <c r="G183" i="8" s="1"/>
  <c r="G184" i="8" a="1"/>
  <c r="G184" i="8" s="1"/>
  <c r="G185" i="8" a="1"/>
  <c r="G185" i="8" s="1"/>
  <c r="G186" i="8" a="1"/>
  <c r="G186" i="8" s="1"/>
  <c r="G187" i="8" a="1"/>
  <c r="G187" i="8" s="1"/>
  <c r="G188" i="8" a="1"/>
  <c r="G188" i="8" s="1"/>
  <c r="G189" i="8" a="1"/>
  <c r="G189" i="8" s="1"/>
  <c r="G190" i="8" a="1"/>
  <c r="G190" i="8" s="1"/>
  <c r="G191" i="8" a="1"/>
  <c r="G191" i="8" s="1"/>
  <c r="G192" i="8" a="1"/>
  <c r="G192" i="8" s="1"/>
  <c r="G193" i="8" a="1"/>
  <c r="G193" i="8" s="1"/>
  <c r="G194" i="8" a="1"/>
  <c r="G194" i="8" s="1"/>
  <c r="G195" i="8" a="1"/>
  <c r="G195" i="8" s="1"/>
  <c r="G196" i="8" a="1"/>
  <c r="G196" i="8" s="1"/>
  <c r="G197" i="8" a="1"/>
  <c r="G197" i="8" s="1"/>
  <c r="G198" i="8" a="1"/>
  <c r="G198" i="8" s="1"/>
  <c r="G199" i="8" a="1"/>
  <c r="G199" i="8" s="1"/>
  <c r="G200" i="8" a="1"/>
  <c r="G200" i="8" s="1"/>
  <c r="G201" i="8" a="1"/>
  <c r="G201" i="8" s="1"/>
  <c r="G202" i="8" a="1"/>
  <c r="G202" i="8" s="1"/>
  <c r="G203" i="8" a="1"/>
  <c r="G203" i="8" s="1"/>
  <c r="G204" i="8" a="1"/>
  <c r="G204" i="8" s="1"/>
  <c r="G205" i="8" a="1"/>
  <c r="G205" i="8" s="1"/>
  <c r="G206" i="8" a="1"/>
  <c r="G206" i="8" s="1"/>
  <c r="G207" i="8" a="1"/>
  <c r="G207" i="8" s="1"/>
  <c r="G208" i="8" a="1"/>
  <c r="G208" i="8" s="1"/>
  <c r="G209" i="8" a="1"/>
  <c r="G209" i="8" s="1"/>
  <c r="G210" i="8" a="1"/>
  <c r="G210" i="8" s="1"/>
  <c r="G211" i="8" a="1"/>
  <c r="G211" i="8" s="1"/>
  <c r="G212" i="8" a="1"/>
  <c r="G212" i="8" s="1"/>
  <c r="G213" i="8" a="1"/>
  <c r="G213" i="8" s="1"/>
  <c r="G214" i="8" a="1"/>
  <c r="G214" i="8" s="1"/>
  <c r="G215" i="8" a="1"/>
  <c r="G215" i="8" s="1"/>
  <c r="G216" i="8" a="1"/>
  <c r="G216" i="8" s="1"/>
  <c r="G217" i="8" a="1"/>
  <c r="G217" i="8" s="1"/>
  <c r="G218" i="8" a="1"/>
  <c r="G218" i="8" s="1"/>
  <c r="G219" i="8" a="1"/>
  <c r="G219" i="8" s="1"/>
  <c r="G220" i="8" a="1"/>
  <c r="G220" i="8" s="1"/>
  <c r="G221" i="8" a="1"/>
  <c r="G221" i="8" s="1"/>
  <c r="G222" i="8" a="1"/>
  <c r="G222" i="8" s="1"/>
  <c r="G223" i="8" a="1"/>
  <c r="G223" i="8" s="1"/>
  <c r="G224" i="8" a="1"/>
  <c r="G224" i="8" s="1"/>
  <c r="G225" i="8" a="1"/>
  <c r="G225" i="8" s="1"/>
  <c r="G226" i="8" a="1"/>
  <c r="G226" i="8" s="1"/>
  <c r="G227" i="8" a="1"/>
  <c r="G227" i="8" s="1"/>
  <c r="G228" i="8" a="1"/>
  <c r="G228" i="8" s="1"/>
  <c r="G229" i="8" a="1"/>
  <c r="G229" i="8" s="1"/>
  <c r="G230" i="8" a="1"/>
  <c r="G230" i="8" s="1"/>
  <c r="G231" i="8" a="1"/>
  <c r="G231" i="8" s="1"/>
  <c r="G232" i="8" a="1"/>
  <c r="G232" i="8" s="1"/>
  <c r="G233" i="8" a="1"/>
  <c r="G233" i="8" s="1"/>
  <c r="G234" i="8" a="1"/>
  <c r="G234" i="8" s="1"/>
  <c r="G235" i="8" a="1"/>
  <c r="G235" i="8" s="1"/>
  <c r="G236" i="8" a="1"/>
  <c r="G236" i="8" s="1"/>
  <c r="G237" i="8" a="1"/>
  <c r="G237" i="8" s="1"/>
  <c r="G238" i="8" a="1"/>
  <c r="G238" i="8" s="1"/>
  <c r="G239" i="8" a="1"/>
  <c r="G239" i="8" s="1"/>
  <c r="G240" i="8" a="1"/>
  <c r="G240" i="8" s="1"/>
  <c r="G241" i="8" a="1"/>
  <c r="G241" i="8" s="1"/>
  <c r="G242" i="8" a="1"/>
  <c r="G242" i="8" s="1"/>
  <c r="G243" i="8" a="1"/>
  <c r="G243" i="8" s="1"/>
  <c r="G244" i="8" a="1"/>
  <c r="G244" i="8" s="1"/>
  <c r="G245" i="8" a="1"/>
  <c r="G245" i="8" s="1"/>
  <c r="G246" i="8" a="1"/>
  <c r="G246" i="8" s="1"/>
  <c r="G247" i="8" a="1"/>
  <c r="G247" i="8" s="1"/>
  <c r="G248" i="8" a="1"/>
  <c r="G248" i="8" s="1"/>
  <c r="G249" i="8" a="1"/>
  <c r="G249" i="8" s="1"/>
  <c r="G250" i="8" a="1"/>
  <c r="G250" i="8" s="1"/>
  <c r="G251" i="8" a="1"/>
  <c r="G251" i="8" s="1"/>
  <c r="G252" i="8" a="1"/>
  <c r="G252" i="8" s="1"/>
  <c r="G253" i="8" a="1"/>
  <c r="G253" i="8" s="1"/>
  <c r="G254" i="8" a="1"/>
  <c r="G254" i="8" s="1"/>
  <c r="G255" i="8" a="1"/>
  <c r="G255" i="8" s="1"/>
  <c r="G256" i="8" a="1"/>
  <c r="G256" i="8" s="1"/>
  <c r="G257" i="8" a="1"/>
  <c r="G257" i="8" s="1"/>
  <c r="G258" i="8" a="1"/>
  <c r="G258" i="8" s="1"/>
  <c r="G259" i="8" a="1"/>
  <c r="G259" i="8" s="1"/>
  <c r="G260" i="8" a="1"/>
  <c r="G260" i="8" s="1"/>
  <c r="G261" i="8" a="1"/>
  <c r="G261" i="8" s="1"/>
  <c r="G262" i="8" a="1"/>
  <c r="G262" i="8" s="1"/>
  <c r="G263" i="8" a="1"/>
  <c r="G263" i="8" s="1"/>
  <c r="G264" i="8" a="1"/>
  <c r="G264" i="8" s="1"/>
  <c r="G265" i="8" a="1"/>
  <c r="G265" i="8" s="1"/>
  <c r="G266" i="8" a="1"/>
  <c r="G266" i="8" s="1"/>
  <c r="G267" i="8" a="1"/>
  <c r="G267" i="8" s="1"/>
  <c r="G268" i="8" a="1"/>
  <c r="G268" i="8" s="1"/>
  <c r="G269" i="8" a="1"/>
  <c r="G269" i="8" s="1"/>
  <c r="G270" i="8" a="1"/>
  <c r="G270" i="8" s="1"/>
  <c r="G271" i="8" a="1"/>
  <c r="G271" i="8" s="1"/>
  <c r="G272" i="8" a="1"/>
  <c r="G272" i="8" s="1"/>
  <c r="G273" i="8" a="1"/>
  <c r="G273" i="8" s="1"/>
  <c r="G274" i="8" a="1"/>
  <c r="G274" i="8" s="1"/>
  <c r="G275" i="8" a="1"/>
  <c r="G275" i="8" s="1"/>
  <c r="G276" i="8" a="1"/>
  <c r="G276" i="8" s="1"/>
  <c r="G277" i="8" a="1"/>
  <c r="G277" i="8" s="1"/>
  <c r="G278" i="8" a="1"/>
  <c r="G278" i="8" s="1"/>
  <c r="G279" i="8" a="1"/>
  <c r="G279" i="8" s="1"/>
  <c r="G280" i="8" a="1"/>
  <c r="G280" i="8" s="1"/>
  <c r="G281" i="8" a="1"/>
  <c r="G281" i="8" s="1"/>
  <c r="G282" i="8" a="1"/>
  <c r="G282" i="8" s="1"/>
  <c r="G283" i="8" a="1"/>
  <c r="G283" i="8" s="1"/>
  <c r="G284" i="8" a="1"/>
  <c r="G284" i="8" s="1"/>
  <c r="G285" i="8" a="1"/>
  <c r="G285" i="8" s="1"/>
  <c r="G286" i="8" a="1"/>
  <c r="G286" i="8" s="1"/>
  <c r="G287" i="8" a="1"/>
  <c r="G287" i="8" s="1"/>
  <c r="G288" i="8" a="1"/>
  <c r="G288" i="8" s="1"/>
  <c r="G289" i="8" a="1"/>
  <c r="G289" i="8" s="1"/>
  <c r="G290" i="8" a="1"/>
  <c r="G290" i="8" s="1"/>
  <c r="G291" i="8" a="1"/>
  <c r="G291" i="8" s="1"/>
  <c r="G292" i="8" a="1"/>
  <c r="G292" i="8" s="1"/>
  <c r="G293" i="8" a="1"/>
  <c r="G293" i="8" s="1"/>
  <c r="G294" i="8" a="1"/>
  <c r="G294" i="8" s="1"/>
  <c r="G295" i="8" a="1"/>
  <c r="G295" i="8" s="1"/>
  <c r="G296" i="8" a="1"/>
  <c r="G296" i="8" s="1"/>
  <c r="G297" i="8" a="1"/>
  <c r="G297" i="8" s="1"/>
  <c r="G298" i="8" a="1"/>
  <c r="G298" i="8" s="1"/>
  <c r="G299" i="8" a="1"/>
  <c r="G299" i="8" s="1"/>
  <c r="G848" i="8" a="1"/>
  <c r="G848" i="8" s="1"/>
  <c r="G849" i="8" a="1"/>
  <c r="G849" i="8" s="1"/>
  <c r="G850" i="8" a="1"/>
  <c r="G850" i="8" s="1"/>
  <c r="G851" i="8" a="1"/>
  <c r="G851" i="8" s="1"/>
  <c r="G852" i="8" a="1"/>
  <c r="G852" i="8" s="1"/>
  <c r="G853" i="8" a="1"/>
  <c r="G853" i="8" s="1"/>
  <c r="G854" i="8" a="1"/>
  <c r="G854" i="8" s="1"/>
  <c r="G855" i="8" a="1"/>
  <c r="G855" i="8" s="1"/>
  <c r="G856" i="8" a="1"/>
  <c r="G856" i="8" s="1"/>
  <c r="G857" i="8" a="1"/>
  <c r="G857" i="8" s="1"/>
  <c r="G858" i="8" a="1"/>
  <c r="G858" i="8" s="1"/>
  <c r="G859" i="8" a="1"/>
  <c r="G859" i="8" s="1"/>
  <c r="G860" i="8" a="1"/>
  <c r="G860" i="8" s="1"/>
  <c r="G861" i="8" a="1"/>
  <c r="G861" i="8" s="1"/>
  <c r="G862" i="8" a="1"/>
  <c r="G862" i="8" s="1"/>
  <c r="G863" i="8" a="1"/>
  <c r="G863" i="8" s="1"/>
  <c r="G864" i="8" a="1"/>
  <c r="G864" i="8" s="1"/>
  <c r="G865" i="8" a="1"/>
  <c r="G865" i="8" s="1"/>
  <c r="G866" i="8" a="1"/>
  <c r="G866" i="8" s="1"/>
  <c r="G867" i="8" a="1"/>
  <c r="G867" i="8" s="1"/>
  <c r="G868" i="8" a="1"/>
  <c r="G868" i="8" s="1"/>
  <c r="G869" i="8" a="1"/>
  <c r="G869" i="8" s="1"/>
  <c r="G870" i="8" a="1"/>
  <c r="G870" i="8" s="1"/>
  <c r="G871" i="8" a="1"/>
  <c r="G871" i="8" s="1"/>
  <c r="G872" i="8" a="1"/>
  <c r="G872" i="8" s="1"/>
  <c r="G873" i="8" a="1"/>
  <c r="G873" i="8" s="1"/>
  <c r="G874" i="8" a="1"/>
  <c r="G874" i="8" s="1"/>
  <c r="G875" i="8" a="1"/>
  <c r="G875" i="8" s="1"/>
  <c r="G876" i="8" a="1"/>
  <c r="G876" i="8" s="1"/>
  <c r="G877" i="8" a="1"/>
  <c r="G877" i="8" s="1"/>
  <c r="G878" i="8" a="1"/>
  <c r="G878" i="8" s="1"/>
  <c r="G879" i="8" a="1"/>
  <c r="G879" i="8" s="1"/>
  <c r="G880" i="8" a="1"/>
  <c r="G880" i="8" s="1"/>
  <c r="G881" i="8" a="1"/>
  <c r="G881" i="8" s="1"/>
  <c r="G882" i="8" a="1"/>
  <c r="G882" i="8" s="1"/>
  <c r="G883" i="8" a="1"/>
  <c r="G883" i="8" s="1"/>
  <c r="G884" i="8" a="1"/>
  <c r="G884" i="8" s="1"/>
  <c r="G885" i="8" a="1"/>
  <c r="G885" i="8" s="1"/>
  <c r="G886" i="8" a="1"/>
  <c r="G886" i="8" s="1"/>
  <c r="G887" i="8" a="1"/>
  <c r="G887" i="8" s="1"/>
  <c r="G888" i="8" a="1"/>
  <c r="G888" i="8" s="1"/>
  <c r="G889" i="8" a="1"/>
  <c r="G889" i="8" s="1"/>
  <c r="G890" i="8" a="1"/>
  <c r="G890" i="8" s="1"/>
  <c r="G891" i="8" a="1"/>
  <c r="G891" i="8" s="1"/>
  <c r="G892" i="8" a="1"/>
  <c r="G892" i="8" s="1"/>
  <c r="G893" i="8" a="1"/>
  <c r="G893" i="8" s="1"/>
  <c r="G894" i="8" a="1"/>
  <c r="G894" i="8" s="1"/>
  <c r="G895" i="8" a="1"/>
  <c r="G895" i="8" s="1"/>
  <c r="G896" i="8" a="1"/>
  <c r="G896" i="8" s="1"/>
  <c r="G897" i="8" a="1"/>
  <c r="G897" i="8" s="1"/>
  <c r="G898" i="8" a="1"/>
  <c r="G898" i="8" s="1"/>
  <c r="G899" i="8" a="1"/>
  <c r="G899" i="8" s="1"/>
  <c r="G900" i="8" a="1"/>
  <c r="G900" i="8" s="1"/>
  <c r="G901" i="8" a="1"/>
  <c r="G901" i="8" s="1"/>
  <c r="G902" i="8" a="1"/>
  <c r="G902" i="8" s="1"/>
  <c r="G903" i="8" a="1"/>
  <c r="G903" i="8" s="1"/>
  <c r="G904" i="8" a="1"/>
  <c r="G904" i="8" s="1"/>
  <c r="G905" i="8" a="1"/>
  <c r="G905" i="8" s="1"/>
  <c r="G906" i="8" a="1"/>
  <c r="G906" i="8" s="1"/>
  <c r="G907" i="8" a="1"/>
  <c r="G907" i="8" s="1"/>
  <c r="G908" i="8" a="1"/>
  <c r="G908" i="8" s="1"/>
  <c r="G909" i="8" a="1"/>
  <c r="G909" i="8" s="1"/>
  <c r="G910" i="8" a="1"/>
  <c r="G910" i="8" s="1"/>
  <c r="G911" i="8" a="1"/>
  <c r="G911" i="8" s="1"/>
  <c r="G912" i="8" a="1"/>
  <c r="G912" i="8" s="1"/>
  <c r="G913" i="8" a="1"/>
  <c r="G913" i="8" s="1"/>
  <c r="G914" i="8" a="1"/>
  <c r="G914" i="8" s="1"/>
  <c r="G915" i="8" a="1"/>
  <c r="G915" i="8" s="1"/>
  <c r="G916" i="8" a="1"/>
  <c r="G916" i="8" s="1"/>
  <c r="G917" i="8" a="1"/>
  <c r="G917" i="8" s="1"/>
  <c r="G918" i="8" a="1"/>
  <c r="G918" i="8" s="1"/>
  <c r="G919" i="8" a="1"/>
  <c r="G919" i="8" s="1"/>
  <c r="G920" i="8" a="1"/>
  <c r="G920" i="8" s="1"/>
  <c r="G921" i="8" a="1"/>
  <c r="G921" i="8" s="1"/>
  <c r="G922" i="8" a="1"/>
  <c r="G922" i="8" s="1"/>
  <c r="G923" i="8" a="1"/>
  <c r="G923" i="8" s="1"/>
  <c r="G924" i="8" a="1"/>
  <c r="G924" i="8" s="1"/>
  <c r="G925" i="8" a="1"/>
  <c r="G925" i="8" s="1"/>
  <c r="G926" i="8" a="1"/>
  <c r="G926" i="8" s="1"/>
  <c r="G927" i="8" a="1"/>
  <c r="G927" i="8" s="1"/>
  <c r="G928" i="8" a="1"/>
  <c r="G928" i="8" s="1"/>
  <c r="G929" i="8" a="1"/>
  <c r="G929" i="8" s="1"/>
  <c r="G930" i="8" a="1"/>
  <c r="G930" i="8" s="1"/>
  <c r="G931" i="8" a="1"/>
  <c r="G931" i="8" s="1"/>
  <c r="G932" i="8" a="1"/>
  <c r="G932" i="8" s="1"/>
  <c r="G933" i="8" a="1"/>
  <c r="G933" i="8" s="1"/>
  <c r="G934" i="8" a="1"/>
  <c r="G934" i="8" s="1"/>
  <c r="G935" i="8" a="1"/>
  <c r="G935" i="8" s="1"/>
  <c r="G936" i="8" a="1"/>
  <c r="G936" i="8" s="1"/>
  <c r="G937" i="8" a="1"/>
  <c r="G937" i="8" s="1"/>
  <c r="G938" i="8" a="1"/>
  <c r="G938" i="8" s="1"/>
  <c r="G939" i="8" a="1"/>
  <c r="G939" i="8" s="1"/>
  <c r="G940" i="8" a="1"/>
  <c r="G940" i="8" s="1"/>
  <c r="G941" i="8" a="1"/>
  <c r="G941" i="8" s="1"/>
  <c r="G942" i="8" a="1"/>
  <c r="G942" i="8" s="1"/>
  <c r="G943" i="8" a="1"/>
  <c r="G943" i="8" s="1"/>
  <c r="G944" i="8" a="1"/>
  <c r="G944" i="8" s="1"/>
  <c r="G945" i="8" a="1"/>
  <c r="G945" i="8" s="1"/>
  <c r="G946" i="8" a="1"/>
  <c r="G946" i="8" s="1"/>
  <c r="G947" i="8" a="1"/>
  <c r="G947" i="8" s="1"/>
  <c r="G948" i="8" a="1"/>
  <c r="G948" i="8" s="1"/>
  <c r="G949" i="8" a="1"/>
  <c r="G949" i="8" s="1"/>
  <c r="G950" i="8" a="1"/>
  <c r="G950" i="8" s="1"/>
  <c r="G951" i="8" a="1"/>
  <c r="G951" i="8" s="1"/>
  <c r="G952" i="8" a="1"/>
  <c r="G952" i="8" s="1"/>
  <c r="G953" i="8" a="1"/>
  <c r="G953" i="8" s="1"/>
  <c r="G954" i="8" a="1"/>
  <c r="G954" i="8" s="1"/>
  <c r="G955" i="8" a="1"/>
  <c r="G955" i="8" s="1"/>
  <c r="G1011" i="8" a="1"/>
  <c r="G1011" i="8" s="1"/>
  <c r="G1012" i="8" a="1"/>
  <c r="G1012" i="8" s="1"/>
  <c r="G1013" i="8" a="1"/>
  <c r="G1013" i="8" s="1"/>
  <c r="G1014" i="8" a="1"/>
  <c r="G1014" i="8" s="1"/>
  <c r="G1015" i="8" a="1"/>
  <c r="G1015" i="8" s="1"/>
  <c r="G1016" i="8" a="1"/>
  <c r="G1016" i="8" s="1"/>
  <c r="G1017" i="8" a="1"/>
  <c r="G1017" i="8" s="1"/>
  <c r="G1018" i="8" a="1"/>
  <c r="G1018" i="8" s="1"/>
  <c r="G1019" i="8" a="1"/>
  <c r="G1019" i="8" s="1"/>
  <c r="G1020" i="8" a="1"/>
  <c r="G1020" i="8" s="1"/>
  <c r="G1021" i="8" a="1"/>
  <c r="G1021" i="8" s="1"/>
  <c r="G1022" i="8" a="1"/>
  <c r="G1022" i="8" s="1"/>
  <c r="G1023" i="8" a="1"/>
  <c r="G1023" i="8" s="1"/>
  <c r="G1024" i="8" a="1"/>
  <c r="G1024" i="8" s="1"/>
  <c r="G1025" i="8" a="1"/>
  <c r="G1025" i="8" s="1"/>
  <c r="G1026" i="8" a="1"/>
  <c r="G1026" i="8" s="1"/>
  <c r="G1027" i="8" a="1"/>
  <c r="G1027" i="8" s="1"/>
  <c r="G1028" i="8" a="1"/>
  <c r="G1028" i="8" s="1"/>
  <c r="G1029" i="8" a="1"/>
  <c r="G1029" i="8" s="1"/>
  <c r="G1030" i="8" a="1"/>
  <c r="G1030" i="8" s="1"/>
  <c r="G1031" i="8" a="1"/>
  <c r="G1031" i="8" s="1"/>
  <c r="G1032" i="8" a="1"/>
  <c r="G1032" i="8" s="1"/>
  <c r="G1033" i="8" a="1"/>
  <c r="G1033" i="8" s="1"/>
  <c r="G1034" i="8" a="1"/>
  <c r="G1034" i="8" s="1"/>
  <c r="G1035" i="8" a="1"/>
  <c r="G1035" i="8" s="1"/>
  <c r="G1036" i="8" a="1"/>
  <c r="G1036" i="8" s="1"/>
  <c r="G1037" i="8" a="1"/>
  <c r="G1037" i="8" s="1"/>
  <c r="G1038" i="8" a="1"/>
  <c r="G1038" i="8" s="1"/>
  <c r="G1039" i="8" a="1"/>
  <c r="G1039" i="8" s="1"/>
  <c r="G1040" i="8" a="1"/>
  <c r="G1040" i="8" s="1"/>
  <c r="G1041" i="8" a="1"/>
  <c r="G1041" i="8" s="1"/>
  <c r="G1042" i="8" a="1"/>
  <c r="G1042" i="8" s="1"/>
  <c r="G1043" i="8" a="1"/>
  <c r="G1043" i="8" s="1"/>
  <c r="G1044" i="8" a="1"/>
  <c r="G1044" i="8" s="1"/>
  <c r="G1045" i="8" a="1"/>
  <c r="G1045" i="8" s="1"/>
  <c r="G1046" i="8" a="1"/>
  <c r="G1046" i="8" s="1"/>
  <c r="G1047" i="8" a="1"/>
  <c r="G1047" i="8" s="1"/>
  <c r="G1048" i="8" a="1"/>
  <c r="G1048" i="8" s="1"/>
  <c r="G1049" i="8" a="1"/>
  <c r="G1049" i="8" s="1"/>
  <c r="G1050" i="8" a="1"/>
  <c r="G1050" i="8" s="1"/>
  <c r="G1051" i="8" a="1"/>
  <c r="G1051" i="8" s="1"/>
  <c r="G1052" i="8" a="1"/>
  <c r="G1052" i="8" s="1"/>
  <c r="G1053" i="8" a="1"/>
  <c r="G1053" i="8" s="1"/>
  <c r="G1054" i="8" a="1"/>
  <c r="G1054" i="8" s="1"/>
  <c r="G1055" i="8" a="1"/>
  <c r="G1055" i="8" s="1"/>
  <c r="G1056" i="8" a="1"/>
  <c r="G1056" i="8" s="1"/>
  <c r="G1057" i="8" a="1"/>
  <c r="G1057" i="8" s="1"/>
  <c r="G1058" i="8" a="1"/>
  <c r="G1058" i="8" s="1"/>
  <c r="G1059" i="8" a="1"/>
  <c r="G1059" i="8" s="1"/>
  <c r="G1060" i="8" a="1"/>
  <c r="G1060" i="8" s="1"/>
  <c r="G1061" i="8" a="1"/>
  <c r="G1061" i="8" s="1"/>
  <c r="G1062" i="8" a="1"/>
  <c r="G1062" i="8" s="1"/>
  <c r="G1063" i="8" a="1"/>
  <c r="G1063" i="8" s="1"/>
  <c r="G1064" i="8" a="1"/>
  <c r="G1064" i="8" s="1"/>
  <c r="G1065" i="8" a="1"/>
  <c r="G1065" i="8" s="1"/>
  <c r="G1066" i="8" a="1"/>
  <c r="G1066" i="8" s="1"/>
  <c r="G1067" i="8" a="1"/>
  <c r="G1067" i="8" s="1"/>
  <c r="G1068" i="8" a="1"/>
  <c r="G1068" i="8" s="1"/>
  <c r="G1069" i="8" a="1"/>
  <c r="G1069" i="8" s="1"/>
  <c r="G1070" i="8" a="1"/>
  <c r="G1070" i="8" s="1"/>
  <c r="G1071" i="8" a="1"/>
  <c r="G1071" i="8" s="1"/>
  <c r="G1072" i="8" a="1"/>
  <c r="G1072" i="8" s="1"/>
  <c r="G1073" i="8" a="1"/>
  <c r="G1073" i="8" s="1"/>
  <c r="G1074" i="8" a="1"/>
  <c r="G1074" i="8" s="1"/>
  <c r="G1075" i="8" a="1"/>
  <c r="G1075" i="8" s="1"/>
  <c r="G1076" i="8" a="1"/>
  <c r="G1076" i="8" s="1"/>
  <c r="G1077" i="8" a="1"/>
  <c r="G1077" i="8" s="1"/>
  <c r="G1078" i="8" a="1"/>
  <c r="G1078" i="8" s="1"/>
  <c r="G1079" i="8" a="1"/>
  <c r="G1079" i="8" s="1"/>
  <c r="G1080" i="8" a="1"/>
  <c r="G1080" i="8" s="1"/>
  <c r="G1081" i="8" a="1"/>
  <c r="G1081" i="8" s="1"/>
  <c r="G1082" i="8" a="1"/>
  <c r="G1082" i="8" s="1"/>
  <c r="G1083" i="8" a="1"/>
  <c r="G1083" i="8" s="1"/>
  <c r="G1084" i="8" a="1"/>
  <c r="G1084" i="8" s="1"/>
  <c r="G1085" i="8" a="1"/>
  <c r="G1085" i="8" s="1"/>
  <c r="G1086" i="8" a="1"/>
  <c r="G1086" i="8" s="1"/>
  <c r="G1087" i="8" a="1"/>
  <c r="G1087" i="8" s="1"/>
  <c r="G1088" i="8" a="1"/>
  <c r="G1088" i="8" s="1"/>
  <c r="G1089" i="8" a="1"/>
  <c r="G1089" i="8" s="1"/>
  <c r="G1090" i="8" a="1"/>
  <c r="G1090" i="8" s="1"/>
  <c r="G1091" i="8" a="1"/>
  <c r="G1091" i="8" s="1"/>
  <c r="G1092" i="8" a="1"/>
  <c r="G1092" i="8" s="1"/>
  <c r="G1093" i="8" a="1"/>
  <c r="G1093" i="8" s="1"/>
  <c r="G1094" i="8" a="1"/>
  <c r="G1094" i="8" s="1"/>
  <c r="G1095" i="8" a="1"/>
  <c r="G1095" i="8" s="1"/>
  <c r="G1096" i="8" a="1"/>
  <c r="G1096" i="8" s="1"/>
  <c r="G1097" i="8" a="1"/>
  <c r="G1097" i="8" s="1"/>
  <c r="G1098" i="8" a="1"/>
  <c r="G1098" i="8" s="1"/>
  <c r="G1099" i="8" a="1"/>
  <c r="G1099" i="8" s="1"/>
  <c r="G1100" i="8" a="1"/>
  <c r="G1100" i="8" s="1"/>
  <c r="G1101" i="8" a="1"/>
  <c r="G1101" i="8" s="1"/>
  <c r="G1102" i="8" a="1"/>
  <c r="G1102" i="8" s="1"/>
  <c r="G1103" i="8" a="1"/>
  <c r="G1103" i="8" s="1"/>
  <c r="G1104" i="8" a="1"/>
  <c r="G1104" i="8" s="1"/>
  <c r="G1105" i="8" a="1"/>
  <c r="G1105" i="8" s="1"/>
  <c r="G1106" i="8" a="1"/>
  <c r="G1106" i="8" s="1"/>
  <c r="G1107" i="8" a="1"/>
  <c r="G1107" i="8" s="1"/>
  <c r="G1108" i="8" a="1"/>
  <c r="G1108" i="8" s="1"/>
  <c r="G1109" i="8" a="1"/>
  <c r="G1109" i="8" s="1"/>
  <c r="G1110" i="8" a="1"/>
  <c r="G1110" i="8" s="1"/>
  <c r="G1111" i="8" a="1"/>
  <c r="G1111" i="8" s="1"/>
  <c r="G1112" i="8" a="1"/>
  <c r="G1112" i="8" s="1"/>
  <c r="G1113" i="8" a="1"/>
  <c r="G1113" i="8" s="1"/>
  <c r="G1114" i="8" a="1"/>
  <c r="G1114" i="8" s="1"/>
  <c r="G1115" i="8" a="1"/>
  <c r="G1115" i="8" s="1"/>
  <c r="G1116" i="8" a="1"/>
  <c r="G1116" i="8" s="1"/>
  <c r="G1117" i="8" a="1"/>
  <c r="G1117" i="8" s="1"/>
  <c r="G1118" i="8" a="1"/>
  <c r="G1118" i="8" s="1"/>
  <c r="G1119" i="8" a="1"/>
  <c r="G1119" i="8" s="1"/>
  <c r="G1120" i="8" a="1"/>
  <c r="G1120" i="8" s="1"/>
  <c r="G1121" i="8" a="1"/>
  <c r="G1121" i="8" s="1"/>
  <c r="G1122" i="8" a="1"/>
  <c r="G1122" i="8" s="1"/>
  <c r="G1123" i="8" a="1"/>
  <c r="G1123" i="8" s="1"/>
  <c r="G1124" i="8" a="1"/>
  <c r="G1124" i="8" s="1"/>
  <c r="G1125" i="8" a="1"/>
  <c r="G1125" i="8" s="1"/>
  <c r="G1126" i="8" a="1"/>
  <c r="G1126" i="8" s="1"/>
  <c r="G1127" i="8" a="1"/>
  <c r="G1127" i="8" s="1"/>
  <c r="G1128" i="8" a="1"/>
  <c r="G1128" i="8" s="1"/>
  <c r="G1129" i="8" a="1"/>
  <c r="G1129" i="8" s="1"/>
  <c r="G1130" i="8" a="1"/>
  <c r="G1130" i="8" s="1"/>
  <c r="G1131" i="8" a="1"/>
  <c r="G1131" i="8" s="1"/>
  <c r="G1132" i="8" a="1"/>
  <c r="G1132" i="8" s="1"/>
  <c r="F861" i="8"/>
  <c r="F862" i="8"/>
  <c r="F863" i="8"/>
  <c r="F864" i="8"/>
  <c r="F865" i="8"/>
  <c r="F866" i="8"/>
  <c r="F867" i="8"/>
  <c r="F868" i="8"/>
  <c r="F869" i="8"/>
  <c r="F870" i="8"/>
  <c r="F871" i="8"/>
  <c r="F872" i="8"/>
  <c r="F873" i="8"/>
  <c r="F874" i="8"/>
  <c r="F875" i="8"/>
  <c r="F876" i="8"/>
  <c r="F877" i="8"/>
  <c r="F878" i="8"/>
  <c r="F879" i="8"/>
  <c r="F880" i="8"/>
  <c r="F881" i="8"/>
  <c r="F882" i="8"/>
  <c r="F883" i="8"/>
  <c r="F884" i="8"/>
  <c r="F885" i="8"/>
  <c r="F886" i="8"/>
  <c r="F887" i="8"/>
  <c r="F888" i="8"/>
  <c r="F889" i="8"/>
  <c r="F890" i="8"/>
  <c r="F891" i="8"/>
  <c r="F892" i="8"/>
  <c r="F893" i="8"/>
  <c r="F894" i="8"/>
  <c r="F895" i="8"/>
  <c r="F896" i="8"/>
  <c r="F897" i="8"/>
  <c r="F898" i="8"/>
  <c r="F899" i="8"/>
  <c r="F900" i="8"/>
  <c r="F901" i="8"/>
  <c r="F902" i="8"/>
  <c r="F903" i="8"/>
  <c r="F904" i="8"/>
  <c r="F905" i="8"/>
  <c r="F906" i="8"/>
  <c r="F907" i="8"/>
  <c r="F908" i="8"/>
  <c r="F909" i="8"/>
  <c r="F910" i="8"/>
  <c r="F911" i="8"/>
  <c r="F912" i="8"/>
  <c r="F913" i="8"/>
  <c r="F914" i="8"/>
  <c r="F915" i="8"/>
  <c r="F916" i="8"/>
  <c r="F917" i="8"/>
  <c r="F918" i="8"/>
  <c r="F919" i="8"/>
  <c r="F920" i="8"/>
  <c r="F921" i="8"/>
  <c r="F922" i="8"/>
  <c r="F923" i="8"/>
  <c r="F924" i="8"/>
  <c r="F925" i="8"/>
  <c r="F926" i="8"/>
  <c r="F927" i="8"/>
  <c r="F928" i="8"/>
  <c r="F929" i="8"/>
  <c r="F930" i="8"/>
  <c r="F931" i="8"/>
  <c r="F932" i="8"/>
  <c r="F933" i="8"/>
  <c r="F934" i="8"/>
  <c r="F935" i="8"/>
  <c r="F936" i="8"/>
  <c r="F937" i="8"/>
  <c r="F938" i="8"/>
  <c r="F939" i="8"/>
  <c r="F940" i="8"/>
  <c r="F941" i="8"/>
  <c r="F942" i="8"/>
  <c r="F943" i="8"/>
  <c r="F944" i="8"/>
  <c r="F945" i="8"/>
  <c r="F946" i="8"/>
  <c r="F947" i="8"/>
  <c r="F948" i="8"/>
  <c r="F949" i="8"/>
  <c r="F950" i="8"/>
  <c r="F951" i="8"/>
  <c r="F952" i="8"/>
  <c r="F953" i="8"/>
  <c r="F954" i="8"/>
  <c r="F955" i="8"/>
  <c r="F956" i="8"/>
  <c r="F957" i="8"/>
  <c r="F958" i="8"/>
  <c r="F959" i="8"/>
  <c r="F960" i="8"/>
  <c r="F961" i="8"/>
  <c r="F962" i="8"/>
  <c r="F963" i="8"/>
  <c r="F964" i="8"/>
  <c r="F965" i="8"/>
  <c r="F966" i="8"/>
  <c r="F967" i="8"/>
  <c r="F968" i="8"/>
  <c r="F969" i="8"/>
  <c r="F970" i="8"/>
  <c r="F971" i="8"/>
  <c r="F972" i="8"/>
  <c r="F973" i="8"/>
  <c r="F974" i="8"/>
  <c r="F975" i="8"/>
  <c r="F976" i="8"/>
  <c r="F977" i="8"/>
  <c r="F978" i="8"/>
  <c r="F979" i="8"/>
  <c r="F980" i="8"/>
  <c r="F981" i="8"/>
  <c r="F982" i="8"/>
  <c r="F983" i="8"/>
  <c r="F984" i="8"/>
  <c r="F985" i="8"/>
  <c r="F986" i="8"/>
  <c r="F987" i="8"/>
  <c r="F988" i="8"/>
  <c r="F989" i="8"/>
  <c r="F990" i="8"/>
  <c r="F991" i="8"/>
  <c r="F992" i="8"/>
  <c r="F993" i="8"/>
  <c r="F994" i="8"/>
  <c r="F995" i="8"/>
  <c r="F996" i="8"/>
  <c r="F997" i="8"/>
  <c r="F998" i="8"/>
  <c r="F999" i="8"/>
  <c r="F1000" i="8"/>
  <c r="F1001" i="8"/>
  <c r="F1002" i="8"/>
  <c r="F1003" i="8"/>
  <c r="F1004" i="8"/>
  <c r="F1005" i="8"/>
  <c r="F1006" i="8"/>
  <c r="F1007" i="8"/>
  <c r="F1008" i="8"/>
  <c r="F1009" i="8"/>
  <c r="F1010" i="8"/>
  <c r="F1011" i="8"/>
  <c r="F1012" i="8"/>
  <c r="F1013" i="8"/>
  <c r="F1014" i="8"/>
  <c r="F1015" i="8"/>
  <c r="F1016" i="8"/>
  <c r="F1017" i="8"/>
  <c r="F1018" i="8"/>
  <c r="F1019" i="8"/>
  <c r="F1020" i="8"/>
  <c r="F1021" i="8"/>
  <c r="F1022" i="8"/>
  <c r="F1023" i="8"/>
  <c r="F1024" i="8"/>
  <c r="F1025" i="8"/>
  <c r="F1026" i="8"/>
  <c r="F1027" i="8"/>
  <c r="F1028" i="8"/>
  <c r="F1029" i="8"/>
  <c r="F1030" i="8"/>
  <c r="F1031" i="8"/>
  <c r="F1032" i="8"/>
  <c r="F1033" i="8"/>
  <c r="F1034" i="8"/>
  <c r="F1035" i="8"/>
  <c r="F1036" i="8"/>
  <c r="F1037" i="8"/>
  <c r="F1038" i="8"/>
  <c r="F1039" i="8"/>
  <c r="F1040" i="8"/>
  <c r="F1041" i="8"/>
  <c r="F1042" i="8"/>
  <c r="F1043" i="8"/>
  <c r="F1044" i="8"/>
  <c r="F1045" i="8"/>
  <c r="F1046" i="8"/>
  <c r="F1047" i="8"/>
  <c r="F1048" i="8"/>
  <c r="F1049" i="8"/>
  <c r="F1050" i="8"/>
  <c r="F1051" i="8"/>
  <c r="F1052" i="8"/>
  <c r="F1053" i="8"/>
  <c r="F1054" i="8"/>
  <c r="F1055" i="8"/>
  <c r="F1056" i="8"/>
  <c r="F1057" i="8"/>
  <c r="F1058" i="8"/>
  <c r="F1059" i="8"/>
  <c r="F1060" i="8"/>
  <c r="F1061" i="8"/>
  <c r="F1062" i="8"/>
  <c r="F1063" i="8"/>
  <c r="F1064" i="8"/>
  <c r="F1065" i="8"/>
  <c r="F1066" i="8"/>
  <c r="F1067" i="8"/>
  <c r="F1068" i="8"/>
  <c r="F1069" i="8"/>
  <c r="F1070" i="8"/>
  <c r="F1071" i="8"/>
  <c r="F1072" i="8"/>
  <c r="F1073" i="8"/>
  <c r="F1074" i="8"/>
  <c r="F1075" i="8"/>
  <c r="F1076" i="8"/>
  <c r="F1077" i="8"/>
  <c r="F1078" i="8"/>
  <c r="F1079" i="8"/>
  <c r="F1080" i="8"/>
  <c r="F1081" i="8"/>
  <c r="F1082" i="8"/>
  <c r="F1083" i="8"/>
  <c r="F1084" i="8"/>
  <c r="F1085" i="8"/>
  <c r="F1086" i="8"/>
  <c r="F1087" i="8"/>
  <c r="F1088" i="8"/>
  <c r="F1089" i="8"/>
  <c r="F1090" i="8"/>
  <c r="F1091" i="8"/>
  <c r="F1092" i="8"/>
  <c r="F1093" i="8"/>
  <c r="F1094" i="8"/>
  <c r="F1095" i="8"/>
  <c r="F1096" i="8"/>
  <c r="F1097" i="8"/>
  <c r="F1098" i="8"/>
  <c r="F1099" i="8"/>
  <c r="F1100" i="8"/>
  <c r="F1101" i="8"/>
  <c r="F1102" i="8"/>
  <c r="F1103" i="8"/>
  <c r="F1104" i="8"/>
  <c r="F1105" i="8"/>
  <c r="F1106" i="8"/>
  <c r="F1107" i="8"/>
  <c r="F1108" i="8"/>
  <c r="F1109" i="8"/>
  <c r="F1110" i="8"/>
  <c r="F1111" i="8"/>
  <c r="F1112" i="8"/>
  <c r="F1113" i="8"/>
  <c r="F1114" i="8"/>
  <c r="F1115" i="8"/>
  <c r="F1116" i="8"/>
  <c r="F1117" i="8"/>
  <c r="F1118" i="8"/>
  <c r="F1119" i="8"/>
  <c r="F1120" i="8"/>
  <c r="F1121" i="8"/>
  <c r="F1122" i="8"/>
  <c r="F1123" i="8"/>
  <c r="F1124" i="8"/>
  <c r="F1125" i="8"/>
  <c r="F1126" i="8"/>
  <c r="F1127" i="8"/>
  <c r="F1128" i="8"/>
  <c r="F1129" i="8"/>
  <c r="F1130" i="8"/>
  <c r="F1131" i="8"/>
  <c r="F1132" i="8"/>
  <c r="F1133" i="8"/>
  <c r="F1134" i="8"/>
  <c r="F1135" i="8"/>
  <c r="F1136"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753" i="8"/>
  <c r="E754" i="8"/>
  <c r="E755" i="8"/>
  <c r="E756" i="8"/>
  <c r="E757" i="8"/>
  <c r="E758" i="8"/>
  <c r="E759" i="8"/>
  <c r="E760" i="8"/>
  <c r="E761" i="8"/>
  <c r="E762" i="8"/>
  <c r="E763" i="8"/>
  <c r="E764" i="8"/>
  <c r="E765" i="8"/>
  <c r="E766" i="8"/>
  <c r="E767" i="8"/>
  <c r="E768" i="8"/>
  <c r="E769" i="8"/>
  <c r="E770" i="8"/>
  <c r="E771" i="8"/>
  <c r="E772" i="8"/>
  <c r="E773" i="8"/>
  <c r="E774" i="8"/>
  <c r="E775" i="8"/>
  <c r="E776" i="8"/>
  <c r="E777" i="8"/>
  <c r="E778" i="8"/>
  <c r="E779" i="8"/>
  <c r="E780" i="8"/>
  <c r="E781" i="8"/>
  <c r="E782" i="8"/>
  <c r="E783" i="8"/>
  <c r="E784" i="8"/>
  <c r="E785" i="8"/>
  <c r="E786" i="8"/>
  <c r="E787" i="8"/>
  <c r="E788" i="8"/>
  <c r="E789" i="8"/>
  <c r="E790" i="8"/>
  <c r="E791" i="8"/>
  <c r="E792" i="8"/>
  <c r="E793" i="8"/>
  <c r="E794" i="8"/>
  <c r="E795" i="8"/>
  <c r="E796" i="8"/>
  <c r="E797" i="8"/>
  <c r="E798" i="8"/>
  <c r="E799" i="8"/>
  <c r="E800" i="8"/>
  <c r="E801" i="8"/>
  <c r="E802" i="8"/>
  <c r="E803" i="8"/>
  <c r="E804" i="8"/>
  <c r="E805" i="8"/>
  <c r="E806" i="8"/>
  <c r="E807" i="8"/>
  <c r="E808" i="8"/>
  <c r="E809" i="8"/>
  <c r="E810" i="8"/>
  <c r="E811" i="8"/>
  <c r="E812" i="8"/>
  <c r="E813" i="8"/>
  <c r="E814" i="8"/>
  <c r="E815" i="8"/>
  <c r="E816" i="8"/>
  <c r="E817" i="8"/>
  <c r="E818" i="8"/>
  <c r="E819" i="8"/>
  <c r="E820" i="8"/>
  <c r="E821" i="8"/>
  <c r="E822" i="8"/>
  <c r="E823" i="8"/>
  <c r="E824" i="8"/>
  <c r="E825" i="8"/>
  <c r="E826" i="8"/>
  <c r="E827" i="8"/>
  <c r="E828" i="8"/>
  <c r="E829" i="8"/>
  <c r="E830" i="8"/>
  <c r="E831" i="8"/>
  <c r="E832" i="8"/>
  <c r="E833" i="8"/>
  <c r="E834" i="8"/>
  <c r="E835" i="8"/>
  <c r="E836" i="8"/>
  <c r="E837" i="8"/>
  <c r="E838" i="8"/>
  <c r="E839" i="8"/>
  <c r="E840" i="8"/>
  <c r="E841" i="8"/>
  <c r="E842" i="8"/>
  <c r="E843" i="8"/>
  <c r="E844" i="8"/>
  <c r="E845" i="8"/>
  <c r="E846" i="8"/>
  <c r="E847" i="8"/>
  <c r="E848" i="8"/>
  <c r="E849" i="8"/>
  <c r="E850" i="8"/>
  <c r="E851" i="8"/>
  <c r="E852" i="8"/>
  <c r="E853" i="8"/>
  <c r="E854" i="8"/>
  <c r="E855" i="8"/>
  <c r="E856" i="8"/>
  <c r="E857" i="8"/>
  <c r="E858" i="8"/>
  <c r="E859" i="8"/>
  <c r="E860" i="8"/>
  <c r="E861" i="8"/>
  <c r="E862" i="8"/>
  <c r="E863" i="8"/>
  <c r="E864" i="8"/>
  <c r="E865" i="8"/>
  <c r="E866" i="8"/>
  <c r="E867" i="8"/>
  <c r="E868" i="8"/>
  <c r="E869" i="8"/>
  <c r="E870" i="8"/>
  <c r="E871" i="8"/>
  <c r="E872" i="8"/>
  <c r="E873" i="8"/>
  <c r="E874" i="8"/>
  <c r="E875" i="8"/>
  <c r="E876" i="8"/>
  <c r="E877" i="8"/>
  <c r="E878" i="8"/>
  <c r="E879" i="8"/>
  <c r="E880" i="8"/>
  <c r="E881" i="8"/>
  <c r="E882" i="8"/>
  <c r="E883" i="8"/>
  <c r="E884" i="8"/>
  <c r="E885" i="8"/>
  <c r="E886" i="8"/>
  <c r="E887" i="8"/>
  <c r="E888" i="8"/>
  <c r="E889" i="8"/>
  <c r="E890" i="8"/>
  <c r="E891" i="8"/>
  <c r="E892" i="8"/>
  <c r="E893" i="8"/>
  <c r="E894" i="8"/>
  <c r="E895" i="8"/>
  <c r="E896" i="8"/>
  <c r="E897" i="8"/>
  <c r="E898" i="8"/>
  <c r="E899" i="8"/>
  <c r="E900" i="8"/>
  <c r="E901" i="8"/>
  <c r="E902" i="8"/>
  <c r="E903" i="8"/>
  <c r="E904" i="8"/>
  <c r="E905" i="8"/>
  <c r="E906" i="8"/>
  <c r="E907" i="8"/>
  <c r="E908" i="8"/>
  <c r="E909" i="8"/>
  <c r="E910" i="8"/>
  <c r="E911" i="8"/>
  <c r="E912" i="8"/>
  <c r="E913" i="8"/>
  <c r="E914" i="8"/>
  <c r="E915" i="8"/>
  <c r="E916" i="8"/>
  <c r="E917" i="8"/>
  <c r="E918" i="8"/>
  <c r="E919" i="8"/>
  <c r="E920" i="8"/>
  <c r="E921" i="8"/>
  <c r="E922" i="8"/>
  <c r="E923" i="8"/>
  <c r="E924" i="8"/>
  <c r="E925" i="8"/>
  <c r="E926" i="8"/>
  <c r="E927" i="8"/>
  <c r="E928" i="8"/>
  <c r="E929" i="8"/>
  <c r="E930" i="8"/>
  <c r="E931" i="8"/>
  <c r="E932" i="8"/>
  <c r="E933" i="8"/>
  <c r="E934" i="8"/>
  <c r="E935" i="8"/>
  <c r="E936" i="8"/>
  <c r="E937" i="8"/>
  <c r="E938" i="8"/>
  <c r="E939" i="8"/>
  <c r="E940" i="8"/>
  <c r="E941" i="8"/>
  <c r="E942" i="8"/>
  <c r="E943" i="8"/>
  <c r="E944" i="8"/>
  <c r="E945" i="8"/>
  <c r="E946" i="8"/>
  <c r="E947" i="8"/>
  <c r="E948" i="8"/>
  <c r="E949" i="8"/>
  <c r="E950" i="8"/>
  <c r="E951" i="8"/>
  <c r="E952" i="8"/>
  <c r="E953" i="8"/>
  <c r="E954" i="8"/>
  <c r="E955" i="8"/>
  <c r="E956" i="8"/>
  <c r="E957" i="8"/>
  <c r="E958" i="8"/>
  <c r="E959" i="8"/>
  <c r="E960" i="8"/>
  <c r="E961" i="8"/>
  <c r="E962" i="8"/>
  <c r="E963" i="8"/>
  <c r="E964" i="8"/>
  <c r="E965" i="8"/>
  <c r="E966" i="8"/>
  <c r="E967" i="8"/>
  <c r="E968" i="8"/>
  <c r="E969" i="8"/>
  <c r="E970" i="8"/>
  <c r="E971" i="8"/>
  <c r="E972" i="8"/>
  <c r="E973" i="8"/>
  <c r="E974" i="8"/>
  <c r="E975" i="8"/>
  <c r="E976" i="8"/>
  <c r="E977" i="8"/>
  <c r="E978" i="8"/>
  <c r="E979" i="8"/>
  <c r="E980" i="8"/>
  <c r="E981" i="8"/>
  <c r="E982" i="8"/>
  <c r="E983" i="8"/>
  <c r="E984" i="8"/>
  <c r="E985" i="8"/>
  <c r="E986" i="8"/>
  <c r="E987" i="8"/>
  <c r="E988" i="8"/>
  <c r="E989" i="8"/>
  <c r="E990" i="8"/>
  <c r="E991" i="8"/>
  <c r="E992" i="8"/>
  <c r="E993" i="8"/>
  <c r="E994" i="8"/>
  <c r="E995" i="8"/>
  <c r="E996" i="8"/>
  <c r="E997" i="8"/>
  <c r="E998" i="8"/>
  <c r="E999" i="8"/>
  <c r="E1000" i="8"/>
  <c r="E1001" i="8"/>
  <c r="E1002" i="8"/>
  <c r="E1003" i="8"/>
  <c r="E1004" i="8"/>
  <c r="E1005" i="8"/>
  <c r="E1006" i="8"/>
  <c r="E1007" i="8"/>
  <c r="E1008" i="8"/>
  <c r="E1009" i="8"/>
  <c r="E1010" i="8"/>
  <c r="E1011" i="8"/>
  <c r="E1012" i="8"/>
  <c r="E1013" i="8"/>
  <c r="E1014" i="8"/>
  <c r="E1015" i="8"/>
  <c r="E1016" i="8"/>
  <c r="E1017" i="8"/>
  <c r="E1018" i="8"/>
  <c r="E1019" i="8"/>
  <c r="E1020" i="8"/>
  <c r="E1021" i="8"/>
  <c r="E1022" i="8"/>
  <c r="E1023" i="8"/>
  <c r="E1024" i="8"/>
  <c r="E1025" i="8"/>
  <c r="E1026" i="8"/>
  <c r="E1027" i="8"/>
  <c r="E1028" i="8"/>
  <c r="E1029" i="8"/>
  <c r="E1030" i="8"/>
  <c r="E1031" i="8"/>
  <c r="E1032" i="8"/>
  <c r="E1033" i="8"/>
  <c r="E1034" i="8"/>
  <c r="E1035" i="8"/>
  <c r="E1036" i="8"/>
  <c r="E1037" i="8"/>
  <c r="E1038" i="8"/>
  <c r="E1039" i="8"/>
  <c r="E1040" i="8"/>
  <c r="E1041" i="8"/>
  <c r="E1042" i="8"/>
  <c r="E1043" i="8"/>
  <c r="E1044" i="8"/>
  <c r="E1045" i="8"/>
  <c r="E1046" i="8"/>
  <c r="E1047" i="8"/>
  <c r="E1048" i="8"/>
  <c r="E1049" i="8"/>
  <c r="E1050" i="8"/>
  <c r="E1051" i="8"/>
  <c r="E1052" i="8"/>
  <c r="E1053" i="8"/>
  <c r="E1054" i="8"/>
  <c r="E1055" i="8"/>
  <c r="E1056" i="8"/>
  <c r="E1057" i="8"/>
  <c r="E1058" i="8"/>
  <c r="E1059" i="8"/>
  <c r="E1060" i="8"/>
  <c r="E1061" i="8"/>
  <c r="E1062" i="8"/>
  <c r="E1063" i="8"/>
  <c r="E1064" i="8"/>
  <c r="E1065" i="8"/>
  <c r="E1066" i="8"/>
  <c r="E1067" i="8"/>
  <c r="E1068" i="8"/>
  <c r="E1069" i="8"/>
  <c r="E1070" i="8"/>
  <c r="E1071" i="8"/>
  <c r="E1072" i="8"/>
  <c r="E1073" i="8"/>
  <c r="E1074" i="8"/>
  <c r="E1075" i="8"/>
  <c r="E1076" i="8"/>
  <c r="E1077" i="8"/>
  <c r="E1078" i="8"/>
  <c r="E1079" i="8"/>
  <c r="E1080" i="8"/>
  <c r="E1081" i="8"/>
  <c r="E1082" i="8"/>
  <c r="E1083" i="8"/>
  <c r="E1084" i="8"/>
  <c r="E1085" i="8"/>
  <c r="E1086" i="8"/>
  <c r="E1087" i="8"/>
  <c r="E1088" i="8"/>
  <c r="E1089" i="8"/>
  <c r="E1090" i="8"/>
  <c r="E1091" i="8"/>
  <c r="E1092" i="8"/>
  <c r="E1093" i="8"/>
  <c r="E1094" i="8"/>
  <c r="E1095" i="8"/>
  <c r="E1096" i="8"/>
  <c r="E1097" i="8"/>
  <c r="E1098" i="8"/>
  <c r="E1099" i="8"/>
  <c r="E1100" i="8"/>
  <c r="E1101" i="8"/>
  <c r="E1102" i="8"/>
  <c r="E1103" i="8"/>
  <c r="E1104" i="8"/>
  <c r="E1105" i="8"/>
  <c r="E1106" i="8"/>
  <c r="E1107" i="8"/>
  <c r="E1108" i="8"/>
  <c r="E1109" i="8"/>
  <c r="E1110" i="8"/>
  <c r="E1111" i="8"/>
  <c r="E1112" i="8"/>
  <c r="E1113" i="8"/>
  <c r="E1114" i="8"/>
  <c r="E1115" i="8"/>
  <c r="E1116" i="8"/>
  <c r="E1117" i="8"/>
  <c r="E1118" i="8"/>
  <c r="E1119" i="8"/>
  <c r="E1120" i="8"/>
  <c r="E1121" i="8"/>
  <c r="E1122" i="8"/>
  <c r="E1123" i="8"/>
  <c r="E1124" i="8"/>
  <c r="E1125" i="8"/>
  <c r="E1126" i="8"/>
  <c r="E1127" i="8"/>
  <c r="E1128" i="8"/>
  <c r="E1129" i="8"/>
  <c r="E1130" i="8"/>
  <c r="E1131" i="8"/>
  <c r="E1132" i="8"/>
  <c r="E1133" i="8"/>
  <c r="E1134" i="8"/>
  <c r="E1135" i="8"/>
  <c r="E1136"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C620" i="8"/>
  <c r="C621" i="8"/>
  <c r="C622" i="8"/>
  <c r="C623" i="8"/>
  <c r="C624" i="8"/>
  <c r="C625" i="8"/>
  <c r="C626" i="8"/>
  <c r="C627" i="8"/>
  <c r="C628" i="8"/>
  <c r="C629" i="8"/>
  <c r="C630" i="8"/>
  <c r="C631" i="8"/>
  <c r="C632" i="8"/>
  <c r="C633" i="8"/>
  <c r="C634" i="8"/>
  <c r="C635" i="8"/>
  <c r="C636" i="8"/>
  <c r="C637" i="8"/>
  <c r="C638" i="8"/>
  <c r="C639" i="8"/>
  <c r="C640" i="8"/>
  <c r="C641" i="8"/>
  <c r="C642" i="8"/>
  <c r="C643" i="8"/>
  <c r="C644" i="8"/>
  <c r="C645" i="8"/>
  <c r="C646" i="8"/>
  <c r="C647" i="8"/>
  <c r="C648" i="8"/>
  <c r="C649" i="8"/>
  <c r="C650" i="8"/>
  <c r="C651" i="8"/>
  <c r="C652" i="8"/>
  <c r="C653" i="8"/>
  <c r="C654" i="8"/>
  <c r="C655" i="8"/>
  <c r="C656" i="8"/>
  <c r="C657" i="8"/>
  <c r="C658" i="8"/>
  <c r="C659" i="8"/>
  <c r="C660" i="8"/>
  <c r="C661" i="8"/>
  <c r="C662" i="8"/>
  <c r="C663" i="8"/>
  <c r="C664" i="8"/>
  <c r="C665" i="8"/>
  <c r="C666" i="8"/>
  <c r="C667" i="8"/>
  <c r="C668" i="8"/>
  <c r="C669" i="8"/>
  <c r="C670" i="8"/>
  <c r="C671" i="8"/>
  <c r="C672" i="8"/>
  <c r="C673" i="8"/>
  <c r="C674" i="8"/>
  <c r="C675" i="8"/>
  <c r="C676" i="8"/>
  <c r="C677" i="8"/>
  <c r="C678" i="8"/>
  <c r="C679" i="8"/>
  <c r="C680" i="8"/>
  <c r="C681" i="8"/>
  <c r="C682" i="8"/>
  <c r="C683" i="8"/>
  <c r="C684" i="8"/>
  <c r="C685" i="8"/>
  <c r="C686" i="8"/>
  <c r="C687" i="8"/>
  <c r="C688" i="8"/>
  <c r="C689" i="8"/>
  <c r="C690" i="8"/>
  <c r="C691" i="8"/>
  <c r="C692" i="8"/>
  <c r="C693" i="8"/>
  <c r="C694" i="8"/>
  <c r="C695" i="8"/>
  <c r="C696" i="8"/>
  <c r="C697" i="8"/>
  <c r="C698" i="8"/>
  <c r="C699" i="8"/>
  <c r="C700" i="8"/>
  <c r="C701" i="8"/>
  <c r="C702" i="8"/>
  <c r="C703" i="8"/>
  <c r="C704" i="8"/>
  <c r="C705" i="8"/>
  <c r="C706" i="8"/>
  <c r="C707" i="8"/>
  <c r="C708" i="8"/>
  <c r="C709" i="8"/>
  <c r="C710" i="8"/>
  <c r="C711" i="8"/>
  <c r="C712" i="8"/>
  <c r="C713" i="8"/>
  <c r="C714" i="8"/>
  <c r="C715" i="8"/>
  <c r="C716" i="8"/>
  <c r="C717" i="8"/>
  <c r="C718" i="8"/>
  <c r="C719" i="8"/>
  <c r="C720" i="8"/>
  <c r="C721" i="8"/>
  <c r="C722" i="8"/>
  <c r="C723" i="8"/>
  <c r="C724" i="8"/>
  <c r="C725" i="8"/>
  <c r="C726" i="8"/>
  <c r="C727" i="8"/>
  <c r="C728" i="8"/>
  <c r="C729" i="8"/>
  <c r="C730" i="8"/>
  <c r="C731" i="8"/>
  <c r="C732" i="8"/>
  <c r="C733" i="8"/>
  <c r="C734" i="8"/>
  <c r="C735" i="8"/>
  <c r="C736" i="8"/>
  <c r="C737" i="8"/>
  <c r="C738" i="8"/>
  <c r="C739" i="8"/>
  <c r="C740" i="8"/>
  <c r="C741" i="8"/>
  <c r="C742" i="8"/>
  <c r="C743" i="8"/>
  <c r="C744" i="8"/>
  <c r="C745" i="8"/>
  <c r="C746" i="8"/>
  <c r="C747" i="8"/>
  <c r="C748" i="8"/>
  <c r="C749" i="8"/>
  <c r="C750" i="8"/>
  <c r="C751" i="8"/>
  <c r="C752" i="8"/>
  <c r="C753" i="8"/>
  <c r="C754" i="8"/>
  <c r="C755" i="8"/>
  <c r="C756" i="8"/>
  <c r="C757" i="8"/>
  <c r="C758" i="8"/>
  <c r="C759" i="8"/>
  <c r="C760" i="8"/>
  <c r="C761" i="8"/>
  <c r="C762" i="8"/>
  <c r="C763" i="8"/>
  <c r="C764" i="8"/>
  <c r="C766" i="8"/>
  <c r="C767" i="8"/>
  <c r="C768" i="8"/>
  <c r="C769" i="8"/>
  <c r="C770" i="8"/>
  <c r="C772" i="8"/>
  <c r="C774" i="8"/>
  <c r="C775" i="8"/>
  <c r="C777" i="8"/>
  <c r="C778" i="8"/>
  <c r="C779" i="8"/>
  <c r="C780" i="8"/>
  <c r="C781" i="8"/>
  <c r="C782" i="8"/>
  <c r="C783" i="8"/>
  <c r="C784" i="8"/>
  <c r="C785" i="8"/>
  <c r="C786" i="8"/>
  <c r="C787" i="8"/>
  <c r="C788" i="8"/>
  <c r="C789" i="8"/>
  <c r="C790" i="8"/>
  <c r="C791" i="8"/>
  <c r="C792" i="8"/>
  <c r="C793" i="8"/>
  <c r="C794" i="8"/>
  <c r="C795" i="8"/>
  <c r="C796" i="8"/>
  <c r="C797" i="8"/>
  <c r="C798" i="8"/>
  <c r="C799" i="8"/>
  <c r="C800" i="8"/>
  <c r="C801" i="8"/>
  <c r="C802" i="8"/>
  <c r="C803" i="8"/>
  <c r="C804" i="8"/>
  <c r="C805" i="8"/>
  <c r="C806" i="8"/>
  <c r="C807" i="8"/>
  <c r="C808" i="8"/>
  <c r="C809" i="8"/>
  <c r="C810" i="8"/>
  <c r="C811" i="8"/>
  <c r="C812" i="8"/>
  <c r="C813" i="8"/>
  <c r="C814" i="8"/>
  <c r="C815" i="8"/>
  <c r="C816" i="8"/>
  <c r="C817" i="8"/>
  <c r="C818" i="8"/>
  <c r="C819" i="8"/>
  <c r="C820" i="8"/>
  <c r="C821" i="8"/>
  <c r="C822" i="8"/>
  <c r="C823" i="8"/>
  <c r="C824" i="8"/>
  <c r="C825" i="8"/>
  <c r="C826" i="8"/>
  <c r="C827" i="8"/>
  <c r="C828" i="8"/>
  <c r="C829" i="8"/>
  <c r="C830" i="8"/>
  <c r="C831" i="8"/>
  <c r="C832" i="8"/>
  <c r="C833" i="8"/>
  <c r="C834" i="8"/>
  <c r="C835" i="8"/>
  <c r="C836" i="8"/>
  <c r="C837" i="8"/>
  <c r="C838" i="8"/>
  <c r="C839" i="8"/>
  <c r="C840" i="8"/>
  <c r="C841" i="8"/>
  <c r="C842" i="8"/>
  <c r="C843" i="8"/>
  <c r="C844" i="8"/>
  <c r="C845" i="8"/>
  <c r="C846" i="8"/>
  <c r="C847" i="8"/>
  <c r="C848" i="8"/>
  <c r="C849" i="8"/>
  <c r="C850" i="8"/>
  <c r="C851" i="8"/>
  <c r="C852" i="8"/>
  <c r="C853" i="8"/>
  <c r="C854" i="8"/>
  <c r="C855" i="8"/>
  <c r="C856" i="8"/>
  <c r="C857" i="8"/>
  <c r="C858" i="8"/>
  <c r="C859" i="8"/>
  <c r="C860" i="8"/>
  <c r="C861" i="8"/>
  <c r="C862" i="8"/>
  <c r="C863" i="8"/>
  <c r="C864" i="8"/>
  <c r="C865" i="8"/>
  <c r="C866" i="8"/>
  <c r="C867" i="8"/>
  <c r="C868" i="8"/>
  <c r="C869" i="8"/>
  <c r="C870" i="8"/>
  <c r="C871" i="8"/>
  <c r="C872" i="8"/>
  <c r="C873" i="8"/>
  <c r="C874" i="8"/>
  <c r="C875" i="8"/>
  <c r="C876" i="8"/>
  <c r="C877" i="8"/>
  <c r="C878" i="8"/>
  <c r="C879" i="8"/>
  <c r="C880" i="8"/>
  <c r="C881" i="8"/>
  <c r="C882" i="8"/>
  <c r="C883" i="8"/>
  <c r="C884" i="8"/>
  <c r="C885" i="8"/>
  <c r="C886" i="8"/>
  <c r="C887" i="8"/>
  <c r="C888" i="8"/>
  <c r="C889" i="8"/>
  <c r="C890" i="8"/>
  <c r="C891" i="8"/>
  <c r="C892" i="8"/>
  <c r="C893" i="8"/>
  <c r="C894" i="8"/>
  <c r="C895" i="8"/>
  <c r="C896" i="8"/>
  <c r="C897" i="8"/>
  <c r="C898" i="8"/>
  <c r="C899" i="8"/>
  <c r="C900" i="8"/>
  <c r="C901" i="8"/>
  <c r="C902" i="8"/>
  <c r="C903" i="8"/>
  <c r="C904" i="8"/>
  <c r="C905" i="8"/>
  <c r="C906" i="8"/>
  <c r="C907" i="8"/>
  <c r="C908" i="8"/>
  <c r="C909" i="8"/>
  <c r="C910" i="8"/>
  <c r="C911" i="8"/>
  <c r="C912" i="8"/>
  <c r="C913" i="8"/>
  <c r="C914" i="8"/>
  <c r="C915" i="8"/>
  <c r="C916" i="8"/>
  <c r="C917" i="8"/>
  <c r="C918" i="8"/>
  <c r="C919" i="8"/>
  <c r="C920" i="8"/>
  <c r="C921" i="8"/>
  <c r="C922" i="8"/>
  <c r="C923" i="8"/>
  <c r="C924" i="8"/>
  <c r="C925" i="8"/>
  <c r="C926" i="8"/>
  <c r="C927" i="8"/>
  <c r="C928" i="8"/>
  <c r="C929" i="8"/>
  <c r="C930" i="8"/>
  <c r="C931" i="8"/>
  <c r="C932" i="8"/>
  <c r="C933" i="8"/>
  <c r="C934" i="8"/>
  <c r="C935" i="8"/>
  <c r="C936" i="8"/>
  <c r="C937" i="8"/>
  <c r="C938" i="8"/>
  <c r="C939" i="8"/>
  <c r="C940" i="8"/>
  <c r="C941" i="8"/>
  <c r="C942" i="8"/>
  <c r="C943" i="8"/>
  <c r="C944" i="8"/>
  <c r="C945" i="8"/>
  <c r="C946" i="8"/>
  <c r="C947" i="8"/>
  <c r="C948" i="8"/>
  <c r="C949" i="8"/>
  <c r="C950" i="8"/>
  <c r="C951" i="8"/>
  <c r="C952" i="8"/>
  <c r="C953" i="8"/>
  <c r="C954" i="8"/>
  <c r="C955" i="8"/>
  <c r="C956" i="8"/>
  <c r="C957" i="8"/>
  <c r="C958" i="8"/>
  <c r="C959" i="8"/>
  <c r="C960" i="8"/>
  <c r="C961" i="8"/>
  <c r="C962" i="8"/>
  <c r="C963" i="8"/>
  <c r="C964" i="8"/>
  <c r="C965" i="8"/>
  <c r="C966" i="8"/>
  <c r="C967" i="8"/>
  <c r="C968" i="8"/>
  <c r="C969" i="8"/>
  <c r="C970" i="8"/>
  <c r="C971" i="8"/>
  <c r="C972" i="8"/>
  <c r="C973" i="8"/>
  <c r="C974" i="8"/>
  <c r="C975" i="8"/>
  <c r="C976" i="8"/>
  <c r="C977" i="8"/>
  <c r="C978" i="8"/>
  <c r="C979" i="8"/>
  <c r="C980" i="8"/>
  <c r="C981" i="8"/>
  <c r="C982" i="8"/>
  <c r="C983" i="8"/>
  <c r="C984" i="8"/>
  <c r="C985" i="8"/>
  <c r="C986" i="8"/>
  <c r="C987" i="8"/>
  <c r="C988" i="8"/>
  <c r="C989" i="8"/>
  <c r="C990" i="8"/>
  <c r="C991" i="8"/>
  <c r="C992" i="8"/>
  <c r="C993" i="8"/>
  <c r="C994" i="8"/>
  <c r="C995" i="8"/>
  <c r="C996" i="8"/>
  <c r="C997" i="8"/>
  <c r="C998" i="8"/>
  <c r="C999" i="8"/>
  <c r="C1000" i="8"/>
  <c r="C1001" i="8"/>
  <c r="C1002" i="8"/>
  <c r="C1003" i="8"/>
  <c r="C1004" i="8"/>
  <c r="C1005" i="8"/>
  <c r="C1006" i="8"/>
  <c r="C1007" i="8"/>
  <c r="C1008" i="8"/>
  <c r="C1009" i="8"/>
  <c r="C1010" i="8"/>
  <c r="C1011" i="8"/>
  <c r="C1012" i="8"/>
  <c r="C1013" i="8"/>
  <c r="C1014" i="8"/>
  <c r="C1015" i="8"/>
  <c r="C1016" i="8"/>
  <c r="C1017" i="8"/>
  <c r="C1018" i="8"/>
  <c r="C1019" i="8"/>
  <c r="C1020" i="8"/>
  <c r="C1021" i="8"/>
  <c r="C1022" i="8"/>
  <c r="C1023" i="8"/>
  <c r="C1024" i="8"/>
  <c r="C1025" i="8"/>
  <c r="C1026" i="8"/>
  <c r="C1027" i="8"/>
  <c r="C1028" i="8"/>
  <c r="C1029" i="8"/>
  <c r="C1030" i="8"/>
  <c r="C1031" i="8"/>
  <c r="C1032" i="8"/>
  <c r="C1033" i="8"/>
  <c r="C1034" i="8"/>
  <c r="C1035" i="8"/>
  <c r="C1036" i="8"/>
  <c r="C1037" i="8"/>
  <c r="C1038" i="8"/>
  <c r="C1039" i="8"/>
  <c r="C1040" i="8"/>
  <c r="C1041" i="8"/>
  <c r="C1042" i="8"/>
  <c r="C1043" i="8"/>
  <c r="C1044" i="8"/>
  <c r="C1045" i="8"/>
  <c r="C1046" i="8"/>
  <c r="C1047" i="8"/>
  <c r="C1048" i="8"/>
  <c r="C1049" i="8"/>
  <c r="C1050" i="8"/>
  <c r="C1051" i="8"/>
  <c r="C1052" i="8"/>
  <c r="C1053" i="8"/>
  <c r="C1054" i="8"/>
  <c r="C1055" i="8"/>
  <c r="C1056" i="8"/>
  <c r="C1057" i="8"/>
  <c r="C1058" i="8"/>
  <c r="C1059" i="8"/>
  <c r="C1060" i="8"/>
  <c r="C1061" i="8"/>
  <c r="C1062" i="8"/>
  <c r="C1063" i="8"/>
  <c r="C1064" i="8"/>
  <c r="C1065" i="8"/>
  <c r="C1066" i="8"/>
  <c r="C1067" i="8"/>
  <c r="C1068" i="8"/>
  <c r="C1069" i="8"/>
  <c r="C1070" i="8"/>
  <c r="C1071" i="8"/>
  <c r="C1072" i="8"/>
  <c r="C1073" i="8"/>
  <c r="C1074" i="8"/>
  <c r="C1075" i="8"/>
  <c r="C1076" i="8"/>
  <c r="C1077" i="8"/>
  <c r="C1078" i="8"/>
  <c r="C1079" i="8"/>
  <c r="C1080" i="8"/>
  <c r="C1081" i="8"/>
  <c r="C1082" i="8"/>
  <c r="C1083" i="8"/>
  <c r="C1084" i="8"/>
  <c r="C1085" i="8"/>
  <c r="C1086" i="8"/>
  <c r="C1087" i="8"/>
  <c r="C1088" i="8"/>
  <c r="C1089" i="8"/>
  <c r="C1090" i="8"/>
  <c r="C1091" i="8"/>
  <c r="C1092" i="8"/>
  <c r="C1093" i="8"/>
  <c r="C1094" i="8"/>
  <c r="C1095" i="8"/>
  <c r="C1096" i="8"/>
  <c r="C1097" i="8"/>
  <c r="C1098" i="8"/>
  <c r="C1099" i="8"/>
  <c r="C1100" i="8"/>
  <c r="C1101" i="8"/>
  <c r="C1102" i="8"/>
  <c r="C1103" i="8"/>
  <c r="C1104" i="8"/>
  <c r="C1105" i="8"/>
  <c r="C1106" i="8"/>
  <c r="C1107" i="8"/>
  <c r="C1108" i="8"/>
  <c r="C1109" i="8"/>
  <c r="C1110" i="8"/>
  <c r="C1111" i="8"/>
  <c r="C1112" i="8"/>
  <c r="C1113" i="8"/>
  <c r="C1114" i="8"/>
  <c r="C1115" i="8"/>
  <c r="C1116" i="8"/>
  <c r="C1117" i="8"/>
  <c r="C1118" i="8"/>
  <c r="C1119" i="8"/>
  <c r="C1120" i="8"/>
  <c r="C1121" i="8"/>
  <c r="C1122" i="8"/>
  <c r="C1123" i="8"/>
  <c r="C1124" i="8"/>
  <c r="C1125" i="8"/>
  <c r="C1126" i="8"/>
  <c r="C1127" i="8"/>
  <c r="C1128" i="8"/>
  <c r="C1129" i="8"/>
  <c r="C1130" i="8"/>
  <c r="C1131" i="8"/>
  <c r="C1132" i="8"/>
  <c r="C1133" i="8"/>
  <c r="C1134" i="8"/>
  <c r="C1135" i="8"/>
  <c r="C1136"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69"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5" i="8"/>
  <c r="B986" i="8"/>
  <c r="B987" i="8"/>
  <c r="B988" i="8"/>
  <c r="B989" i="8"/>
  <c r="B990" i="8"/>
  <c r="B991" i="8"/>
  <c r="B992" i="8"/>
  <c r="B993" i="8"/>
  <c r="B994" i="8"/>
  <c r="B995" i="8"/>
  <c r="B996" i="8"/>
  <c r="B997" i="8"/>
  <c r="B998" i="8"/>
  <c r="B999" i="8"/>
  <c r="B1000" i="8"/>
  <c r="B1001" i="8"/>
  <c r="B1002" i="8"/>
  <c r="B1003" i="8"/>
  <c r="B1004" i="8"/>
  <c r="B1005" i="8"/>
  <c r="B1006" i="8"/>
  <c r="B1007"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C765" i="8"/>
  <c r="C771" i="8"/>
  <c r="C773" i="8"/>
  <c r="C776" i="8"/>
  <c r="G301" i="8" a="1"/>
  <c r="G301" i="8" s="1"/>
  <c r="G302" i="8" a="1"/>
  <c r="G302" i="8" s="1"/>
  <c r="G303" i="8" a="1"/>
  <c r="G303" i="8" s="1"/>
  <c r="G304" i="8" a="1"/>
  <c r="G304" i="8" s="1"/>
  <c r="G305" i="8" a="1"/>
  <c r="G305" i="8" s="1"/>
  <c r="G306" i="8" a="1"/>
  <c r="G306" i="8" s="1"/>
  <c r="G383" i="8" a="1"/>
  <c r="G383" i="8" s="1"/>
  <c r="G384" i="8" a="1"/>
  <c r="G384" i="8" s="1"/>
  <c r="G385" i="8" a="1"/>
  <c r="G385" i="8" s="1"/>
  <c r="G386" i="8" a="1"/>
  <c r="G386" i="8" s="1"/>
  <c r="G387" i="8" a="1"/>
  <c r="G387" i="8" s="1"/>
  <c r="G388" i="8" a="1"/>
  <c r="G388" i="8" s="1"/>
  <c r="G389" i="8" a="1"/>
  <c r="G389" i="8" s="1"/>
  <c r="G390" i="8" a="1"/>
  <c r="G390" i="8" s="1"/>
  <c r="G391" i="8" a="1"/>
  <c r="G391" i="8" s="1"/>
  <c r="G392" i="8" a="1"/>
  <c r="G392" i="8" s="1"/>
  <c r="G393" i="8" a="1"/>
  <c r="G393" i="8" s="1"/>
  <c r="G394" i="8" a="1"/>
  <c r="G394" i="8" s="1"/>
  <c r="G395" i="8" a="1"/>
  <c r="G395" i="8" s="1"/>
  <c r="G396" i="8" a="1"/>
  <c r="G396" i="8" s="1"/>
  <c r="G397" i="8" a="1"/>
  <c r="G397" i="8" s="1"/>
  <c r="G398" i="8" a="1"/>
  <c r="G398" i="8" s="1"/>
  <c r="G399" i="8" a="1"/>
  <c r="G399" i="8" s="1"/>
  <c r="G400" i="8" a="1"/>
  <c r="G400" i="8" s="1"/>
  <c r="G401" i="8" a="1"/>
  <c r="G401" i="8" s="1"/>
  <c r="G403" i="8" a="1"/>
  <c r="G403" i="8" s="1"/>
  <c r="G405" i="8" a="1"/>
  <c r="G405" i="8" s="1"/>
  <c r="G407" i="8" a="1"/>
  <c r="G407" i="8" s="1"/>
  <c r="G409" i="8" a="1"/>
  <c r="G409" i="8" s="1"/>
  <c r="G411" i="8" a="1"/>
  <c r="G411" i="8" s="1"/>
  <c r="G413" i="8" a="1"/>
  <c r="G413" i="8" s="1"/>
  <c r="G415" i="8" a="1"/>
  <c r="G415" i="8" s="1"/>
  <c r="G418" i="8" a="1"/>
  <c r="G418" i="8" s="1"/>
  <c r="G420" i="8" a="1"/>
  <c r="G420" i="8" s="1"/>
  <c r="G422" i="8" a="1"/>
  <c r="G422" i="8" s="1"/>
  <c r="G424" i="8" a="1"/>
  <c r="G424" i="8" s="1"/>
  <c r="G426" i="8" a="1"/>
  <c r="G426" i="8" s="1"/>
  <c r="G428" i="8" a="1"/>
  <c r="G428" i="8" s="1"/>
  <c r="G431" i="8" a="1"/>
  <c r="G431" i="8" s="1"/>
  <c r="G433" i="8" a="1"/>
  <c r="G433" i="8" s="1"/>
  <c r="G435" i="8" a="1"/>
  <c r="G435" i="8" s="1"/>
  <c r="G437" i="8" a="1"/>
  <c r="G437" i="8" s="1"/>
  <c r="G439" i="8" a="1"/>
  <c r="G439" i="8" s="1"/>
  <c r="G441" i="8" a="1"/>
  <c r="G441" i="8" s="1"/>
  <c r="G443" i="8" a="1"/>
  <c r="G443" i="8" s="1"/>
  <c r="G445" i="8" a="1"/>
  <c r="G445" i="8" s="1"/>
  <c r="G446" i="8" a="1"/>
  <c r="G446" i="8" s="1"/>
  <c r="G448" i="8" a="1"/>
  <c r="G448" i="8" s="1"/>
  <c r="G451" i="8" a="1"/>
  <c r="G451" i="8" s="1"/>
  <c r="G453" i="8" a="1"/>
  <c r="G453" i="8" s="1"/>
  <c r="G455" i="8" a="1"/>
  <c r="G455" i="8" s="1"/>
  <c r="G457" i="8" a="1"/>
  <c r="G457" i="8" s="1"/>
  <c r="G459" i="8" a="1"/>
  <c r="G459" i="8" s="1"/>
  <c r="G462" i="8" a="1"/>
  <c r="G462" i="8" s="1"/>
  <c r="G464" i="8" a="1"/>
  <c r="G464" i="8" s="1"/>
  <c r="G466" i="8" a="1"/>
  <c r="G466" i="8" s="1"/>
  <c r="G468" i="8" a="1"/>
  <c r="G468" i="8" s="1"/>
  <c r="G470" i="8" a="1"/>
  <c r="G470" i="8" s="1"/>
  <c r="G472" i="8" a="1"/>
  <c r="G472" i="8" s="1"/>
  <c r="G474" i="8" a="1"/>
  <c r="G474" i="8" s="1"/>
  <c r="G476" i="8" a="1"/>
  <c r="G476" i="8" s="1"/>
  <c r="G478" i="8" a="1"/>
  <c r="G478" i="8" s="1"/>
  <c r="G480" i="8" a="1"/>
  <c r="G480" i="8" s="1"/>
  <c r="G482" i="8" a="1"/>
  <c r="G482" i="8" s="1"/>
  <c r="G484" i="8" a="1"/>
  <c r="G484" i="8" s="1"/>
  <c r="G487" i="8" a="1"/>
  <c r="G487" i="8" s="1"/>
  <c r="G489" i="8" a="1"/>
  <c r="G489" i="8" s="1"/>
  <c r="G491" i="8" a="1"/>
  <c r="G491" i="8" s="1"/>
  <c r="G493" i="8" a="1"/>
  <c r="G493" i="8" s="1"/>
  <c r="G495" i="8" a="1"/>
  <c r="G495" i="8" s="1"/>
  <c r="G497" i="8" a="1"/>
  <c r="G497" i="8" s="1"/>
  <c r="G499" i="8" a="1"/>
  <c r="G499" i="8" s="1"/>
  <c r="G501" i="8" a="1"/>
  <c r="G501" i="8" s="1"/>
  <c r="G504" i="8" a="1"/>
  <c r="G504" i="8" s="1"/>
  <c r="G402" i="8" a="1"/>
  <c r="G402" i="8" s="1"/>
  <c r="G404" i="8" a="1"/>
  <c r="G404" i="8" s="1"/>
  <c r="G406" i="8" a="1"/>
  <c r="G406" i="8" s="1"/>
  <c r="G408" i="8" a="1"/>
  <c r="G408" i="8" s="1"/>
  <c r="G410" i="8" a="1"/>
  <c r="G410" i="8" s="1"/>
  <c r="G412" i="8" a="1"/>
  <c r="G412" i="8" s="1"/>
  <c r="G414" i="8" a="1"/>
  <c r="G414" i="8" s="1"/>
  <c r="G416" i="8" a="1"/>
  <c r="G416" i="8" s="1"/>
  <c r="G417" i="8" a="1"/>
  <c r="G417" i="8" s="1"/>
  <c r="G419" i="8" a="1"/>
  <c r="G419" i="8" s="1"/>
  <c r="G421" i="8" a="1"/>
  <c r="G421" i="8" s="1"/>
  <c r="G423" i="8" a="1"/>
  <c r="G423" i="8" s="1"/>
  <c r="G425" i="8" a="1"/>
  <c r="G425" i="8" s="1"/>
  <c r="G427" i="8" a="1"/>
  <c r="G427" i="8" s="1"/>
  <c r="G429" i="8" a="1"/>
  <c r="G429" i="8" s="1"/>
  <c r="G430" i="8" a="1"/>
  <c r="G430" i="8" s="1"/>
  <c r="G432" i="8" a="1"/>
  <c r="G432" i="8" s="1"/>
  <c r="G434" i="8" a="1"/>
  <c r="G434" i="8" s="1"/>
  <c r="G436" i="8" a="1"/>
  <c r="G436" i="8" s="1"/>
  <c r="G438" i="8" a="1"/>
  <c r="G438" i="8" s="1"/>
  <c r="G440" i="8" a="1"/>
  <c r="G440" i="8" s="1"/>
  <c r="G442" i="8" a="1"/>
  <c r="G442" i="8" s="1"/>
  <c r="G444" i="8" a="1"/>
  <c r="G444" i="8" s="1"/>
  <c r="G447" i="8" a="1"/>
  <c r="G447" i="8" s="1"/>
  <c r="G449" i="8" a="1"/>
  <c r="G449" i="8" s="1"/>
  <c r="G450" i="8" a="1"/>
  <c r="G450" i="8" s="1"/>
  <c r="G452" i="8" a="1"/>
  <c r="G452" i="8" s="1"/>
  <c r="G454" i="8" a="1"/>
  <c r="G454" i="8" s="1"/>
  <c r="G456" i="8" a="1"/>
  <c r="G456" i="8" s="1"/>
  <c r="G458" i="8" a="1"/>
  <c r="G458" i="8" s="1"/>
  <c r="G460" i="8" a="1"/>
  <c r="G460" i="8" s="1"/>
  <c r="G461" i="8" a="1"/>
  <c r="G461" i="8" s="1"/>
  <c r="G463" i="8" a="1"/>
  <c r="G463" i="8" s="1"/>
  <c r="G465" i="8" a="1"/>
  <c r="G465" i="8" s="1"/>
  <c r="G467" i="8" a="1"/>
  <c r="G467" i="8" s="1"/>
  <c r="G469" i="8" a="1"/>
  <c r="G469" i="8" s="1"/>
  <c r="G471" i="8" a="1"/>
  <c r="G471" i="8" s="1"/>
  <c r="G473" i="8" a="1"/>
  <c r="G473" i="8" s="1"/>
  <c r="G475" i="8" a="1"/>
  <c r="G475" i="8" s="1"/>
  <c r="G477" i="8" a="1"/>
  <c r="G477" i="8" s="1"/>
  <c r="G479" i="8" a="1"/>
  <c r="G479" i="8" s="1"/>
  <c r="G481" i="8" a="1"/>
  <c r="G481" i="8" s="1"/>
  <c r="G483" i="8" a="1"/>
  <c r="G483" i="8" s="1"/>
  <c r="G485" i="8" a="1"/>
  <c r="G485" i="8" s="1"/>
  <c r="G486" i="8" a="1"/>
  <c r="G486" i="8" s="1"/>
  <c r="G488" i="8" a="1"/>
  <c r="G488" i="8" s="1"/>
  <c r="G490" i="8" a="1"/>
  <c r="G490" i="8" s="1"/>
  <c r="G492" i="8" a="1"/>
  <c r="G492" i="8" s="1"/>
  <c r="G494" i="8" a="1"/>
  <c r="G494" i="8" s="1"/>
  <c r="G496" i="8" a="1"/>
  <c r="G496" i="8" s="1"/>
  <c r="G498" i="8" a="1"/>
  <c r="G498" i="8" s="1"/>
  <c r="G500" i="8" a="1"/>
  <c r="G500" i="8" s="1"/>
  <c r="G502" i="8" a="1"/>
  <c r="G502" i="8" s="1"/>
  <c r="G503" i="8" a="1"/>
  <c r="G503" i="8" s="1"/>
  <c r="G505" i="8" a="1"/>
  <c r="G505" i="8" s="1"/>
  <c r="A151"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512" i="8"/>
  <c r="H513" i="8"/>
  <c r="H514" i="8"/>
  <c r="H515" i="8"/>
  <c r="H516" i="8"/>
  <c r="H517" i="8"/>
  <c r="H518" i="8"/>
  <c r="H519" i="8"/>
  <c r="H520" i="8"/>
  <c r="H521" i="8"/>
  <c r="H522" i="8"/>
  <c r="H523" i="8"/>
  <c r="H524" i="8"/>
  <c r="H525" i="8"/>
  <c r="H526" i="8"/>
  <c r="H527" i="8"/>
  <c r="H528" i="8"/>
  <c r="H529" i="8"/>
  <c r="H530" i="8"/>
  <c r="H531" i="8"/>
  <c r="H532" i="8"/>
  <c r="H533" i="8"/>
  <c r="H534" i="8"/>
  <c r="H535" i="8"/>
  <c r="H536" i="8"/>
  <c r="H537" i="8"/>
  <c r="H538" i="8"/>
  <c r="H539" i="8"/>
  <c r="H540" i="8"/>
  <c r="H541" i="8"/>
  <c r="H542" i="8"/>
  <c r="H543" i="8"/>
  <c r="H544" i="8"/>
  <c r="H545" i="8"/>
  <c r="H546" i="8"/>
  <c r="H547" i="8"/>
  <c r="H548" i="8"/>
  <c r="H549" i="8"/>
  <c r="H550" i="8"/>
  <c r="H551" i="8"/>
  <c r="H552" i="8"/>
  <c r="H553" i="8"/>
  <c r="H554" i="8"/>
  <c r="H555" i="8"/>
  <c r="H556" i="8"/>
  <c r="H557" i="8"/>
  <c r="H558" i="8"/>
  <c r="H559" i="8"/>
  <c r="H560" i="8"/>
  <c r="H561" i="8"/>
  <c r="H562" i="8"/>
  <c r="H563" i="8"/>
  <c r="H564" i="8"/>
  <c r="H565" i="8"/>
  <c r="H566" i="8"/>
  <c r="H567" i="8"/>
  <c r="H568" i="8"/>
  <c r="H569" i="8"/>
  <c r="H570" i="8"/>
  <c r="H571" i="8"/>
  <c r="H572" i="8"/>
  <c r="H573" i="8"/>
  <c r="H574" i="8"/>
  <c r="H575" i="8"/>
  <c r="H576" i="8"/>
  <c r="H577" i="8"/>
  <c r="H578" i="8"/>
  <c r="H579" i="8"/>
  <c r="H580" i="8"/>
  <c r="H581" i="8"/>
  <c r="H582" i="8"/>
  <c r="H583" i="8"/>
  <c r="H584" i="8"/>
  <c r="H585" i="8"/>
  <c r="H586" i="8"/>
  <c r="H587" i="8"/>
  <c r="H588" i="8"/>
  <c r="H589" i="8"/>
  <c r="H590" i="8"/>
  <c r="H591" i="8"/>
  <c r="H592" i="8"/>
  <c r="H593" i="8"/>
  <c r="H594" i="8"/>
  <c r="H595" i="8"/>
  <c r="H596" i="8"/>
  <c r="H597" i="8"/>
  <c r="H598" i="8"/>
  <c r="H599" i="8"/>
  <c r="H600" i="8"/>
  <c r="H601" i="8"/>
  <c r="H602" i="8"/>
  <c r="H603" i="8"/>
  <c r="H604" i="8"/>
  <c r="H605" i="8"/>
  <c r="H606" i="8"/>
  <c r="H607" i="8"/>
  <c r="H608" i="8"/>
  <c r="H609" i="8"/>
  <c r="H610" i="8"/>
  <c r="H611" i="8"/>
  <c r="H612" i="8"/>
  <c r="H613" i="8"/>
  <c r="H614" i="8"/>
  <c r="H615" i="8"/>
  <c r="H616" i="8"/>
  <c r="H617" i="8"/>
  <c r="H618" i="8"/>
  <c r="H619" i="8"/>
  <c r="H620" i="8"/>
  <c r="H621" i="8"/>
  <c r="H622" i="8"/>
  <c r="H623" i="8"/>
  <c r="H624" i="8"/>
  <c r="H625" i="8"/>
  <c r="H626" i="8"/>
  <c r="H627" i="8"/>
  <c r="H628" i="8"/>
  <c r="H629" i="8"/>
  <c r="H630" i="8"/>
  <c r="H631" i="8"/>
  <c r="H632" i="8"/>
  <c r="H633" i="8"/>
  <c r="H634" i="8"/>
  <c r="H635" i="8"/>
  <c r="H636" i="8"/>
  <c r="H637" i="8"/>
  <c r="H638" i="8"/>
  <c r="H639" i="8"/>
  <c r="H640" i="8"/>
  <c r="H641" i="8"/>
  <c r="H642" i="8"/>
  <c r="H643" i="8"/>
  <c r="H644" i="8"/>
  <c r="H645" i="8"/>
  <c r="H646" i="8"/>
  <c r="H647" i="8"/>
  <c r="H648" i="8"/>
  <c r="H649" i="8"/>
  <c r="H650" i="8"/>
  <c r="H651" i="8"/>
  <c r="H652" i="8"/>
  <c r="H653" i="8"/>
  <c r="H654" i="8"/>
  <c r="H655" i="8"/>
  <c r="H656" i="8"/>
  <c r="H657" i="8"/>
  <c r="H658" i="8"/>
  <c r="H659" i="8"/>
  <c r="H660" i="8"/>
  <c r="H661" i="8"/>
  <c r="H662" i="8"/>
  <c r="H663" i="8"/>
  <c r="H664" i="8"/>
  <c r="H665" i="8"/>
  <c r="H666" i="8"/>
  <c r="H667" i="8"/>
  <c r="H668" i="8"/>
  <c r="H669" i="8"/>
  <c r="H670" i="8"/>
  <c r="H671" i="8"/>
  <c r="H672" i="8"/>
  <c r="H673" i="8"/>
  <c r="H674" i="8"/>
  <c r="H675" i="8"/>
  <c r="H676" i="8"/>
  <c r="H677" i="8"/>
  <c r="H678" i="8"/>
  <c r="H679" i="8"/>
  <c r="H680" i="8"/>
  <c r="H681" i="8"/>
  <c r="H682" i="8"/>
  <c r="H683" i="8"/>
  <c r="H684" i="8"/>
  <c r="H685" i="8"/>
  <c r="H686" i="8"/>
  <c r="H687" i="8"/>
  <c r="H688"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806" i="8"/>
  <c r="H807" i="8"/>
  <c r="H808" i="8"/>
  <c r="H809" i="8"/>
  <c r="H810" i="8"/>
  <c r="H811" i="8"/>
  <c r="H812" i="8"/>
  <c r="H813" i="8"/>
  <c r="H814" i="8"/>
  <c r="H815" i="8"/>
  <c r="H816" i="8"/>
  <c r="H817" i="8"/>
  <c r="H818" i="8"/>
  <c r="H819" i="8"/>
  <c r="H820" i="8"/>
  <c r="H821" i="8"/>
  <c r="H822" i="8"/>
  <c r="H823" i="8"/>
  <c r="H824" i="8"/>
  <c r="H825" i="8"/>
  <c r="H826" i="8"/>
  <c r="H827" i="8"/>
  <c r="H828" i="8"/>
  <c r="H829" i="8"/>
  <c r="H830" i="8"/>
  <c r="H831" i="8"/>
  <c r="H832" i="8"/>
  <c r="H833" i="8"/>
  <c r="H834" i="8"/>
  <c r="H835" i="8"/>
  <c r="H836" i="8"/>
  <c r="H837" i="8"/>
  <c r="H838" i="8"/>
  <c r="H839" i="8"/>
  <c r="H840" i="8"/>
  <c r="H841" i="8"/>
  <c r="H842" i="8"/>
  <c r="H843" i="8"/>
  <c r="H844" i="8"/>
  <c r="H845" i="8"/>
  <c r="H846" i="8"/>
  <c r="H847" i="8"/>
  <c r="H848" i="8"/>
  <c r="H849" i="8"/>
  <c r="H850" i="8"/>
  <c r="H851" i="8"/>
  <c r="H852" i="8"/>
  <c r="H853" i="8"/>
  <c r="H854" i="8"/>
  <c r="H855" i="8"/>
  <c r="H856" i="8"/>
  <c r="H857" i="8"/>
  <c r="H858" i="8"/>
  <c r="H859" i="8"/>
  <c r="H860" i="8"/>
  <c r="H861" i="8"/>
  <c r="H862" i="8"/>
  <c r="H863" i="8"/>
  <c r="H864" i="8"/>
  <c r="H865" i="8"/>
  <c r="H866" i="8"/>
  <c r="H867" i="8"/>
  <c r="H868" i="8"/>
  <c r="H869" i="8"/>
  <c r="H870" i="8"/>
  <c r="H871" i="8"/>
  <c r="H872" i="8"/>
  <c r="H873" i="8"/>
  <c r="H874" i="8"/>
  <c r="H875" i="8"/>
  <c r="H876" i="8"/>
  <c r="H877" i="8"/>
  <c r="H878" i="8"/>
  <c r="H879" i="8"/>
  <c r="H880" i="8"/>
  <c r="H881" i="8"/>
  <c r="H882" i="8"/>
  <c r="H883" i="8"/>
  <c r="H884" i="8"/>
  <c r="H885" i="8"/>
  <c r="H886" i="8"/>
  <c r="H887" i="8"/>
  <c r="H888" i="8"/>
  <c r="H889" i="8"/>
  <c r="H890" i="8"/>
  <c r="H891" i="8"/>
  <c r="H892" i="8"/>
  <c r="H893" i="8"/>
  <c r="H894" i="8"/>
  <c r="H895" i="8"/>
  <c r="H896" i="8"/>
  <c r="H897" i="8"/>
  <c r="H898" i="8"/>
  <c r="H899" i="8"/>
  <c r="H900" i="8"/>
  <c r="H901" i="8"/>
  <c r="H902" i="8"/>
  <c r="H903" i="8"/>
  <c r="H904" i="8"/>
  <c r="H905" i="8"/>
  <c r="H906" i="8"/>
  <c r="H907" i="8"/>
  <c r="H908" i="8"/>
  <c r="H909" i="8"/>
  <c r="H910" i="8"/>
  <c r="H911" i="8"/>
  <c r="H912" i="8"/>
  <c r="H913" i="8"/>
  <c r="H914" i="8"/>
  <c r="H915" i="8"/>
  <c r="H916" i="8"/>
  <c r="H917" i="8"/>
  <c r="H918" i="8"/>
  <c r="H919" i="8"/>
  <c r="H920" i="8"/>
  <c r="H921" i="8"/>
  <c r="H922" i="8"/>
  <c r="H923" i="8"/>
  <c r="H924" i="8"/>
  <c r="H925" i="8"/>
  <c r="H926" i="8"/>
  <c r="H927" i="8"/>
  <c r="H928" i="8"/>
  <c r="H929" i="8"/>
  <c r="H930" i="8"/>
  <c r="H931" i="8"/>
  <c r="H932" i="8"/>
  <c r="H933" i="8"/>
  <c r="H934" i="8"/>
  <c r="H935" i="8"/>
  <c r="H936" i="8"/>
  <c r="H937" i="8"/>
  <c r="H938" i="8"/>
  <c r="H939" i="8"/>
  <c r="H940" i="8"/>
  <c r="H941" i="8"/>
  <c r="H942" i="8"/>
  <c r="H943" i="8"/>
  <c r="H944" i="8"/>
  <c r="H945" i="8"/>
  <c r="H946" i="8"/>
  <c r="H947" i="8"/>
  <c r="H948" i="8"/>
  <c r="H949" i="8"/>
  <c r="H950" i="8"/>
  <c r="H951" i="8"/>
  <c r="H952" i="8"/>
  <c r="H953" i="8"/>
  <c r="H954" i="8"/>
  <c r="H955" i="8"/>
  <c r="H956" i="8"/>
  <c r="H957" i="8"/>
  <c r="H958" i="8"/>
  <c r="H959" i="8"/>
  <c r="H960" i="8"/>
  <c r="H961" i="8"/>
  <c r="H962" i="8"/>
  <c r="H963" i="8"/>
  <c r="H964" i="8"/>
  <c r="H965" i="8"/>
  <c r="H966" i="8"/>
  <c r="H967" i="8"/>
  <c r="H968" i="8"/>
  <c r="H969" i="8"/>
  <c r="H970" i="8"/>
  <c r="H971" i="8"/>
  <c r="H972" i="8"/>
  <c r="H973" i="8"/>
  <c r="H974" i="8"/>
  <c r="H975" i="8"/>
  <c r="H976" i="8"/>
  <c r="H977" i="8"/>
  <c r="H978" i="8"/>
  <c r="H979" i="8"/>
  <c r="H980" i="8"/>
  <c r="H981" i="8"/>
  <c r="H982" i="8"/>
  <c r="H983" i="8"/>
  <c r="H984" i="8"/>
  <c r="H985" i="8"/>
  <c r="H986" i="8"/>
  <c r="H987" i="8"/>
  <c r="H988" i="8"/>
  <c r="H989" i="8"/>
  <c r="H990" i="8"/>
  <c r="H991" i="8"/>
  <c r="H992" i="8"/>
  <c r="H993" i="8"/>
  <c r="H994" i="8"/>
  <c r="H995" i="8"/>
  <c r="H996" i="8"/>
  <c r="H997" i="8"/>
  <c r="H998" i="8"/>
  <c r="H999" i="8"/>
  <c r="H1000" i="8"/>
  <c r="H1001" i="8"/>
  <c r="H1002" i="8"/>
  <c r="H1003" i="8"/>
  <c r="H1004" i="8"/>
  <c r="H1005" i="8"/>
  <c r="H1006" i="8"/>
  <c r="H1007" i="8"/>
  <c r="H1008" i="8"/>
  <c r="H1009" i="8"/>
  <c r="H1010" i="8"/>
  <c r="H1011" i="8"/>
  <c r="H1012" i="8"/>
  <c r="H1013" i="8"/>
  <c r="H1014" i="8"/>
  <c r="H1015" i="8"/>
  <c r="H1016" i="8"/>
  <c r="H1017" i="8"/>
  <c r="H1018" i="8"/>
  <c r="H1019" i="8"/>
  <c r="H1020" i="8"/>
  <c r="H1021" i="8"/>
  <c r="H1022" i="8"/>
  <c r="H1023" i="8"/>
  <c r="H1024" i="8"/>
  <c r="H1025" i="8"/>
  <c r="H1026" i="8"/>
  <c r="H1027" i="8"/>
  <c r="H1028" i="8"/>
  <c r="H1029" i="8"/>
  <c r="H1030" i="8"/>
  <c r="H1031" i="8"/>
  <c r="H1032" i="8"/>
  <c r="H1033" i="8"/>
  <c r="H1034" i="8"/>
  <c r="H1035" i="8"/>
  <c r="H1036" i="8"/>
  <c r="H1037" i="8"/>
  <c r="H1038" i="8"/>
  <c r="H1039" i="8"/>
  <c r="H1040" i="8"/>
  <c r="H1041" i="8"/>
  <c r="H1042" i="8"/>
  <c r="H1043" i="8"/>
  <c r="H1044" i="8"/>
  <c r="H1045" i="8"/>
  <c r="H1046" i="8"/>
  <c r="H1047" i="8"/>
  <c r="H1048" i="8"/>
  <c r="H1049" i="8"/>
  <c r="H1050" i="8"/>
  <c r="H1051" i="8"/>
  <c r="H1052" i="8"/>
  <c r="H1053" i="8"/>
  <c r="H1054" i="8"/>
  <c r="H1055" i="8"/>
  <c r="H1056" i="8"/>
  <c r="H1057" i="8"/>
  <c r="H1058" i="8"/>
  <c r="H1059" i="8"/>
  <c r="H1060" i="8"/>
  <c r="H1061" i="8"/>
  <c r="H1062" i="8"/>
  <c r="H1063" i="8"/>
  <c r="H1064" i="8"/>
  <c r="H1065" i="8"/>
  <c r="H1066" i="8"/>
  <c r="H1067" i="8"/>
  <c r="H1068" i="8"/>
  <c r="H1069" i="8"/>
  <c r="H1070" i="8"/>
  <c r="H1071" i="8"/>
  <c r="H1072" i="8"/>
  <c r="H1073" i="8"/>
  <c r="H1074" i="8"/>
  <c r="H1075" i="8"/>
  <c r="H1076" i="8"/>
  <c r="H1077" i="8"/>
  <c r="H1078" i="8"/>
  <c r="H1079" i="8"/>
  <c r="H1080" i="8"/>
  <c r="H1081" i="8"/>
  <c r="H1082" i="8"/>
  <c r="H1083" i="8"/>
  <c r="H1084" i="8"/>
  <c r="H1085" i="8"/>
  <c r="H1086" i="8"/>
  <c r="H1087" i="8"/>
  <c r="H1088" i="8"/>
  <c r="H1089" i="8"/>
  <c r="H1090" i="8"/>
  <c r="H1091" i="8"/>
  <c r="H1092" i="8"/>
  <c r="H1093" i="8"/>
  <c r="H1094" i="8"/>
  <c r="H1095" i="8"/>
  <c r="H1096" i="8"/>
  <c r="H1097" i="8"/>
  <c r="H1098" i="8"/>
  <c r="H1099" i="8"/>
  <c r="H1100" i="8"/>
  <c r="H1101" i="8"/>
  <c r="H1102" i="8"/>
  <c r="H1103" i="8"/>
  <c r="H1104" i="8"/>
  <c r="H1105" i="8"/>
  <c r="H1106" i="8"/>
  <c r="H1107" i="8"/>
  <c r="H1108" i="8"/>
  <c r="H1109" i="8"/>
  <c r="H1110" i="8"/>
  <c r="H1111" i="8"/>
  <c r="H1112" i="8"/>
  <c r="H1113" i="8"/>
  <c r="H1114" i="8"/>
  <c r="H1115" i="8"/>
  <c r="H1116" i="8"/>
  <c r="H1117" i="8"/>
  <c r="H1118" i="8"/>
  <c r="H1119" i="8"/>
  <c r="H1120" i="8"/>
  <c r="H1121" i="8"/>
  <c r="H1122" i="8"/>
  <c r="H1123" i="8"/>
  <c r="H1124" i="8"/>
  <c r="H1125" i="8"/>
  <c r="H1126" i="8"/>
  <c r="H1127" i="8"/>
  <c r="H1128" i="8"/>
  <c r="H1129" i="8"/>
  <c r="H1130" i="8"/>
  <c r="H1131" i="8"/>
  <c r="H1132" i="8"/>
  <c r="H1133" i="8"/>
  <c r="H1134" i="8"/>
  <c r="H1135" i="8"/>
  <c r="H1136" i="8"/>
  <c r="G152" i="8" a="1"/>
  <c r="G152" i="8" s="1"/>
  <c r="G153" i="8" a="1"/>
  <c r="G153" i="8" s="1"/>
  <c r="G154" i="8" a="1"/>
  <c r="G154" i="8" s="1"/>
  <c r="G155" i="8" a="1"/>
  <c r="G155" i="8" s="1"/>
  <c r="G156" i="8" a="1"/>
  <c r="G156" i="8" s="1"/>
  <c r="G157" i="8" a="1"/>
  <c r="G157" i="8" s="1"/>
  <c r="G158" i="8" a="1"/>
  <c r="G158" i="8" s="1"/>
  <c r="G159" i="8" a="1"/>
  <c r="G159" i="8" s="1"/>
  <c r="G160" i="8" a="1"/>
  <c r="G160" i="8" s="1"/>
  <c r="G161" i="8" a="1"/>
  <c r="G161" i="8" s="1"/>
  <c r="H152" i="8"/>
  <c r="G163" i="8" a="1"/>
  <c r="G163" i="8" s="1"/>
  <c r="G164" i="8" a="1"/>
  <c r="G164" i="8" s="1"/>
  <c r="G165" i="8" a="1"/>
  <c r="G165" i="8" s="1"/>
  <c r="G166" i="8" a="1"/>
  <c r="G166" i="8" s="1"/>
  <c r="G167" i="8" a="1"/>
  <c r="G167" i="8" s="1"/>
  <c r="G168" i="8" a="1"/>
  <c r="G168" i="8" s="1"/>
  <c r="G169" i="8" a="1"/>
  <c r="G169" i="8" s="1"/>
  <c r="G170" i="8" a="1"/>
  <c r="G170" i="8" s="1"/>
  <c r="G171" i="8" a="1"/>
  <c r="G171" i="8" s="1"/>
  <c r="G172" i="8" a="1"/>
  <c r="G172" i="8" s="1"/>
  <c r="G173" i="8" a="1"/>
  <c r="G173" i="8" s="1"/>
  <c r="G174" i="8" a="1"/>
  <c r="G174" i="8" s="1"/>
  <c r="G175" i="8" a="1"/>
  <c r="G175" i="8" s="1"/>
  <c r="G176" i="8" a="1"/>
  <c r="G176" i="8" s="1"/>
  <c r="G177" i="8" a="1"/>
  <c r="G177" i="8" s="1"/>
  <c r="G178" i="8" a="1"/>
  <c r="G178" i="8" s="1"/>
  <c r="G179" i="8" a="1"/>
  <c r="G179" i="8" s="1"/>
  <c r="G180" i="8" a="1"/>
  <c r="G180" i="8" s="1"/>
  <c r="G181" i="8" a="1"/>
  <c r="G181" i="8" s="1"/>
  <c r="G182" i="8" a="1"/>
  <c r="G182" i="8" s="1"/>
  <c r="G307" i="8" a="1"/>
  <c r="G307" i="8" s="1"/>
  <c r="G308" i="8" a="1"/>
  <c r="G308" i="8" s="1"/>
  <c r="G309" i="8" a="1"/>
  <c r="G309" i="8" s="1"/>
  <c r="G310" i="8" a="1"/>
  <c r="G310" i="8" s="1"/>
  <c r="G311" i="8" a="1"/>
  <c r="G311" i="8" s="1"/>
  <c r="G312" i="8" a="1"/>
  <c r="G312" i="8" s="1"/>
  <c r="G313" i="8" a="1"/>
  <c r="G313" i="8" s="1"/>
  <c r="G314" i="8" a="1"/>
  <c r="G314" i="8" s="1"/>
  <c r="G315" i="8" a="1"/>
  <c r="G315" i="8" s="1"/>
  <c r="G316" i="8" a="1"/>
  <c r="G316" i="8" s="1"/>
  <c r="G317" i="8" a="1"/>
  <c r="G317" i="8" s="1"/>
  <c r="G318" i="8" a="1"/>
  <c r="G318" i="8" s="1"/>
  <c r="G319" i="8" a="1"/>
  <c r="G319" i="8" s="1"/>
  <c r="G320" i="8" a="1"/>
  <c r="G320" i="8" s="1"/>
  <c r="G321" i="8" a="1"/>
  <c r="G321" i="8" s="1"/>
  <c r="G322" i="8" a="1"/>
  <c r="G322" i="8" s="1"/>
  <c r="G323" i="8" a="1"/>
  <c r="G323" i="8" s="1"/>
  <c r="G324" i="8" a="1"/>
  <c r="G324" i="8" s="1"/>
  <c r="G325" i="8" a="1"/>
  <c r="G325" i="8" s="1"/>
  <c r="G326" i="8" a="1"/>
  <c r="G326" i="8" s="1"/>
  <c r="G327" i="8" a="1"/>
  <c r="G327" i="8" s="1"/>
  <c r="G328" i="8" a="1"/>
  <c r="G328" i="8" s="1"/>
  <c r="G329" i="8" a="1"/>
  <c r="G329" i="8" s="1"/>
  <c r="G330" i="8" a="1"/>
  <c r="G330" i="8" s="1"/>
  <c r="G331" i="8" a="1"/>
  <c r="G331" i="8" s="1"/>
  <c r="G332" i="8" a="1"/>
  <c r="G332" i="8" s="1"/>
  <c r="G333" i="8" a="1"/>
  <c r="G333" i="8" s="1"/>
  <c r="G334" i="8" a="1"/>
  <c r="G334" i="8" s="1"/>
  <c r="G335" i="8" a="1"/>
  <c r="G335" i="8" s="1"/>
  <c r="G336" i="8" a="1"/>
  <c r="G336" i="8" s="1"/>
  <c r="G337" i="8" a="1"/>
  <c r="G337" i="8" s="1"/>
  <c r="G338" i="8" a="1"/>
  <c r="G338" i="8" s="1"/>
  <c r="G339" i="8" a="1"/>
  <c r="G339" i="8" s="1"/>
  <c r="G340" i="8" a="1"/>
  <c r="G340" i="8" s="1"/>
  <c r="G341" i="8" a="1"/>
  <c r="G341" i="8" s="1"/>
  <c r="G342" i="8" a="1"/>
  <c r="G342" i="8" s="1"/>
  <c r="G343" i="8" a="1"/>
  <c r="G343" i="8" s="1"/>
  <c r="G344" i="8" a="1"/>
  <c r="G344" i="8" s="1"/>
  <c r="G345" i="8" a="1"/>
  <c r="G345" i="8" s="1"/>
  <c r="G346" i="8" a="1"/>
  <c r="G346" i="8" s="1"/>
  <c r="G347" i="8" a="1"/>
  <c r="G347" i="8" s="1"/>
  <c r="G348" i="8" a="1"/>
  <c r="G348" i="8" s="1"/>
  <c r="G349" i="8" a="1"/>
  <c r="G349" i="8" s="1"/>
  <c r="G350" i="8" a="1"/>
  <c r="G350" i="8" s="1"/>
  <c r="G351" i="8" a="1"/>
  <c r="G351" i="8" s="1"/>
  <c r="G352" i="8" a="1"/>
  <c r="G352" i="8" s="1"/>
  <c r="G353" i="8" a="1"/>
  <c r="G353" i="8" s="1"/>
  <c r="G354" i="8" a="1"/>
  <c r="G354" i="8" s="1"/>
  <c r="G355" i="8" a="1"/>
  <c r="G355" i="8" s="1"/>
  <c r="G356" i="8" a="1"/>
  <c r="G356" i="8" s="1"/>
  <c r="G357" i="8" a="1"/>
  <c r="G357" i="8" s="1"/>
  <c r="G358" i="8" a="1"/>
  <c r="G358" i="8" s="1"/>
  <c r="G359" i="8" a="1"/>
  <c r="G359" i="8" s="1"/>
  <c r="G360" i="8" a="1"/>
  <c r="G360" i="8" s="1"/>
  <c r="G361" i="8" a="1"/>
  <c r="G361" i="8" s="1"/>
  <c r="G362" i="8" a="1"/>
  <c r="G362" i="8" s="1"/>
  <c r="G363" i="8" a="1"/>
  <c r="G363" i="8" s="1"/>
  <c r="G364" i="8" a="1"/>
  <c r="G364" i="8" s="1"/>
  <c r="G365" i="8" a="1"/>
  <c r="G365" i="8" s="1"/>
  <c r="G366" i="8" a="1"/>
  <c r="G366" i="8" s="1"/>
  <c r="G367" i="8" a="1"/>
  <c r="G367" i="8" s="1"/>
  <c r="G368" i="8" a="1"/>
  <c r="G368" i="8" s="1"/>
  <c r="G369" i="8" a="1"/>
  <c r="G369" i="8" s="1"/>
  <c r="G370" i="8" a="1"/>
  <c r="G370" i="8" s="1"/>
  <c r="G371" i="8" a="1"/>
  <c r="G371" i="8" s="1"/>
  <c r="G372" i="8" a="1"/>
  <c r="G372" i="8" s="1"/>
  <c r="G373" i="8" a="1"/>
  <c r="G373" i="8" s="1"/>
  <c r="G374" i="8" a="1"/>
  <c r="G374" i="8" s="1"/>
  <c r="G375" i="8" a="1"/>
  <c r="G375" i="8" s="1"/>
  <c r="G376" i="8" a="1"/>
  <c r="G376" i="8" s="1"/>
  <c r="G377" i="8" a="1"/>
  <c r="G377" i="8" s="1"/>
  <c r="G378" i="8" a="1"/>
  <c r="G378" i="8" s="1"/>
  <c r="G379" i="8" a="1"/>
  <c r="G379" i="8" s="1"/>
  <c r="G380" i="8" a="1"/>
  <c r="G380" i="8" s="1"/>
  <c r="G381" i="8" a="1"/>
  <c r="G381" i="8" s="1"/>
  <c r="G382" i="8" a="1"/>
  <c r="G382" i="8" s="1"/>
  <c r="G956" i="8" a="1"/>
  <c r="G956" i="8" s="1"/>
  <c r="G957" i="8" a="1"/>
  <c r="G957" i="8" s="1"/>
  <c r="G958" i="8" a="1"/>
  <c r="G958" i="8" s="1"/>
  <c r="G959" i="8" a="1"/>
  <c r="G959" i="8" s="1"/>
  <c r="G960" i="8" a="1"/>
  <c r="G960" i="8" s="1"/>
  <c r="G961" i="8" a="1"/>
  <c r="G961" i="8" s="1"/>
  <c r="G962" i="8" a="1"/>
  <c r="G962" i="8" s="1"/>
  <c r="G963" i="8" a="1"/>
  <c r="G963" i="8" s="1"/>
  <c r="G964" i="8" a="1"/>
  <c r="G964" i="8" s="1"/>
  <c r="G965" i="8" a="1"/>
  <c r="G965" i="8" s="1"/>
  <c r="G966" i="8" a="1"/>
  <c r="G966" i="8" s="1"/>
  <c r="G967" i="8" a="1"/>
  <c r="G967" i="8" s="1"/>
  <c r="G968" i="8" a="1"/>
  <c r="G968" i="8" s="1"/>
  <c r="G969" i="8" a="1"/>
  <c r="G969" i="8" s="1"/>
  <c r="G970" i="8" a="1"/>
  <c r="G970" i="8" s="1"/>
  <c r="G971" i="8" a="1"/>
  <c r="G971" i="8" s="1"/>
  <c r="G972" i="8" a="1"/>
  <c r="G972" i="8" s="1"/>
  <c r="G973" i="8" a="1"/>
  <c r="G973" i="8" s="1"/>
  <c r="G974" i="8" a="1"/>
  <c r="G974" i="8" s="1"/>
  <c r="G975" i="8" a="1"/>
  <c r="G975" i="8" s="1"/>
  <c r="G976" i="8" a="1"/>
  <c r="G976" i="8" s="1"/>
  <c r="G977" i="8" a="1"/>
  <c r="G977" i="8" s="1"/>
  <c r="G978" i="8" a="1"/>
  <c r="G978" i="8" s="1"/>
  <c r="G979" i="8" a="1"/>
  <c r="G979" i="8" s="1"/>
  <c r="G980" i="8" a="1"/>
  <c r="G980" i="8" s="1"/>
  <c r="G981" i="8" a="1"/>
  <c r="G981" i="8" s="1"/>
  <c r="G982" i="8" a="1"/>
  <c r="G982" i="8" s="1"/>
  <c r="G983" i="8" a="1"/>
  <c r="G983" i="8" s="1"/>
  <c r="G984" i="8" a="1"/>
  <c r="G984" i="8" s="1"/>
  <c r="G985" i="8" a="1"/>
  <c r="G985" i="8" s="1"/>
  <c r="G986" i="8" a="1"/>
  <c r="G986" i="8" s="1"/>
  <c r="G987" i="8" a="1"/>
  <c r="G987" i="8" s="1"/>
  <c r="G988" i="8" a="1"/>
  <c r="G988" i="8" s="1"/>
  <c r="G989" i="8" a="1"/>
  <c r="G989" i="8" s="1"/>
  <c r="G990" i="8" a="1"/>
  <c r="G990" i="8" s="1"/>
  <c r="G991" i="8" a="1"/>
  <c r="G991" i="8" s="1"/>
  <c r="G992" i="8" a="1"/>
  <c r="G992" i="8" s="1"/>
  <c r="G993" i="8" a="1"/>
  <c r="G993" i="8" s="1"/>
  <c r="G994" i="8" a="1"/>
  <c r="G994" i="8" s="1"/>
  <c r="G995" i="8" a="1"/>
  <c r="G995" i="8" s="1"/>
  <c r="G996" i="8" a="1"/>
  <c r="G996" i="8" s="1"/>
  <c r="G997" i="8" a="1"/>
  <c r="G997" i="8" s="1"/>
  <c r="G998" i="8" a="1"/>
  <c r="G998" i="8" s="1"/>
  <c r="G999" i="8" a="1"/>
  <c r="G999" i="8" s="1"/>
  <c r="G1000" i="8" a="1"/>
  <c r="G1000" i="8" s="1"/>
  <c r="G1001" i="8" a="1"/>
  <c r="G1001" i="8" s="1"/>
  <c r="G1002" i="8" a="1"/>
  <c r="G1002" i="8" s="1"/>
  <c r="G1003" i="8" a="1"/>
  <c r="G1003" i="8" s="1"/>
  <c r="G1004" i="8" a="1"/>
  <c r="G1004" i="8" s="1"/>
  <c r="G1005" i="8" a="1"/>
  <c r="G1005" i="8" s="1"/>
  <c r="G1006" i="8" a="1"/>
  <c r="G1006" i="8" s="1"/>
  <c r="G1007" i="8" a="1"/>
  <c r="G1007" i="8" s="1"/>
  <c r="G1008" i="8" a="1"/>
  <c r="G1008" i="8" s="1"/>
  <c r="G1009" i="8" a="1"/>
  <c r="G1009" i="8" s="1"/>
  <c r="G1010" i="8" a="1"/>
  <c r="G1010" i="8" s="1"/>
  <c r="H153" i="8"/>
  <c r="H154" i="8"/>
  <c r="H155" i="8"/>
  <c r="H156" i="8"/>
  <c r="H157" i="8"/>
  <c r="H158" i="8"/>
  <c r="H159" i="8"/>
  <c r="H160" i="8"/>
  <c r="H161" i="8"/>
  <c r="H162" i="8"/>
  <c r="H163" i="8"/>
  <c r="H164" i="8"/>
  <c r="H165" i="8"/>
  <c r="H166" i="8"/>
  <c r="G162" i="8" a="1"/>
  <c r="G162" i="8" s="1"/>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B1031" i="8"/>
  <c r="R1001" i="3"/>
  <c r="B12" i="4" s="1"/>
  <c r="J9" i="4"/>
  <c r="L23" i="4"/>
  <c r="B16" i="4"/>
  <c r="Q3" i="4"/>
  <c r="D26" i="4"/>
  <c r="B7" i="4"/>
  <c r="G151" i="8" l="1" a="1"/>
  <c r="G151" i="8" s="1"/>
  <c r="F151" i="8"/>
  <c r="E151" i="8"/>
  <c r="D151" i="8"/>
  <c r="C151" i="8"/>
  <c r="B151" i="8"/>
  <c r="H151" i="8"/>
  <c r="J5" i="8" l="1" a="1"/>
  <c r="A5" i="8" a="1"/>
  <c r="A5" i="8" s="1"/>
  <c r="P5" i="8" l="1"/>
  <c r="P19" i="8"/>
  <c r="P18" i="8"/>
  <c r="P17" i="8"/>
  <c r="P16" i="8"/>
  <c r="P15" i="8"/>
  <c r="P14" i="8"/>
  <c r="P13" i="8"/>
  <c r="P12" i="8"/>
  <c r="P11" i="8"/>
  <c r="P10" i="8"/>
  <c r="P9" i="8"/>
  <c r="P8" i="8"/>
  <c r="P7" i="8"/>
  <c r="P6" i="8"/>
  <c r="J5"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<sst xmlns="http://schemas.openxmlformats.org/spreadsheetml/2006/main" count="10389" uniqueCount="2665">
  <si>
    <t>Order_ID</t>
  </si>
  <si>
    <t>Date</t>
  </si>
  <si>
    <t>Month</t>
  </si>
  <si>
    <t>Category</t>
  </si>
  <si>
    <t>Sub_Category</t>
  </si>
  <si>
    <t>Product_Name</t>
  </si>
  <si>
    <t>City</t>
  </si>
  <si>
    <t>Region</t>
  </si>
  <si>
    <t>Units_Sold</t>
  </si>
  <si>
    <t>MRP</t>
  </si>
  <si>
    <t>Selling_Price</t>
  </si>
  <si>
    <t>Discount_Pct</t>
  </si>
  <si>
    <t>Cost_Price</t>
  </si>
  <si>
    <t>Gross_Profit</t>
  </si>
  <si>
    <t>Gross_Margin_Pct</t>
  </si>
  <si>
    <t>Shipping_Cost</t>
  </si>
  <si>
    <t>Net_Profit</t>
  </si>
  <si>
    <t>Net_Margin_Pct</t>
  </si>
  <si>
    <t>Payment_Method</t>
  </si>
  <si>
    <t>Order_Status</t>
  </si>
  <si>
    <t>Return_Flag</t>
  </si>
  <si>
    <t>COD_Flag</t>
  </si>
  <si>
    <t>Return_Risk_Score</t>
  </si>
  <si>
    <t>ORD-10001</t>
  </si>
  <si>
    <t>04-Nov-2024</t>
  </si>
  <si>
    <t>Nov</t>
  </si>
  <si>
    <t>Electronics</t>
  </si>
  <si>
    <t>Headphones</t>
  </si>
  <si>
    <t>Headphones - Model 350</t>
  </si>
  <si>
    <t>Hyderabad</t>
  </si>
  <si>
    <t>South</t>
  </si>
  <si>
    <t>Credit Card</t>
  </si>
  <si>
    <t>Delivered</t>
  </si>
  <si>
    <t>ORD-10002</t>
  </si>
  <si>
    <t>17-Apr-2024</t>
  </si>
  <si>
    <t>Apr</t>
  </si>
  <si>
    <t>Tablet</t>
  </si>
  <si>
    <t>Tablet - Model 303</t>
  </si>
  <si>
    <t>Jaipur</t>
  </si>
  <si>
    <t>North</t>
  </si>
  <si>
    <t>COD</t>
  </si>
  <si>
    <t>ORD-10003</t>
  </si>
  <si>
    <t>07-Mar-2024</t>
  </si>
  <si>
    <t>Mar</t>
  </si>
  <si>
    <t>Books</t>
  </si>
  <si>
    <t>Fiction</t>
  </si>
  <si>
    <t>Fiction - Model 194</t>
  </si>
  <si>
    <t>Pune</t>
  </si>
  <si>
    <t>West</t>
  </si>
  <si>
    <t>Pending</t>
  </si>
  <si>
    <t>ORD-10004</t>
  </si>
  <si>
    <t>03-Jul-2024</t>
  </si>
  <si>
    <t>Jul</t>
  </si>
  <si>
    <t>Sports</t>
  </si>
  <si>
    <t>Cycle</t>
  </si>
  <si>
    <t>Cycle - Model 982</t>
  </si>
  <si>
    <t>Kolkata</t>
  </si>
  <si>
    <t>East</t>
  </si>
  <si>
    <t>Prepaid</t>
  </si>
  <si>
    <t>Cancelled</t>
  </si>
  <si>
    <t>ORD-10005</t>
  </si>
  <si>
    <t>09-Jul-2024</t>
  </si>
  <si>
    <t>Grocery</t>
  </si>
  <si>
    <t>Rice</t>
  </si>
  <si>
    <t>Rice - Model 266</t>
  </si>
  <si>
    <t>Debit Card</t>
  </si>
  <si>
    <t>ORD-10006</t>
  </si>
  <si>
    <t>06-Apr-2024</t>
  </si>
  <si>
    <t>Pulses</t>
  </si>
  <si>
    <t>Pulses - Model 376</t>
  </si>
  <si>
    <t>ORD-10007</t>
  </si>
  <si>
    <t>07-Feb-2024</t>
  </si>
  <si>
    <t>Feb</t>
  </si>
  <si>
    <t>Self-Help</t>
  </si>
  <si>
    <t>Self-Help - Model 771</t>
  </si>
  <si>
    <t>Ahmedabad</t>
  </si>
  <si>
    <t>ORD-10008</t>
  </si>
  <si>
    <t>19-Jul-2024</t>
  </si>
  <si>
    <t>Toys</t>
  </si>
  <si>
    <t>Puzzle</t>
  </si>
  <si>
    <t>Puzzle - Model 324</t>
  </si>
  <si>
    <t>Bangalore</t>
  </si>
  <si>
    <t>ORD-10009</t>
  </si>
  <si>
    <t>13-Feb-2024</t>
  </si>
  <si>
    <t>Doll</t>
  </si>
  <si>
    <t>Doll - Model 579</t>
  </si>
  <si>
    <t>Returned</t>
  </si>
  <si>
    <t>ORD-10010</t>
  </si>
  <si>
    <t>04-Jun-2024</t>
  </si>
  <si>
    <t>Jun</t>
  </si>
  <si>
    <t>Dumbbells</t>
  </si>
  <si>
    <t>Dumbbells - Model 261</t>
  </si>
  <si>
    <t>ORD-10011</t>
  </si>
  <si>
    <t>10-Nov-2024</t>
  </si>
  <si>
    <t>Beauty</t>
  </si>
  <si>
    <t>Serum</t>
  </si>
  <si>
    <t>Serum - Model 482</t>
  </si>
  <si>
    <t>ORD-10012</t>
  </si>
  <si>
    <t>08-May-2024</t>
  </si>
  <si>
    <t>May</t>
  </si>
  <si>
    <t>Laptop</t>
  </si>
  <si>
    <t>Laptop - Model 999</t>
  </si>
  <si>
    <t>Lucknow</t>
  </si>
  <si>
    <t>ORD-10013</t>
  </si>
  <si>
    <t>06-Sep-2024</t>
  </si>
  <si>
    <t>Sep</t>
  </si>
  <si>
    <t>Cycle - Model 993</t>
  </si>
  <si>
    <t>UPI</t>
  </si>
  <si>
    <t>ORD-10014</t>
  </si>
  <si>
    <t>15-Jun-2024</t>
  </si>
  <si>
    <t>Atta</t>
  </si>
  <si>
    <t>Atta - Model 353</t>
  </si>
  <si>
    <t>ORD-10015</t>
  </si>
  <si>
    <t>02-Feb-2024</t>
  </si>
  <si>
    <t>Fiction - Model 626</t>
  </si>
  <si>
    <t>ORD-10016</t>
  </si>
  <si>
    <t>26-Aug-2024</t>
  </si>
  <si>
    <t>Aug</t>
  </si>
  <si>
    <t>Board Game</t>
  </si>
  <si>
    <t>Board Game - Model 196</t>
  </si>
  <si>
    <t>Delhi</t>
  </si>
  <si>
    <t>ORD-10017</t>
  </si>
  <si>
    <t>08-Feb-2024</t>
  </si>
  <si>
    <t>Serum - Model 649</t>
  </si>
  <si>
    <t>ORD-10018</t>
  </si>
  <si>
    <t>Mobile</t>
  </si>
  <si>
    <t>Mobile - Model 871</t>
  </si>
  <si>
    <t>ORD-10019</t>
  </si>
  <si>
    <t>26-May-2024</t>
  </si>
  <si>
    <t>Rice - Model 533</t>
  </si>
  <si>
    <t>ORD-10020</t>
  </si>
  <si>
    <t>19-Jan-2024</t>
  </si>
  <si>
    <t>Jan</t>
  </si>
  <si>
    <t>Spices</t>
  </si>
  <si>
    <t>Spices - Model 973</t>
  </si>
  <si>
    <t>ORD-10021</t>
  </si>
  <si>
    <t>19-Feb-2024</t>
  </si>
  <si>
    <t>Sunscreen</t>
  </si>
  <si>
    <t>Sunscreen - Model 708</t>
  </si>
  <si>
    <t>Mumbai</t>
  </si>
  <si>
    <t>ORD-10022</t>
  </si>
  <si>
    <t>09-Apr-2024</t>
  </si>
  <si>
    <t>Board Game - Model 787</t>
  </si>
  <si>
    <t>Chennai</t>
  </si>
  <si>
    <t>ORD-10023</t>
  </si>
  <si>
    <t>Cricket Bat</t>
  </si>
  <si>
    <t>Cricket Bat - Model 457</t>
  </si>
  <si>
    <t>ORD-10024</t>
  </si>
  <si>
    <t>01-Sep-2024</t>
  </si>
  <si>
    <t>Shoes</t>
  </si>
  <si>
    <t>Shoes - Model 999</t>
  </si>
  <si>
    <t>ORD-10025</t>
  </si>
  <si>
    <t>21-Nov-2024</t>
  </si>
  <si>
    <t>Cycle - Model 600</t>
  </si>
  <si>
    <t>ORD-10026</t>
  </si>
  <si>
    <t>15-Dec-2024</t>
  </si>
  <si>
    <t>Dec</t>
  </si>
  <si>
    <t>Doll - Model 109</t>
  </si>
  <si>
    <t>ORD-10027</t>
  </si>
  <si>
    <t>02-Mar-2024</t>
  </si>
  <si>
    <t>Yoga Mat</t>
  </si>
  <si>
    <t>Yoga Mat - Model 915</t>
  </si>
  <si>
    <t>ORD-10028</t>
  </si>
  <si>
    <t>28-Apr-2024</t>
  </si>
  <si>
    <t>Home &amp; Kitchen</t>
  </si>
  <si>
    <t>Pressure Cooker</t>
  </si>
  <si>
    <t>Pressure Cooker - Model 522</t>
  </si>
  <si>
    <t>ORD-10029</t>
  </si>
  <si>
    <t>Smartwatch</t>
  </si>
  <si>
    <t>Smartwatch - Model 327</t>
  </si>
  <si>
    <t>ORD-10030</t>
  </si>
  <si>
    <t>25-Feb-2024</t>
  </si>
  <si>
    <t>Yoga Mat - Model 756</t>
  </si>
  <si>
    <t>ORD-10031</t>
  </si>
  <si>
    <t>02-May-2024</t>
  </si>
  <si>
    <t>Fashion</t>
  </si>
  <si>
    <t>Jacket</t>
  </si>
  <si>
    <t>Jacket - Model 544</t>
  </si>
  <si>
    <t>ORD-10032</t>
  </si>
  <si>
    <t>17-Jan-2024</t>
  </si>
  <si>
    <t>Lipstick</t>
  </si>
  <si>
    <t>Lipstick - Model 541</t>
  </si>
  <si>
    <t>ORD-10033</t>
  </si>
  <si>
    <t>23-Jul-2024</t>
  </si>
  <si>
    <t>Cycle - Model 230</t>
  </si>
  <si>
    <t>ORD-10034</t>
  </si>
  <si>
    <t>10-Jan-2024</t>
  </si>
  <si>
    <t>Cricket Bat - Model 540</t>
  </si>
  <si>
    <t>ORD-10035</t>
  </si>
  <si>
    <t>06-Dec-2024</t>
  </si>
  <si>
    <t>Saree</t>
  </si>
  <si>
    <t>Saree - Model 627</t>
  </si>
  <si>
    <t>ORD-10036</t>
  </si>
  <si>
    <t>20-Aug-2024</t>
  </si>
  <si>
    <t>Shoes - Model 524</t>
  </si>
  <si>
    <t>ORD-10037</t>
  </si>
  <si>
    <t>Board Game - Model 280</t>
  </si>
  <si>
    <t>ORD-10038</t>
  </si>
  <si>
    <t>11-Oct-2024</t>
  </si>
  <si>
    <t>Oct</t>
  </si>
  <si>
    <t>Spices - Model 934</t>
  </si>
  <si>
    <t>ORD-10039</t>
  </si>
  <si>
    <t>09-Nov-2024</t>
  </si>
  <si>
    <t>Oil</t>
  </si>
  <si>
    <t>Oil - Model 381</t>
  </si>
  <si>
    <t>ORD-10040</t>
  </si>
  <si>
    <t>05-Dec-2024</t>
  </si>
  <si>
    <t>Moisturizer</t>
  </si>
  <si>
    <t>Moisturizer - Model 524</t>
  </si>
  <si>
    <t>ORD-10041</t>
  </si>
  <si>
    <t>13-Oct-2024</t>
  </si>
  <si>
    <t>Atta - Model 460</t>
  </si>
  <si>
    <t>ORD-10042</t>
  </si>
  <si>
    <t>08-Aug-2024</t>
  </si>
  <si>
    <t>Dumbbells - Model 597</t>
  </si>
  <si>
    <t>ORD-10043</t>
  </si>
  <si>
    <t>Doll - Model 677</t>
  </si>
  <si>
    <t>ORD-10044</t>
  </si>
  <si>
    <t>25-Jun-2024</t>
  </si>
  <si>
    <t>Puzzle - Model 870</t>
  </si>
  <si>
    <t>ORD-10045</t>
  </si>
  <si>
    <t>02-Nov-2024</t>
  </si>
  <si>
    <t>Laptop - Model 304</t>
  </si>
  <si>
    <t>ORD-10046</t>
  </si>
  <si>
    <t>06-Jun-2024</t>
  </si>
  <si>
    <t>Jeans</t>
  </si>
  <si>
    <t>Jeans - Model 418</t>
  </si>
  <si>
    <t>ORD-10047</t>
  </si>
  <si>
    <t>23-Oct-2024</t>
  </si>
  <si>
    <t>Moisturizer - Model 813</t>
  </si>
  <si>
    <t>ORD-10048</t>
  </si>
  <si>
    <t>21-Sep-2024</t>
  </si>
  <si>
    <t>Fiction - Model 969</t>
  </si>
  <si>
    <t>ORD-10049</t>
  </si>
  <si>
    <t>Pulses - Model 546</t>
  </si>
  <si>
    <t>ORD-10050</t>
  </si>
  <si>
    <t>22-Oct-2024</t>
  </si>
  <si>
    <t>Puzzle - Model 129</t>
  </si>
  <si>
    <t>ORD-10051</t>
  </si>
  <si>
    <t>Moisturizer - Model 347</t>
  </si>
  <si>
    <t>ORD-10052</t>
  </si>
  <si>
    <t>13-Apr-2024</t>
  </si>
  <si>
    <t>Lipstick - Model 779</t>
  </si>
  <si>
    <t>ORD-10053</t>
  </si>
  <si>
    <t>09-May-2024</t>
  </si>
  <si>
    <t>Moisturizer - Model 838</t>
  </si>
  <si>
    <t>ORD-10054</t>
  </si>
  <si>
    <t>25-Oct-2024</t>
  </si>
  <si>
    <t>Shoes - Model 952</t>
  </si>
  <si>
    <t>ORD-10055</t>
  </si>
  <si>
    <t>23-May-2024</t>
  </si>
  <si>
    <t>Curtain</t>
  </si>
  <si>
    <t>Curtain - Model 205</t>
  </si>
  <si>
    <t>ORD-10056</t>
  </si>
  <si>
    <t>Atta - Model 690</t>
  </si>
  <si>
    <t>ORD-10057</t>
  </si>
  <si>
    <t>26-Oct-2024</t>
  </si>
  <si>
    <t>Sunscreen - Model 489</t>
  </si>
  <si>
    <t>ORD-10058</t>
  </si>
  <si>
    <t>21-Apr-2024</t>
  </si>
  <si>
    <t>Lipstick - Model 776</t>
  </si>
  <si>
    <t>ORD-10059</t>
  </si>
  <si>
    <t>Dumbbells - Model 172</t>
  </si>
  <si>
    <t>ORD-10060</t>
  </si>
  <si>
    <t>09-Mar-2024</t>
  </si>
  <si>
    <t>Mixer</t>
  </si>
  <si>
    <t>Mixer - Model 161</t>
  </si>
  <si>
    <t>ORD-10061</t>
  </si>
  <si>
    <t>17-May-2024</t>
  </si>
  <si>
    <t>Pulses - Model 182</t>
  </si>
  <si>
    <t>ORD-10062</t>
  </si>
  <si>
    <t>19-Oct-2024</t>
  </si>
  <si>
    <t>Headphones - Model 690</t>
  </si>
  <si>
    <t>ORD-10063</t>
  </si>
  <si>
    <t>16-Feb-2024</t>
  </si>
  <si>
    <t>Children</t>
  </si>
  <si>
    <t>Children - Model 441</t>
  </si>
  <si>
    <t>ORD-10064</t>
  </si>
  <si>
    <t>03-Aug-2024</t>
  </si>
  <si>
    <t>Textbook</t>
  </si>
  <si>
    <t>Textbook - Model 431</t>
  </si>
  <si>
    <t>ORD-10065</t>
  </si>
  <si>
    <t>20-Jun-2024</t>
  </si>
  <si>
    <t>Pulses - Model 878</t>
  </si>
  <si>
    <t>ORD-10066</t>
  </si>
  <si>
    <t>Serum - Model 418</t>
  </si>
  <si>
    <t>ORD-10067</t>
  </si>
  <si>
    <t>16-Mar-2024</t>
  </si>
  <si>
    <t>Cycle - Model 822</t>
  </si>
  <si>
    <t>ORD-10068</t>
  </si>
  <si>
    <t>Saree - Model 891</t>
  </si>
  <si>
    <t>ORD-10069</t>
  </si>
  <si>
    <t>16-Nov-2024</t>
  </si>
  <si>
    <t>Curtain - Model 651</t>
  </si>
  <si>
    <t>ORD-10070</t>
  </si>
  <si>
    <t>08-Jul-2024</t>
  </si>
  <si>
    <t>Action Figure</t>
  </si>
  <si>
    <t>Action Figure - Model 425</t>
  </si>
  <si>
    <t>ORD-10071</t>
  </si>
  <si>
    <t>Shoes - Model 202</t>
  </si>
  <si>
    <t>ORD-10072</t>
  </si>
  <si>
    <t>Action Figure - Model 972</t>
  </si>
  <si>
    <t>ORD-10073</t>
  </si>
  <si>
    <t>22-Nov-2024</t>
  </si>
  <si>
    <t>Cricket Bat - Model 864</t>
  </si>
  <si>
    <t>ORD-10074</t>
  </si>
  <si>
    <t>11-Jan-2024</t>
  </si>
  <si>
    <t>Headphones - Model 467</t>
  </si>
  <si>
    <t>ORD-10075</t>
  </si>
  <si>
    <t>20-Jul-2024</t>
  </si>
  <si>
    <t>Perfume</t>
  </si>
  <si>
    <t>Perfume - Model 697</t>
  </si>
  <si>
    <t>ORD-10076</t>
  </si>
  <si>
    <t>03-Mar-2024</t>
  </si>
  <si>
    <t>Rice - Model 701</t>
  </si>
  <si>
    <t>ORD-10077</t>
  </si>
  <si>
    <t>19-Jun-2024</t>
  </si>
  <si>
    <t>Yoga Mat - Model 122</t>
  </si>
  <si>
    <t>ORD-10078</t>
  </si>
  <si>
    <t>25-May-2024</t>
  </si>
  <si>
    <t>Sunscreen - Model 921</t>
  </si>
  <si>
    <t>ORD-10079</t>
  </si>
  <si>
    <t>Dumbbells - Model 134</t>
  </si>
  <si>
    <t>ORD-10080</t>
  </si>
  <si>
    <t>17-Jun-2024</t>
  </si>
  <si>
    <t>Cricket Bat - Model 363</t>
  </si>
  <si>
    <t>ORD-10081</t>
  </si>
  <si>
    <t>24-Nov-2024</t>
  </si>
  <si>
    <t>Doll - Model 474</t>
  </si>
  <si>
    <t>ORD-10082</t>
  </si>
  <si>
    <t>Perfume - Model 125</t>
  </si>
  <si>
    <t>ORD-10083</t>
  </si>
  <si>
    <t>04-Jul-2024</t>
  </si>
  <si>
    <t>Mixer - Model 138</t>
  </si>
  <si>
    <t>ORD-10084</t>
  </si>
  <si>
    <t>14-Sep-2024</t>
  </si>
  <si>
    <t>Curtain - Model 770</t>
  </si>
  <si>
    <t>ORD-10085</t>
  </si>
  <si>
    <t>Comic</t>
  </si>
  <si>
    <t>Comic - Model 760</t>
  </si>
  <si>
    <t>ORD-10086</t>
  </si>
  <si>
    <t>20-Nov-2024</t>
  </si>
  <si>
    <t>Mobile - Model 905</t>
  </si>
  <si>
    <t>ORD-10087</t>
  </si>
  <si>
    <t>11-Apr-2024</t>
  </si>
  <si>
    <t>Lamp</t>
  </si>
  <si>
    <t>Lamp - Model 102</t>
  </si>
  <si>
    <t>ORD-10088</t>
  </si>
  <si>
    <t>19-Apr-2024</t>
  </si>
  <si>
    <t>Fiction - Model 278</t>
  </si>
  <si>
    <t>ORD-10089</t>
  </si>
  <si>
    <t>15-Feb-2024</t>
  </si>
  <si>
    <t>Sunscreen - Model 144</t>
  </si>
  <si>
    <t>ORD-10090</t>
  </si>
  <si>
    <t>Kurta</t>
  </si>
  <si>
    <t>Kurta - Model 429</t>
  </si>
  <si>
    <t>ORD-10091</t>
  </si>
  <si>
    <t>15-May-2024</t>
  </si>
  <si>
    <t>Action Figure - Model 912</t>
  </si>
  <si>
    <t>ORD-10092</t>
  </si>
  <si>
    <t>04-Dec-2024</t>
  </si>
  <si>
    <t>Children - Model 420</t>
  </si>
  <si>
    <t>ORD-10093</t>
  </si>
  <si>
    <t>12-Dec-2024</t>
  </si>
  <si>
    <t>Lamp - Model 161</t>
  </si>
  <si>
    <t>ORD-10094</t>
  </si>
  <si>
    <t>20-May-2024</t>
  </si>
  <si>
    <t>Yoga Mat - Model 206</t>
  </si>
  <si>
    <t>ORD-10095</t>
  </si>
  <si>
    <t>08-Oct-2024</t>
  </si>
  <si>
    <t>Doll - Model 885</t>
  </si>
  <si>
    <t>ORD-10096</t>
  </si>
  <si>
    <t>11-May-2024</t>
  </si>
  <si>
    <t>Fiction - Model 285</t>
  </si>
  <si>
    <t>ORD-10097</t>
  </si>
  <si>
    <t>15-Jul-2024</t>
  </si>
  <si>
    <t>Self-Help - Model 478</t>
  </si>
  <si>
    <t>ORD-10098</t>
  </si>
  <si>
    <t>09-Feb-2024</t>
  </si>
  <si>
    <t>Pulses - Model 597</t>
  </si>
  <si>
    <t>ORD-10099</t>
  </si>
  <si>
    <t>17-Aug-2024</t>
  </si>
  <si>
    <t>Shoes - Model 325</t>
  </si>
  <si>
    <t>ORD-10100</t>
  </si>
  <si>
    <t>24-Aug-2024</t>
  </si>
  <si>
    <t>Board Game - Model 232</t>
  </si>
  <si>
    <t>ORD-10101</t>
  </si>
  <si>
    <t>01-Jul-2024</t>
  </si>
  <si>
    <t>Atta - Model 982</t>
  </si>
  <si>
    <t>ORD-10102</t>
  </si>
  <si>
    <t>15-Oct-2024</t>
  </si>
  <si>
    <t>Fiction - Model 547</t>
  </si>
  <si>
    <t>ORD-10103</t>
  </si>
  <si>
    <t>17-Feb-2024</t>
  </si>
  <si>
    <t>Jacket - Model 622</t>
  </si>
  <si>
    <t>ORD-10104</t>
  </si>
  <si>
    <t>05-Oct-2024</t>
  </si>
  <si>
    <t>Jeans - Model 891</t>
  </si>
  <si>
    <t>ORD-10105</t>
  </si>
  <si>
    <t>28-Jun-2024</t>
  </si>
  <si>
    <t>Self-Help - Model 550</t>
  </si>
  <si>
    <t>ORD-10106</t>
  </si>
  <si>
    <t>02-Jan-2024</t>
  </si>
  <si>
    <t>Textbook - Model 178</t>
  </si>
  <si>
    <t>ORD-10107</t>
  </si>
  <si>
    <t>07-Nov-2024</t>
  </si>
  <si>
    <t>Comic - Model 587</t>
  </si>
  <si>
    <t>ORD-10108</t>
  </si>
  <si>
    <t>23-Apr-2024</t>
  </si>
  <si>
    <t>Pulses - Model 636</t>
  </si>
  <si>
    <t>ORD-10109</t>
  </si>
  <si>
    <t>Fiction - Model 437</t>
  </si>
  <si>
    <t>ORD-10110</t>
  </si>
  <si>
    <t>Bedsheet</t>
  </si>
  <si>
    <t>Bedsheet - Model 417</t>
  </si>
  <si>
    <t>ORD-10111</t>
  </si>
  <si>
    <t>22-Dec-2024</t>
  </si>
  <si>
    <t>Shoes - Model 620</t>
  </si>
  <si>
    <t>ORD-10112</t>
  </si>
  <si>
    <t>Shoes - Model 619</t>
  </si>
  <si>
    <t>ORD-10113</t>
  </si>
  <si>
    <t>25-Dec-2024</t>
  </si>
  <si>
    <t>Curtain - Model 144</t>
  </si>
  <si>
    <t>ORD-10114</t>
  </si>
  <si>
    <t>27-Aug-2024</t>
  </si>
  <si>
    <t>Lipstick - Model 794</t>
  </si>
  <si>
    <t>ORD-10115</t>
  </si>
  <si>
    <t>28-Mar-2024</t>
  </si>
  <si>
    <t>Shoes - Model 756</t>
  </si>
  <si>
    <t>ORD-10116</t>
  </si>
  <si>
    <t>Curtain - Model 193</t>
  </si>
  <si>
    <t>ORD-10117</t>
  </si>
  <si>
    <t>08-Jun-2024</t>
  </si>
  <si>
    <t>Headphones - Model 201</t>
  </si>
  <si>
    <t>ORD-10118</t>
  </si>
  <si>
    <t>01-Oct-2024</t>
  </si>
  <si>
    <t>Kurta - Model 362</t>
  </si>
  <si>
    <t>ORD-10119</t>
  </si>
  <si>
    <t>14-Apr-2024</t>
  </si>
  <si>
    <t>Atta - Model 213</t>
  </si>
  <si>
    <t>ORD-10120</t>
  </si>
  <si>
    <t>Board Game - Model 780</t>
  </si>
  <si>
    <t>ORD-10121</t>
  </si>
  <si>
    <t>02-Aug-2024</t>
  </si>
  <si>
    <t>Puzzle - Model 359</t>
  </si>
  <si>
    <t>ORD-10122</t>
  </si>
  <si>
    <t>12-Jan-2024</t>
  </si>
  <si>
    <t>Self-Help - Model 950</t>
  </si>
  <si>
    <t>ORD-10123</t>
  </si>
  <si>
    <t>02-Apr-2024</t>
  </si>
  <si>
    <t>Textbook - Model 627</t>
  </si>
  <si>
    <t>ORD-10124</t>
  </si>
  <si>
    <t>26-Feb-2024</t>
  </si>
  <si>
    <t>Children - Model 509</t>
  </si>
  <si>
    <t>ORD-10125</t>
  </si>
  <si>
    <t>Doll - Model 942</t>
  </si>
  <si>
    <t>ORD-10126</t>
  </si>
  <si>
    <t>Children - Model 143</t>
  </si>
  <si>
    <t>ORD-10127</t>
  </si>
  <si>
    <t>26-Sep-2024</t>
  </si>
  <si>
    <t>Mixer - Model 246</t>
  </si>
  <si>
    <t>ORD-10128</t>
  </si>
  <si>
    <t>22-Mar-2024</t>
  </si>
  <si>
    <t>Rice - Model 480</t>
  </si>
  <si>
    <t>ORD-10129</t>
  </si>
  <si>
    <t>Doll - Model 220</t>
  </si>
  <si>
    <t>ORD-10130</t>
  </si>
  <si>
    <t>Curtain - Model 189</t>
  </si>
  <si>
    <t>ORD-10131</t>
  </si>
  <si>
    <t>06-Nov-2024</t>
  </si>
  <si>
    <t>Comic - Model 329</t>
  </si>
  <si>
    <t>ORD-10132</t>
  </si>
  <si>
    <t>05-Sep-2024</t>
  </si>
  <si>
    <t>Kurta - Model 416</t>
  </si>
  <si>
    <t>ORD-10133</t>
  </si>
  <si>
    <t>17-Nov-2024</t>
  </si>
  <si>
    <t>Self-Help - Model 999</t>
  </si>
  <si>
    <t>ORD-10134</t>
  </si>
  <si>
    <t>06-May-2024</t>
  </si>
  <si>
    <t>Bedsheet - Model 826</t>
  </si>
  <si>
    <t>ORD-10135</t>
  </si>
  <si>
    <t>21-Mar-2024</t>
  </si>
  <si>
    <t>Cycle - Model 646</t>
  </si>
  <si>
    <t>ORD-10136</t>
  </si>
  <si>
    <t>02-Oct-2024</t>
  </si>
  <si>
    <t>Mobile - Model 146</t>
  </si>
  <si>
    <t>ORD-10137</t>
  </si>
  <si>
    <t>Oil - Model 924</t>
  </si>
  <si>
    <t>ORD-10138</t>
  </si>
  <si>
    <t>Textbook - Model 508</t>
  </si>
  <si>
    <t>ORD-10139</t>
  </si>
  <si>
    <t>13-May-2024</t>
  </si>
  <si>
    <t>Board Game - Model 986</t>
  </si>
  <si>
    <t>ORD-10140</t>
  </si>
  <si>
    <t>01-Aug-2024</t>
  </si>
  <si>
    <t>Shoes - Model 617</t>
  </si>
  <si>
    <t>ORD-10141</t>
  </si>
  <si>
    <t>14-Feb-2024</t>
  </si>
  <si>
    <t>Bedsheet - Model 844</t>
  </si>
  <si>
    <t>ORD-10142</t>
  </si>
  <si>
    <t>25-Aug-2024</t>
  </si>
  <si>
    <t>Cycle - Model 796</t>
  </si>
  <si>
    <t>ORD-10143</t>
  </si>
  <si>
    <t>20-Apr-2024</t>
  </si>
  <si>
    <t>Doll - Model 141</t>
  </si>
  <si>
    <t>ORD-10144</t>
  </si>
  <si>
    <t>Curtain - Model 731</t>
  </si>
  <si>
    <t>ORD-10145</t>
  </si>
  <si>
    <t>22-Jun-2024</t>
  </si>
  <si>
    <t>Shoes - Model 697</t>
  </si>
  <si>
    <t>ORD-10146</t>
  </si>
  <si>
    <t>16-Oct-2024</t>
  </si>
  <si>
    <t>Lamp - Model 744</t>
  </si>
  <si>
    <t>ORD-10147</t>
  </si>
  <si>
    <t>05-Jul-2024</t>
  </si>
  <si>
    <t>Board Game - Model 520</t>
  </si>
  <si>
    <t>ORD-10148</t>
  </si>
  <si>
    <t>Puzzle - Model 277</t>
  </si>
  <si>
    <t>ORD-10149</t>
  </si>
  <si>
    <t>Cricket Bat - Model 404</t>
  </si>
  <si>
    <t>ORD-10150</t>
  </si>
  <si>
    <t>13-Sep-2024</t>
  </si>
  <si>
    <t>Puzzle - Model 891</t>
  </si>
  <si>
    <t>ORD-10151</t>
  </si>
  <si>
    <t>09-Sep-2024</t>
  </si>
  <si>
    <t>Cricket Bat - Model 211</t>
  </si>
  <si>
    <t>ORD-10152</t>
  </si>
  <si>
    <t>16-Dec-2024</t>
  </si>
  <si>
    <t>Jeans - Model 105</t>
  </si>
  <si>
    <t>ORD-10153</t>
  </si>
  <si>
    <t>21-May-2024</t>
  </si>
  <si>
    <t>Mobile - Model 767</t>
  </si>
  <si>
    <t>ORD-10154</t>
  </si>
  <si>
    <t>27-Jan-2024</t>
  </si>
  <si>
    <t>Remote Car</t>
  </si>
  <si>
    <t>Remote Car - Model 290</t>
  </si>
  <si>
    <t>ORD-10155</t>
  </si>
  <si>
    <t>16-Sep-2024</t>
  </si>
  <si>
    <t>Lamp - Model 579</t>
  </si>
  <si>
    <t>ORD-10156</t>
  </si>
  <si>
    <t>19-May-2024</t>
  </si>
  <si>
    <t>Serum - Model 725</t>
  </si>
  <si>
    <t>ORD-10157</t>
  </si>
  <si>
    <t>09-Jan-2024</t>
  </si>
  <si>
    <t>Board Game - Model 557</t>
  </si>
  <si>
    <t>ORD-10158</t>
  </si>
  <si>
    <t>Doll - Model 820</t>
  </si>
  <si>
    <t>ORD-10159</t>
  </si>
  <si>
    <t>12-Oct-2024</t>
  </si>
  <si>
    <t>Doll - Model 582</t>
  </si>
  <si>
    <t>ORD-10160</t>
  </si>
  <si>
    <t>Kurta - Model 948</t>
  </si>
  <si>
    <t>ORD-10161</t>
  </si>
  <si>
    <t>Jacket - Model 556</t>
  </si>
  <si>
    <t>ORD-10162</t>
  </si>
  <si>
    <t>24-Jan-2024</t>
  </si>
  <si>
    <t>Sunscreen - Model 174</t>
  </si>
  <si>
    <t>ORD-10163</t>
  </si>
  <si>
    <t>14-May-2024</t>
  </si>
  <si>
    <t>Pressure Cooker - Model 884</t>
  </si>
  <si>
    <t>ORD-10164</t>
  </si>
  <si>
    <t>Fiction - Model 282</t>
  </si>
  <si>
    <t>ORD-10165</t>
  </si>
  <si>
    <t>18-Dec-2024</t>
  </si>
  <si>
    <t>Doll - Model 488</t>
  </si>
  <si>
    <t>ORD-10166</t>
  </si>
  <si>
    <t>Laptop - Model 311</t>
  </si>
  <si>
    <t>ORD-10167</t>
  </si>
  <si>
    <t>18-Apr-2024</t>
  </si>
  <si>
    <t>Moisturizer - Model 243</t>
  </si>
  <si>
    <t>ORD-10168</t>
  </si>
  <si>
    <t>Perfume - Model 407</t>
  </si>
  <si>
    <t>ORD-10169</t>
  </si>
  <si>
    <t>21-Jun-2024</t>
  </si>
  <si>
    <t>Doll - Model 426</t>
  </si>
  <si>
    <t>ORD-10170</t>
  </si>
  <si>
    <t>Remote Car - Model 670</t>
  </si>
  <si>
    <t>ORD-10171</t>
  </si>
  <si>
    <t>27-Dec-2024</t>
  </si>
  <si>
    <t>Moisturizer - Model 374</t>
  </si>
  <si>
    <t>ORD-10172</t>
  </si>
  <si>
    <t>10-Jun-2024</t>
  </si>
  <si>
    <t>Laptop - Model 294</t>
  </si>
  <si>
    <t>ORD-10173</t>
  </si>
  <si>
    <t>Textbook - Model 367</t>
  </si>
  <si>
    <t>ORD-10174</t>
  </si>
  <si>
    <t>02-Jul-2024</t>
  </si>
  <si>
    <t>Serum - Model 116</t>
  </si>
  <si>
    <t>ORD-10175</t>
  </si>
  <si>
    <t>16-Apr-2024</t>
  </si>
  <si>
    <t>Textbook - Model 881</t>
  </si>
  <si>
    <t>ORD-10176</t>
  </si>
  <si>
    <t>Tablet - Model 134</t>
  </si>
  <si>
    <t>ORD-10177</t>
  </si>
  <si>
    <t>02-Jun-2024</t>
  </si>
  <si>
    <t>Pulses - Model 116</t>
  </si>
  <si>
    <t>ORD-10178</t>
  </si>
  <si>
    <t>14-Nov-2024</t>
  </si>
  <si>
    <t>Mixer - Model 198</t>
  </si>
  <si>
    <t>ORD-10179</t>
  </si>
  <si>
    <t>19-Aug-2024</t>
  </si>
  <si>
    <t>Serum - Model 407</t>
  </si>
  <si>
    <t>ORD-10180</t>
  </si>
  <si>
    <t>21-Jul-2024</t>
  </si>
  <si>
    <t>Comic - Model 978</t>
  </si>
  <si>
    <t>ORD-10181</t>
  </si>
  <si>
    <t>22-Feb-2024</t>
  </si>
  <si>
    <t>Cycle - Model 677</t>
  </si>
  <si>
    <t>ORD-10182</t>
  </si>
  <si>
    <t>Doll - Model 439</t>
  </si>
  <si>
    <t>ORD-10183</t>
  </si>
  <si>
    <t>11-Feb-2024</t>
  </si>
  <si>
    <t>Puzzle - Model 130</t>
  </si>
  <si>
    <t>ORD-10184</t>
  </si>
  <si>
    <t>10-Oct-2024</t>
  </si>
  <si>
    <t>Moisturizer - Model 184</t>
  </si>
  <si>
    <t>ORD-10185</t>
  </si>
  <si>
    <t>Textbook - Model 204</t>
  </si>
  <si>
    <t>ORD-10186</t>
  </si>
  <si>
    <t>20-Oct-2024</t>
  </si>
  <si>
    <t>Children - Model 112</t>
  </si>
  <si>
    <t>ORD-10187</t>
  </si>
  <si>
    <t>06-Jul-2024</t>
  </si>
  <si>
    <t>Bedsheet - Model 408</t>
  </si>
  <si>
    <t>ORD-10188</t>
  </si>
  <si>
    <t>21-Dec-2024</t>
  </si>
  <si>
    <t>Spices - Model 731</t>
  </si>
  <si>
    <t>ORD-10189</t>
  </si>
  <si>
    <t>11-Aug-2024</t>
  </si>
  <si>
    <t>Doll - Model 239</t>
  </si>
  <si>
    <t>ORD-10190</t>
  </si>
  <si>
    <t>Spices - Model 900</t>
  </si>
  <si>
    <t>ORD-10191</t>
  </si>
  <si>
    <t>Smartwatch - Model 825</t>
  </si>
  <si>
    <t>ORD-10192</t>
  </si>
  <si>
    <t>Cricket Bat - Model 832</t>
  </si>
  <si>
    <t>ORD-10193</t>
  </si>
  <si>
    <t>18-Jul-2024</t>
  </si>
  <si>
    <t>Headphones - Model 818</t>
  </si>
  <si>
    <t>ORD-10194</t>
  </si>
  <si>
    <t>21-Oct-2024</t>
  </si>
  <si>
    <t>Puzzle - Model 915</t>
  </si>
  <si>
    <t>ORD-10195</t>
  </si>
  <si>
    <t>13-Jun-2024</t>
  </si>
  <si>
    <t>Spices - Model 807</t>
  </si>
  <si>
    <t>ORD-10196</t>
  </si>
  <si>
    <t>12-Mar-2024</t>
  </si>
  <si>
    <t>Yoga Mat - Model 566</t>
  </si>
  <si>
    <t>ORD-10197</t>
  </si>
  <si>
    <t>Headphones - Model 763</t>
  </si>
  <si>
    <t>ORD-10198</t>
  </si>
  <si>
    <t>26-Apr-2024</t>
  </si>
  <si>
    <t>Board Game - Model 290</t>
  </si>
  <si>
    <t>ORD-10199</t>
  </si>
  <si>
    <t>Jacket - Model 204</t>
  </si>
  <si>
    <t>ORD-10200</t>
  </si>
  <si>
    <t>Doll - Model 216</t>
  </si>
  <si>
    <t>ORD-10201</t>
  </si>
  <si>
    <t>05-Nov-2024</t>
  </si>
  <si>
    <t>Fiction - Model 344</t>
  </si>
  <si>
    <t>ORD-10202</t>
  </si>
  <si>
    <t>21-Aug-2024</t>
  </si>
  <si>
    <t>Lamp - Model 270</t>
  </si>
  <si>
    <t>ORD-10203</t>
  </si>
  <si>
    <t>27-Apr-2024</t>
  </si>
  <si>
    <t>Doll - Model 617</t>
  </si>
  <si>
    <t>ORD-10204</t>
  </si>
  <si>
    <t>10-Apr-2024</t>
  </si>
  <si>
    <t>Headphones - Model 330</t>
  </si>
  <si>
    <t>ORD-10205</t>
  </si>
  <si>
    <t>Comic - Model 942</t>
  </si>
  <si>
    <t>ORD-10206</t>
  </si>
  <si>
    <t>09-Aug-2024</t>
  </si>
  <si>
    <t>Fiction - Model 549</t>
  </si>
  <si>
    <t>ORD-10207</t>
  </si>
  <si>
    <t>26-Mar-2024</t>
  </si>
  <si>
    <t>Serum - Model 924</t>
  </si>
  <si>
    <t>ORD-10208</t>
  </si>
  <si>
    <t>22-Sep-2024</t>
  </si>
  <si>
    <t>Jeans - Model 868</t>
  </si>
  <si>
    <t>ORD-10209</t>
  </si>
  <si>
    <t>25-Apr-2024</t>
  </si>
  <si>
    <t>Remote Car - Model 245</t>
  </si>
  <si>
    <t>ORD-10210</t>
  </si>
  <si>
    <t>Pulses - Model 435</t>
  </si>
  <si>
    <t>ORD-10211</t>
  </si>
  <si>
    <t>07-Jul-2024</t>
  </si>
  <si>
    <t>Board Game - Model 606</t>
  </si>
  <si>
    <t>ORD-10212</t>
  </si>
  <si>
    <t>Shoes - Model 116</t>
  </si>
  <si>
    <t>ORD-10213</t>
  </si>
  <si>
    <t>03-May-2024</t>
  </si>
  <si>
    <t>Textbook - Model 184</t>
  </si>
  <si>
    <t>ORD-10214</t>
  </si>
  <si>
    <t>07-Jan-2024</t>
  </si>
  <si>
    <t>Atta - Model 235</t>
  </si>
  <si>
    <t>ORD-10215</t>
  </si>
  <si>
    <t>Jeans - Model 492</t>
  </si>
  <si>
    <t>ORD-10216</t>
  </si>
  <si>
    <t>Tablet - Model 765</t>
  </si>
  <si>
    <t>ORD-10217</t>
  </si>
  <si>
    <t>04-Feb-2024</t>
  </si>
  <si>
    <t>Mixer - Model 703</t>
  </si>
  <si>
    <t>ORD-10218</t>
  </si>
  <si>
    <t>20-Dec-2024</t>
  </si>
  <si>
    <t>Shoes - Model 968</t>
  </si>
  <si>
    <t>ORD-10219</t>
  </si>
  <si>
    <t>Action Figure - Model 346</t>
  </si>
  <si>
    <t>ORD-10220</t>
  </si>
  <si>
    <t>14-Oct-2024</t>
  </si>
  <si>
    <t>Comic - Model 799</t>
  </si>
  <si>
    <t>ORD-10221</t>
  </si>
  <si>
    <t>17-Jul-2024</t>
  </si>
  <si>
    <t>Cycle - Model 885</t>
  </si>
  <si>
    <t>ORD-10222</t>
  </si>
  <si>
    <t>Lamp - Model 434</t>
  </si>
  <si>
    <t>ORD-10223</t>
  </si>
  <si>
    <t>08-Jan-2024</t>
  </si>
  <si>
    <t>Shoes - Model 218</t>
  </si>
  <si>
    <t>ORD-10224</t>
  </si>
  <si>
    <t>06-Jan-2024</t>
  </si>
  <si>
    <t>Rice - Model 635</t>
  </si>
  <si>
    <t>ORD-10225</t>
  </si>
  <si>
    <t>Saree - Model 829</t>
  </si>
  <si>
    <t>ORD-10226</t>
  </si>
  <si>
    <t>Jeans - Model 858</t>
  </si>
  <si>
    <t>ORD-10227</t>
  </si>
  <si>
    <t>18-Jan-2024</t>
  </si>
  <si>
    <t>Board Game - Model 429</t>
  </si>
  <si>
    <t>ORD-10228</t>
  </si>
  <si>
    <t>08-Mar-2024</t>
  </si>
  <si>
    <t>Smartwatch - Model 170</t>
  </si>
  <si>
    <t>ORD-10229</t>
  </si>
  <si>
    <t>24-May-2024</t>
  </si>
  <si>
    <t>Perfume - Model 477</t>
  </si>
  <si>
    <t>ORD-10230</t>
  </si>
  <si>
    <t>Fiction - Model 443</t>
  </si>
  <si>
    <t>ORD-10231</t>
  </si>
  <si>
    <t>23-Mar-2024</t>
  </si>
  <si>
    <t>Shoes - Model 144</t>
  </si>
  <si>
    <t>ORD-10232</t>
  </si>
  <si>
    <t>Smartwatch - Model 778</t>
  </si>
  <si>
    <t>ORD-10233</t>
  </si>
  <si>
    <t>Lamp - Model 211</t>
  </si>
  <si>
    <t>ORD-10234</t>
  </si>
  <si>
    <t>03-Feb-2024</t>
  </si>
  <si>
    <t>Bedsheet - Model 946</t>
  </si>
  <si>
    <t>ORD-10235</t>
  </si>
  <si>
    <t>Mixer - Model 514</t>
  </si>
  <si>
    <t>ORD-10236</t>
  </si>
  <si>
    <t>05-Apr-2024</t>
  </si>
  <si>
    <t>Perfume - Model 481</t>
  </si>
  <si>
    <t>ORD-10237</t>
  </si>
  <si>
    <t>Fiction - Model 143</t>
  </si>
  <si>
    <t>ORD-10238</t>
  </si>
  <si>
    <t>07-Jun-2024</t>
  </si>
  <si>
    <t>Bedsheet - Model 386</t>
  </si>
  <si>
    <t>ORD-10239</t>
  </si>
  <si>
    <t>Board Game - Model 529</t>
  </si>
  <si>
    <t>ORD-10240</t>
  </si>
  <si>
    <t>Rice - Model 679</t>
  </si>
  <si>
    <t>ORD-10241</t>
  </si>
  <si>
    <t>12-Sep-2024</t>
  </si>
  <si>
    <t>Serum - Model 202</t>
  </si>
  <si>
    <t>ORD-10242</t>
  </si>
  <si>
    <t>12-Jul-2024</t>
  </si>
  <si>
    <t>Pressure Cooker - Model 342</t>
  </si>
  <si>
    <t>ORD-10243</t>
  </si>
  <si>
    <t>07-Oct-2024</t>
  </si>
  <si>
    <t>Spices - Model 416</t>
  </si>
  <si>
    <t>ORD-10244</t>
  </si>
  <si>
    <t>Bedsheet - Model 834</t>
  </si>
  <si>
    <t>ORD-10245</t>
  </si>
  <si>
    <t>12-Feb-2024</t>
  </si>
  <si>
    <t>Doll - Model 203</t>
  </si>
  <si>
    <t>ORD-10246</t>
  </si>
  <si>
    <t>23-Sep-2024</t>
  </si>
  <si>
    <t>Self-Help - Model 781</t>
  </si>
  <si>
    <t>ORD-10247</t>
  </si>
  <si>
    <t>28-Jul-2024</t>
  </si>
  <si>
    <t>Laptop - Model 716</t>
  </si>
  <si>
    <t>ORD-10248</t>
  </si>
  <si>
    <t>Saree - Model 557</t>
  </si>
  <si>
    <t>ORD-10249</t>
  </si>
  <si>
    <t>Remote Car - Model 487</t>
  </si>
  <si>
    <t>ORD-10250</t>
  </si>
  <si>
    <t>Headphones - Model 367</t>
  </si>
  <si>
    <t>ORD-10251</t>
  </si>
  <si>
    <t>23-Aug-2024</t>
  </si>
  <si>
    <t>Smartwatch - Model 769</t>
  </si>
  <si>
    <t>ORD-10252</t>
  </si>
  <si>
    <t>Yoga Mat - Model 404</t>
  </si>
  <si>
    <t>ORD-10253</t>
  </si>
  <si>
    <t>Oil - Model 199</t>
  </si>
  <si>
    <t>ORD-10254</t>
  </si>
  <si>
    <t>Jacket - Model 496</t>
  </si>
  <si>
    <t>ORD-10255</t>
  </si>
  <si>
    <t>Mixer - Model 187</t>
  </si>
  <si>
    <t>ORD-10256</t>
  </si>
  <si>
    <t>Spices - Model 341</t>
  </si>
  <si>
    <t>ORD-10257</t>
  </si>
  <si>
    <t>Shoes - Model 277</t>
  </si>
  <si>
    <t>ORD-10258</t>
  </si>
  <si>
    <t>27-Mar-2024</t>
  </si>
  <si>
    <t>Yoga Mat - Model 844</t>
  </si>
  <si>
    <t>ORD-10259</t>
  </si>
  <si>
    <t>Action Figure - Model 524</t>
  </si>
  <si>
    <t>ORD-10260</t>
  </si>
  <si>
    <t>28-May-2024</t>
  </si>
  <si>
    <t>Children - Model 370</t>
  </si>
  <si>
    <t>ORD-10261</t>
  </si>
  <si>
    <t>13-Jan-2024</t>
  </si>
  <si>
    <t>Self-Help - Model 150</t>
  </si>
  <si>
    <t>ORD-10262</t>
  </si>
  <si>
    <t>ORD-10263</t>
  </si>
  <si>
    <t>Fiction - Model 627</t>
  </si>
  <si>
    <t>ORD-10264</t>
  </si>
  <si>
    <t>Laptop - Model 133</t>
  </si>
  <si>
    <t>ORD-10265</t>
  </si>
  <si>
    <t>01-Nov-2024</t>
  </si>
  <si>
    <t>Lipstick - Model 600</t>
  </si>
  <si>
    <t>ORD-10266</t>
  </si>
  <si>
    <t>03-Dec-2024</t>
  </si>
  <si>
    <t>Shoes - Model 495</t>
  </si>
  <si>
    <t>ORD-10267</t>
  </si>
  <si>
    <t>Mobile - Model 585</t>
  </si>
  <si>
    <t>ORD-10268</t>
  </si>
  <si>
    <t>Puzzle - Model 570</t>
  </si>
  <si>
    <t>ORD-10269</t>
  </si>
  <si>
    <t>18-Jun-2024</t>
  </si>
  <si>
    <t>Yoga Mat - Model 800</t>
  </si>
  <si>
    <t>ORD-10270</t>
  </si>
  <si>
    <t>Serum - Model 629</t>
  </si>
  <si>
    <t>ORD-10271</t>
  </si>
  <si>
    <t>Remote Car - Model 497</t>
  </si>
  <si>
    <t>ORD-10272</t>
  </si>
  <si>
    <t>22-Aug-2024</t>
  </si>
  <si>
    <t>Comic - Model 407</t>
  </si>
  <si>
    <t>ORD-10273</t>
  </si>
  <si>
    <t>11-Nov-2024</t>
  </si>
  <si>
    <t>Jeans - Model 463</t>
  </si>
  <si>
    <t>ORD-10274</t>
  </si>
  <si>
    <t>19-Nov-2024</t>
  </si>
  <si>
    <t>Shoes - Model 299</t>
  </si>
  <si>
    <t>ORD-10275</t>
  </si>
  <si>
    <t>Oil - Model 423</t>
  </si>
  <si>
    <t>ORD-10276</t>
  </si>
  <si>
    <t>19-Mar-2024</t>
  </si>
  <si>
    <t>Curtain - Model 904</t>
  </si>
  <si>
    <t>ORD-10277</t>
  </si>
  <si>
    <t>Headphones - Model 875</t>
  </si>
  <si>
    <t>ORD-10278</t>
  </si>
  <si>
    <t>19-Sep-2024</t>
  </si>
  <si>
    <t>Cricket Bat - Model 166</t>
  </si>
  <si>
    <t>ORD-10279</t>
  </si>
  <si>
    <t>16-Jun-2024</t>
  </si>
  <si>
    <t>Self-Help - Model 268</t>
  </si>
  <si>
    <t>ORD-10280</t>
  </si>
  <si>
    <t>Smartwatch - Model 997</t>
  </si>
  <si>
    <t>ORD-10281</t>
  </si>
  <si>
    <t>13-Aug-2024</t>
  </si>
  <si>
    <t>Jacket - Model 358</t>
  </si>
  <si>
    <t>ORD-10282</t>
  </si>
  <si>
    <t>Curtain - Model 950</t>
  </si>
  <si>
    <t>ORD-10283</t>
  </si>
  <si>
    <t>07-Sep-2024</t>
  </si>
  <si>
    <t>Children - Model 402</t>
  </si>
  <si>
    <t>ORD-10284</t>
  </si>
  <si>
    <t>27-Feb-2024</t>
  </si>
  <si>
    <t>Oil - Model 192</t>
  </si>
  <si>
    <t>ORD-10285</t>
  </si>
  <si>
    <t>Headphones - Model 468</t>
  </si>
  <si>
    <t>ORD-10286</t>
  </si>
  <si>
    <t>Shoes - Model 481</t>
  </si>
  <si>
    <t>ORD-10287</t>
  </si>
  <si>
    <t>04-Mar-2024</t>
  </si>
  <si>
    <t>Mixer - Model 964</t>
  </si>
  <si>
    <t>ORD-10288</t>
  </si>
  <si>
    <t>Curtain - Model 599</t>
  </si>
  <si>
    <t>ORD-10289</t>
  </si>
  <si>
    <t>Comic - Model 635</t>
  </si>
  <si>
    <t>ORD-10290</t>
  </si>
  <si>
    <t>Laptop - Model 617</t>
  </si>
  <si>
    <t>ORD-10291</t>
  </si>
  <si>
    <t>13-Nov-2024</t>
  </si>
  <si>
    <t>Board Game - Model 180</t>
  </si>
  <si>
    <t>ORD-10292</t>
  </si>
  <si>
    <t>04-Jan-2024</t>
  </si>
  <si>
    <t>Remote Car - Model 136</t>
  </si>
  <si>
    <t>ORD-10293</t>
  </si>
  <si>
    <t>Rice - Model 472</t>
  </si>
  <si>
    <t>ORD-10294</t>
  </si>
  <si>
    <t>08-Nov-2024</t>
  </si>
  <si>
    <t>Headphones - Model 463</t>
  </si>
  <si>
    <t>ORD-10295</t>
  </si>
  <si>
    <t>Cycle - Model 300</t>
  </si>
  <si>
    <t>ORD-10296</t>
  </si>
  <si>
    <t>27-Nov-2024</t>
  </si>
  <si>
    <t>Shoes - Model 568</t>
  </si>
  <si>
    <t>ORD-10297</t>
  </si>
  <si>
    <t>25-Sep-2024</t>
  </si>
  <si>
    <t>Lamp - Model 277</t>
  </si>
  <si>
    <t>ORD-10298</t>
  </si>
  <si>
    <t>Lipstick - Model 507</t>
  </si>
  <si>
    <t>ORD-10299</t>
  </si>
  <si>
    <t>23-Jun-2024</t>
  </si>
  <si>
    <t>Serum - Model 314</t>
  </si>
  <si>
    <t>ORD-10300</t>
  </si>
  <si>
    <t>Saree - Model 675</t>
  </si>
  <si>
    <t>ORD-10301</t>
  </si>
  <si>
    <t>Kurta - Model 490</t>
  </si>
  <si>
    <t>ORD-10302</t>
  </si>
  <si>
    <t>23-Jan-2024</t>
  </si>
  <si>
    <t>Cricket Bat - Model 871</t>
  </si>
  <si>
    <t>ORD-10303</t>
  </si>
  <si>
    <t>Sunscreen - Model 903</t>
  </si>
  <si>
    <t>ORD-10304</t>
  </si>
  <si>
    <t>09-Dec-2024</t>
  </si>
  <si>
    <t>Sunscreen - Model 989</t>
  </si>
  <si>
    <t>ORD-10305</t>
  </si>
  <si>
    <t>07-Dec-2024</t>
  </si>
  <si>
    <t>Dumbbells - Model 281</t>
  </si>
  <si>
    <t>ORD-10306</t>
  </si>
  <si>
    <t>28-Oct-2024</t>
  </si>
  <si>
    <t>Shoes - Model 438</t>
  </si>
  <si>
    <t>ORD-10307</t>
  </si>
  <si>
    <t>18-Oct-2024</t>
  </si>
  <si>
    <t>Fiction - Model 902</t>
  </si>
  <si>
    <t>ORD-10308</t>
  </si>
  <si>
    <t>Lipstick - Model 439</t>
  </si>
  <si>
    <t>ORD-10309</t>
  </si>
  <si>
    <t>Moisturizer - Model 798</t>
  </si>
  <si>
    <t>ORD-10310</t>
  </si>
  <si>
    <t>Pulses - Model 144</t>
  </si>
  <si>
    <t>ORD-10311</t>
  </si>
  <si>
    <t>22-Apr-2024</t>
  </si>
  <si>
    <t>Perfume - Model 955</t>
  </si>
  <si>
    <t>ORD-10312</t>
  </si>
  <si>
    <t>Fiction - Model 189</t>
  </si>
  <si>
    <t>ORD-10313</t>
  </si>
  <si>
    <t>14-Jul-2024</t>
  </si>
  <si>
    <t>Fiction - Model 498</t>
  </si>
  <si>
    <t>ORD-10314</t>
  </si>
  <si>
    <t>04-Sep-2024</t>
  </si>
  <si>
    <t>Yoga Mat - Model 721</t>
  </si>
  <si>
    <t>ORD-10315</t>
  </si>
  <si>
    <t>13-Dec-2024</t>
  </si>
  <si>
    <t>Cricket Bat - Model 405</t>
  </si>
  <si>
    <t>ORD-10316</t>
  </si>
  <si>
    <t>10-Feb-2024</t>
  </si>
  <si>
    <t>Lipstick - Model 316</t>
  </si>
  <si>
    <t>ORD-10317</t>
  </si>
  <si>
    <t>28-Jan-2024</t>
  </si>
  <si>
    <t>Spices - Model 174</t>
  </si>
  <si>
    <t>ORD-10318</t>
  </si>
  <si>
    <t>Jeans - Model 425</t>
  </si>
  <si>
    <t>ORD-10319</t>
  </si>
  <si>
    <t>Headphones - Model 352</t>
  </si>
  <si>
    <t>ORD-10320</t>
  </si>
  <si>
    <t>16-May-2024</t>
  </si>
  <si>
    <t>Jeans - Model 761</t>
  </si>
  <si>
    <t>ORD-10321</t>
  </si>
  <si>
    <t>Tablet - Model 746</t>
  </si>
  <si>
    <t>ORD-10322</t>
  </si>
  <si>
    <t>Bedsheet - Model 501</t>
  </si>
  <si>
    <t>ORD-10323</t>
  </si>
  <si>
    <t>Lamp - Model 243</t>
  </si>
  <si>
    <t>ORD-10324</t>
  </si>
  <si>
    <t>Saree - Model 478</t>
  </si>
  <si>
    <t>ORD-10325</t>
  </si>
  <si>
    <t>Jacket - Model 748</t>
  </si>
  <si>
    <t>ORD-10326</t>
  </si>
  <si>
    <t>Board Game - Model 628</t>
  </si>
  <si>
    <t>ORD-10327</t>
  </si>
  <si>
    <t>Jacket - Model 758</t>
  </si>
  <si>
    <t>ORD-10328</t>
  </si>
  <si>
    <t>Pulses - Model 315</t>
  </si>
  <si>
    <t>ORD-10329</t>
  </si>
  <si>
    <t>Mixer - Model 270</t>
  </si>
  <si>
    <t>ORD-10330</t>
  </si>
  <si>
    <t>Oil - Model 324</t>
  </si>
  <si>
    <t>ORD-10331</t>
  </si>
  <si>
    <t>Jeans - Model 487</t>
  </si>
  <si>
    <t>ORD-10332</t>
  </si>
  <si>
    <t>Tablet - Model 615</t>
  </si>
  <si>
    <t>ORD-10333</t>
  </si>
  <si>
    <t>Board Game - Model 921</t>
  </si>
  <si>
    <t>ORD-10334</t>
  </si>
  <si>
    <t>Moisturizer - Model 390</t>
  </si>
  <si>
    <t>ORD-10335</t>
  </si>
  <si>
    <t>Lipstick - Model 518</t>
  </si>
  <si>
    <t>ORD-10336</t>
  </si>
  <si>
    <t>Perfume - Model 665</t>
  </si>
  <si>
    <t>ORD-10337</t>
  </si>
  <si>
    <t>Jeans - Model 557</t>
  </si>
  <si>
    <t>ORD-10338</t>
  </si>
  <si>
    <t>26-Jan-2024</t>
  </si>
  <si>
    <t>Jeans - Model 582</t>
  </si>
  <si>
    <t>ORD-10339</t>
  </si>
  <si>
    <t>Cycle - Model 158</t>
  </si>
  <si>
    <t>ORD-10340</t>
  </si>
  <si>
    <t>17-Sep-2024</t>
  </si>
  <si>
    <t>Sunscreen - Model 273</t>
  </si>
  <si>
    <t>ORD-10341</t>
  </si>
  <si>
    <t>Mobile - Model 192</t>
  </si>
  <si>
    <t>ORD-10342</t>
  </si>
  <si>
    <t>Headphones - Model 279</t>
  </si>
  <si>
    <t>ORD-10343</t>
  </si>
  <si>
    <t>09-Oct-2024</t>
  </si>
  <si>
    <t>Pulses - Model 676</t>
  </si>
  <si>
    <t>ORD-10344</t>
  </si>
  <si>
    <t>Board Game - Model 793</t>
  </si>
  <si>
    <t>ORD-10345</t>
  </si>
  <si>
    <t>Fiction - Model 667</t>
  </si>
  <si>
    <t>ORD-10346</t>
  </si>
  <si>
    <t>08-Dec-2024</t>
  </si>
  <si>
    <t>Cricket Bat - Model 334</t>
  </si>
  <si>
    <t>ORD-10347</t>
  </si>
  <si>
    <t>Smartwatch - Model 480</t>
  </si>
  <si>
    <t>ORD-10348</t>
  </si>
  <si>
    <t>Board Game - Model 868</t>
  </si>
  <si>
    <t>ORD-10349</t>
  </si>
  <si>
    <t>15-Mar-2024</t>
  </si>
  <si>
    <t>Jacket - Model 571</t>
  </si>
  <si>
    <t>ORD-10350</t>
  </si>
  <si>
    <t>Dumbbells - Model 727</t>
  </si>
  <si>
    <t>ORD-10351</t>
  </si>
  <si>
    <t>Lamp - Model 802</t>
  </si>
  <si>
    <t>ORD-10352</t>
  </si>
  <si>
    <t>Laptop - Model 531</t>
  </si>
  <si>
    <t>ORD-10353</t>
  </si>
  <si>
    <t>Action Figure - Model 807</t>
  </si>
  <si>
    <t>ORD-10354</t>
  </si>
  <si>
    <t>Yoga Mat - Model 120</t>
  </si>
  <si>
    <t>ORD-10355</t>
  </si>
  <si>
    <t>11-Jun-2024</t>
  </si>
  <si>
    <t>Pulses - Model 180</t>
  </si>
  <si>
    <t>ORD-10356</t>
  </si>
  <si>
    <t>Kurta - Model 265</t>
  </si>
  <si>
    <t>ORD-10357</t>
  </si>
  <si>
    <t>24-Jun-2024</t>
  </si>
  <si>
    <t>Pulses - Model 271</t>
  </si>
  <si>
    <t>ORD-10358</t>
  </si>
  <si>
    <t>Spices - Model 155</t>
  </si>
  <si>
    <t>ORD-10359</t>
  </si>
  <si>
    <t>Lipstick - Model 553</t>
  </si>
  <si>
    <t>ORD-10360</t>
  </si>
  <si>
    <t>Oil - Model 814</t>
  </si>
  <si>
    <t>ORD-10361</t>
  </si>
  <si>
    <t>12-May-2024</t>
  </si>
  <si>
    <t>Spices - Model 332</t>
  </si>
  <si>
    <t>ORD-10362</t>
  </si>
  <si>
    <t>Spices - Model 108</t>
  </si>
  <si>
    <t>ORD-10363</t>
  </si>
  <si>
    <t>Board Game - Model 267</t>
  </si>
  <si>
    <t>ORD-10364</t>
  </si>
  <si>
    <t>Dumbbells - Model 292</t>
  </si>
  <si>
    <t>ORD-10365</t>
  </si>
  <si>
    <t>Laptop - Model 204</t>
  </si>
  <si>
    <t>ORD-10366</t>
  </si>
  <si>
    <t>Rice - Model 574</t>
  </si>
  <si>
    <t>ORD-10367</t>
  </si>
  <si>
    <t>Dumbbells - Model 948</t>
  </si>
  <si>
    <t>ORD-10368</t>
  </si>
  <si>
    <t>Jacket - Model 781</t>
  </si>
  <si>
    <t>ORD-10369</t>
  </si>
  <si>
    <t>Rice - Model 303</t>
  </si>
  <si>
    <t>ORD-10370</t>
  </si>
  <si>
    <t>04-Oct-2024</t>
  </si>
  <si>
    <t>Board Game - Model 109</t>
  </si>
  <si>
    <t>ORD-10371</t>
  </si>
  <si>
    <t>Fiction - Model 161</t>
  </si>
  <si>
    <t>ORD-10372</t>
  </si>
  <si>
    <t>Moisturizer - Model 805</t>
  </si>
  <si>
    <t>ORD-10373</t>
  </si>
  <si>
    <t>Lamp - Model 456</t>
  </si>
  <si>
    <t>ORD-10374</t>
  </si>
  <si>
    <t>18-May-2024</t>
  </si>
  <si>
    <t>Children - Model 100</t>
  </si>
  <si>
    <t>ORD-10375</t>
  </si>
  <si>
    <t>18-Nov-2024</t>
  </si>
  <si>
    <t>Board Game - Model 636</t>
  </si>
  <si>
    <t>ORD-10376</t>
  </si>
  <si>
    <t>06-Mar-2024</t>
  </si>
  <si>
    <t>Laptop - Model 209</t>
  </si>
  <si>
    <t>ORD-10377</t>
  </si>
  <si>
    <t>Sunscreen - Model 835</t>
  </si>
  <si>
    <t>ORD-10378</t>
  </si>
  <si>
    <t>Puzzle - Model 913</t>
  </si>
  <si>
    <t>ORD-10379</t>
  </si>
  <si>
    <t>Board Game - Model 297</t>
  </si>
  <si>
    <t>ORD-10380</t>
  </si>
  <si>
    <t>15-Nov-2024</t>
  </si>
  <si>
    <t>Action Figure - Model 270</t>
  </si>
  <si>
    <t>ORD-10381</t>
  </si>
  <si>
    <t>11-Sep-2024</t>
  </si>
  <si>
    <t>Children - Model 882</t>
  </si>
  <si>
    <t>ORD-10382</t>
  </si>
  <si>
    <t>Headphones - Model 710</t>
  </si>
  <si>
    <t>ORD-10383</t>
  </si>
  <si>
    <t>Cycle - Model 623</t>
  </si>
  <si>
    <t>ORD-10384</t>
  </si>
  <si>
    <t>08-Apr-2024</t>
  </si>
  <si>
    <t>Yoga Mat - Model 194</t>
  </si>
  <si>
    <t>ORD-10385</t>
  </si>
  <si>
    <t>23-Dec-2024</t>
  </si>
  <si>
    <t>Jacket - Model 757</t>
  </si>
  <si>
    <t>ORD-10386</t>
  </si>
  <si>
    <t>Jeans - Model 865</t>
  </si>
  <si>
    <t>ORD-10387</t>
  </si>
  <si>
    <t>Serum - Model 151</t>
  </si>
  <si>
    <t>ORD-10388</t>
  </si>
  <si>
    <t>Tablet - Model 508</t>
  </si>
  <si>
    <t>ORD-10389</t>
  </si>
  <si>
    <t>Sunscreen - Model 730</t>
  </si>
  <si>
    <t>ORD-10390</t>
  </si>
  <si>
    <t>Self-Help - Model 428</t>
  </si>
  <si>
    <t>ORD-10391</t>
  </si>
  <si>
    <t>07-Apr-2024</t>
  </si>
  <si>
    <t>Self-Help - Model 875</t>
  </si>
  <si>
    <t>ORD-10392</t>
  </si>
  <si>
    <t>Pulses - Model 123</t>
  </si>
  <si>
    <t>ORD-10393</t>
  </si>
  <si>
    <t>Smartwatch - Model 696</t>
  </si>
  <si>
    <t>ORD-10394</t>
  </si>
  <si>
    <t>03-Jan-2024</t>
  </si>
  <si>
    <t>Puzzle - Model 778</t>
  </si>
  <si>
    <t>ORD-10395</t>
  </si>
  <si>
    <t>Jeans - Model 303</t>
  </si>
  <si>
    <t>ORD-10396</t>
  </si>
  <si>
    <t>01-Mar-2024</t>
  </si>
  <si>
    <t>Textbook - Model 463</t>
  </si>
  <si>
    <t>ORD-10397</t>
  </si>
  <si>
    <t>Cricket Bat - Model 255</t>
  </si>
  <si>
    <t>ORD-10398</t>
  </si>
  <si>
    <t>Curtain - Model 419</t>
  </si>
  <si>
    <t>ORD-10399</t>
  </si>
  <si>
    <t>17-Dec-2024</t>
  </si>
  <si>
    <t>Curtain - Model 888</t>
  </si>
  <si>
    <t>ORD-10400</t>
  </si>
  <si>
    <t>24-Mar-2024</t>
  </si>
  <si>
    <t>Headphones - Model 523</t>
  </si>
  <si>
    <t>ORD-10401</t>
  </si>
  <si>
    <t>Tablet - Model 731</t>
  </si>
  <si>
    <t>ORD-10402</t>
  </si>
  <si>
    <t>17-Mar-2024</t>
  </si>
  <si>
    <t>Rice - Model 288</t>
  </si>
  <si>
    <t>ORD-10403</t>
  </si>
  <si>
    <t>24-Apr-2024</t>
  </si>
  <si>
    <t>Serum - Model 167</t>
  </si>
  <si>
    <t>ORD-10404</t>
  </si>
  <si>
    <t>24-Oct-2024</t>
  </si>
  <si>
    <t>Puzzle - Model 503</t>
  </si>
  <si>
    <t>ORD-10405</t>
  </si>
  <si>
    <t>Action Figure - Model 671</t>
  </si>
  <si>
    <t>ORD-10406</t>
  </si>
  <si>
    <t>14-Mar-2024</t>
  </si>
  <si>
    <t>Cycle - Model 155</t>
  </si>
  <si>
    <t>ORD-10407</t>
  </si>
  <si>
    <t>Curtain - Model 523</t>
  </si>
  <si>
    <t>ORD-10408</t>
  </si>
  <si>
    <t>23-Nov-2024</t>
  </si>
  <si>
    <t>Mixer - Model 193</t>
  </si>
  <si>
    <t>ORD-10409</t>
  </si>
  <si>
    <t>Laptop - Model 443</t>
  </si>
  <si>
    <t>ORD-10410</t>
  </si>
  <si>
    <t>10-Aug-2024</t>
  </si>
  <si>
    <t>Mixer - Model 234</t>
  </si>
  <si>
    <t>ORD-10411</t>
  </si>
  <si>
    <t>Sunscreen - Model 775</t>
  </si>
  <si>
    <t>ORD-10412</t>
  </si>
  <si>
    <t>Pressure Cooker - Model 156</t>
  </si>
  <si>
    <t>ORD-10413</t>
  </si>
  <si>
    <t>Bedsheet - Model 725</t>
  </si>
  <si>
    <t>ORD-10414</t>
  </si>
  <si>
    <t>Shoes - Model 963</t>
  </si>
  <si>
    <t>ORD-10415</t>
  </si>
  <si>
    <t>Mobile - Model 685</t>
  </si>
  <si>
    <t>ORD-10416</t>
  </si>
  <si>
    <t>Self-Help - Model 729</t>
  </si>
  <si>
    <t>ORD-10417</t>
  </si>
  <si>
    <t>01-Apr-2024</t>
  </si>
  <si>
    <t>Kurta - Model 576</t>
  </si>
  <si>
    <t>ORD-10418</t>
  </si>
  <si>
    <t>Yoga Mat - Model 909</t>
  </si>
  <si>
    <t>ORD-10419</t>
  </si>
  <si>
    <t>Pressure Cooker - Model 438</t>
  </si>
  <si>
    <t>ORD-10420</t>
  </si>
  <si>
    <t>Action Figure - Model 955</t>
  </si>
  <si>
    <t>ORD-10421</t>
  </si>
  <si>
    <t>03-Jun-2024</t>
  </si>
  <si>
    <t>Bedsheet - Model 960</t>
  </si>
  <si>
    <t>ORD-10422</t>
  </si>
  <si>
    <t>Fiction - Model 378</t>
  </si>
  <si>
    <t>ORD-10423</t>
  </si>
  <si>
    <t>26-Jun-2024</t>
  </si>
  <si>
    <t>Laptop - Model 194</t>
  </si>
  <si>
    <t>ORD-10424</t>
  </si>
  <si>
    <t>05-Jun-2024</t>
  </si>
  <si>
    <t>Jacket - Model 792</t>
  </si>
  <si>
    <t>ORD-10425</t>
  </si>
  <si>
    <t>Saree - Model 578</t>
  </si>
  <si>
    <t>ORD-10426</t>
  </si>
  <si>
    <t>Yoga Mat - Model 645</t>
  </si>
  <si>
    <t>ORD-10427</t>
  </si>
  <si>
    <t>Textbook - Model 244</t>
  </si>
  <si>
    <t>ORD-10428</t>
  </si>
  <si>
    <t>Shoes - Model 155</t>
  </si>
  <si>
    <t>ORD-10429</t>
  </si>
  <si>
    <t>Shoes - Model 681</t>
  </si>
  <si>
    <t>ORD-10430</t>
  </si>
  <si>
    <t>Yoga Mat - Model 501</t>
  </si>
  <si>
    <t>ORD-10431</t>
  </si>
  <si>
    <t>10-Mar-2024</t>
  </si>
  <si>
    <t>Comic - Model 688</t>
  </si>
  <si>
    <t>ORD-10432</t>
  </si>
  <si>
    <t>Board Game - Model 735</t>
  </si>
  <si>
    <t>ORD-10433</t>
  </si>
  <si>
    <t>Comic - Model 810</t>
  </si>
  <si>
    <t>ORD-10434</t>
  </si>
  <si>
    <t>Shoes - Model 280</t>
  </si>
  <si>
    <t>ORD-10435</t>
  </si>
  <si>
    <t>Serum - Model 694</t>
  </si>
  <si>
    <t>ORD-10436</t>
  </si>
  <si>
    <t>Dumbbells - Model 835</t>
  </si>
  <si>
    <t>ORD-10437</t>
  </si>
  <si>
    <t>01-Jan-2024</t>
  </si>
  <si>
    <t>Fiction - Model 981</t>
  </si>
  <si>
    <t>ORD-10438</t>
  </si>
  <si>
    <t>Curtain - Model 242</t>
  </si>
  <si>
    <t>ORD-10439</t>
  </si>
  <si>
    <t>05-Jan-2024</t>
  </si>
  <si>
    <t>Pulses - Model 239</t>
  </si>
  <si>
    <t>ORD-10440</t>
  </si>
  <si>
    <t>Doll - Model 939</t>
  </si>
  <si>
    <t>ORD-10441</t>
  </si>
  <si>
    <t>Fiction - Model 138</t>
  </si>
  <si>
    <t>ORD-10442</t>
  </si>
  <si>
    <t>Jacket - Model 724</t>
  </si>
  <si>
    <t>ORD-10443</t>
  </si>
  <si>
    <t>Smartwatch - Model 564</t>
  </si>
  <si>
    <t>ORD-10444</t>
  </si>
  <si>
    <t>Cycle - Model 366</t>
  </si>
  <si>
    <t>ORD-10445</t>
  </si>
  <si>
    <t>Saree - Model 358</t>
  </si>
  <si>
    <t>ORD-10446</t>
  </si>
  <si>
    <t>Self-Help - Model 367</t>
  </si>
  <si>
    <t>ORD-10447</t>
  </si>
  <si>
    <t>Remote Car - Model 343</t>
  </si>
  <si>
    <t>ORD-10448</t>
  </si>
  <si>
    <t>Spices - Model 339</t>
  </si>
  <si>
    <t>ORD-10449</t>
  </si>
  <si>
    <t>Mobile - Model 644</t>
  </si>
  <si>
    <t>ORD-10450</t>
  </si>
  <si>
    <t>Sunscreen - Model 888</t>
  </si>
  <si>
    <t>ORD-10451</t>
  </si>
  <si>
    <t>Shoes - Model 459</t>
  </si>
  <si>
    <t>ORD-10452</t>
  </si>
  <si>
    <t>Kurta - Model 188</t>
  </si>
  <si>
    <t>ORD-10453</t>
  </si>
  <si>
    <t>10-May-2024</t>
  </si>
  <si>
    <t>Atta - Model 754</t>
  </si>
  <si>
    <t>ORD-10454</t>
  </si>
  <si>
    <t>Puzzle - Model 161</t>
  </si>
  <si>
    <t>ORD-10455</t>
  </si>
  <si>
    <t>18-Mar-2024</t>
  </si>
  <si>
    <t>Board Game - Model 728</t>
  </si>
  <si>
    <t>ORD-10456</t>
  </si>
  <si>
    <t>05-Aug-2024</t>
  </si>
  <si>
    <t>Mobile - Model 780</t>
  </si>
  <si>
    <t>ORD-10457</t>
  </si>
  <si>
    <t>Jacket - Model 331</t>
  </si>
  <si>
    <t>ORD-10458</t>
  </si>
  <si>
    <t>21-Jan-2024</t>
  </si>
  <si>
    <t>Saree - Model 647</t>
  </si>
  <si>
    <t>ORD-10459</t>
  </si>
  <si>
    <t>Action Figure - Model 745</t>
  </si>
  <si>
    <t>ORD-10460</t>
  </si>
  <si>
    <t>Action Figure - Model 911</t>
  </si>
  <si>
    <t>ORD-10461</t>
  </si>
  <si>
    <t>02-Dec-2024</t>
  </si>
  <si>
    <t>Action Figure - Model 316</t>
  </si>
  <si>
    <t>ORD-10462</t>
  </si>
  <si>
    <t>Smartwatch - Model 733</t>
  </si>
  <si>
    <t>ORD-10463</t>
  </si>
  <si>
    <t>06-Oct-2024</t>
  </si>
  <si>
    <t>Kurta - Model 216</t>
  </si>
  <si>
    <t>ORD-10464</t>
  </si>
  <si>
    <t>Bedsheet - Model 956</t>
  </si>
  <si>
    <t>ORD-10465</t>
  </si>
  <si>
    <t>Sunscreen - Model 141</t>
  </si>
  <si>
    <t>ORD-10466</t>
  </si>
  <si>
    <t>23-Feb-2024</t>
  </si>
  <si>
    <t>Dumbbells - Model 810</t>
  </si>
  <si>
    <t>ORD-10467</t>
  </si>
  <si>
    <t>Spices - Model 190</t>
  </si>
  <si>
    <t>ORD-10468</t>
  </si>
  <si>
    <t>Perfume - Model 888</t>
  </si>
  <si>
    <t>ORD-10469</t>
  </si>
  <si>
    <t>Textbook - Model 314</t>
  </si>
  <si>
    <t>ORD-10470</t>
  </si>
  <si>
    <t>16-Jan-2024</t>
  </si>
  <si>
    <t>Kurta - Model 340</t>
  </si>
  <si>
    <t>ORD-10471</t>
  </si>
  <si>
    <t>Board Game - Model 484</t>
  </si>
  <si>
    <t>ORD-10472</t>
  </si>
  <si>
    <t>Lipstick - Model 376</t>
  </si>
  <si>
    <t>ORD-10473</t>
  </si>
  <si>
    <t>Cycle - Model 260</t>
  </si>
  <si>
    <t>ORD-10474</t>
  </si>
  <si>
    <t>Rice - Model 114</t>
  </si>
  <si>
    <t>ORD-10475</t>
  </si>
  <si>
    <t>Smartwatch - Model 851</t>
  </si>
  <si>
    <t>ORD-10476</t>
  </si>
  <si>
    <t>Smartwatch - Model 323</t>
  </si>
  <si>
    <t>ORD-10477</t>
  </si>
  <si>
    <t>Smartwatch - Model 574</t>
  </si>
  <si>
    <t>ORD-10478</t>
  </si>
  <si>
    <t>11-Dec-2024</t>
  </si>
  <si>
    <t>Headphones - Model 536</t>
  </si>
  <si>
    <t>ORD-10479</t>
  </si>
  <si>
    <t>12-Nov-2024</t>
  </si>
  <si>
    <t>Mobile - Model 492</t>
  </si>
  <si>
    <t>ORD-10480</t>
  </si>
  <si>
    <t>11-Mar-2024</t>
  </si>
  <si>
    <t>Sunscreen - Model 216</t>
  </si>
  <si>
    <t>ORD-10481</t>
  </si>
  <si>
    <t>Shoes - Model 164</t>
  </si>
  <si>
    <t>ORD-10482</t>
  </si>
  <si>
    <t>Fiction - Model 292</t>
  </si>
  <si>
    <t>ORD-10483</t>
  </si>
  <si>
    <t>Pressure Cooker - Model 633</t>
  </si>
  <si>
    <t>ORD-10484</t>
  </si>
  <si>
    <t>07-May-2024</t>
  </si>
  <si>
    <t>Kurta - Model 992</t>
  </si>
  <si>
    <t>ORD-10485</t>
  </si>
  <si>
    <t>27-Sep-2024</t>
  </si>
  <si>
    <t>Pulses - Model 411</t>
  </si>
  <si>
    <t>ORD-10486</t>
  </si>
  <si>
    <t>Textbook - Model 566</t>
  </si>
  <si>
    <t>ORD-10487</t>
  </si>
  <si>
    <t>Curtain - Model 366</t>
  </si>
  <si>
    <t>ORD-10488</t>
  </si>
  <si>
    <t>Shoes - Model 125</t>
  </si>
  <si>
    <t>ORD-10489</t>
  </si>
  <si>
    <t>10-Dec-2024</t>
  </si>
  <si>
    <t>Rice - Model 872</t>
  </si>
  <si>
    <t>ORD-10490</t>
  </si>
  <si>
    <t>Saree - Model 125</t>
  </si>
  <si>
    <t>ORD-10491</t>
  </si>
  <si>
    <t>Mobile - Model 651</t>
  </si>
  <si>
    <t>ORD-10492</t>
  </si>
  <si>
    <t>Curtain - Model 478</t>
  </si>
  <si>
    <t>ORD-10493</t>
  </si>
  <si>
    <t>Remote Car - Model 395</t>
  </si>
  <si>
    <t>ORD-10494</t>
  </si>
  <si>
    <t>Jacket - Model 874</t>
  </si>
  <si>
    <t>ORD-10495</t>
  </si>
  <si>
    <t>Curtain - Model 396</t>
  </si>
  <si>
    <t>ORD-10496</t>
  </si>
  <si>
    <t>Yoga Mat - Model 755</t>
  </si>
  <si>
    <t>ORD-10497</t>
  </si>
  <si>
    <t>Comic - Model 592</t>
  </si>
  <si>
    <t>ORD-10498</t>
  </si>
  <si>
    <t>Cricket Bat - Model 695</t>
  </si>
  <si>
    <t>ORD-10499</t>
  </si>
  <si>
    <t>Yoga Mat - Model 642</t>
  </si>
  <si>
    <t>ORD-10500</t>
  </si>
  <si>
    <t>26-Nov-2024</t>
  </si>
  <si>
    <t>Yoga Mat - Model 801</t>
  </si>
  <si>
    <t>ORD-10501</t>
  </si>
  <si>
    <t>Jeans - Model 258</t>
  </si>
  <si>
    <t>ORD-10502</t>
  </si>
  <si>
    <t>Shoes - Model 571</t>
  </si>
  <si>
    <t>ORD-10503</t>
  </si>
  <si>
    <t>17-Oct-2024</t>
  </si>
  <si>
    <t>Self-Help - Model 826</t>
  </si>
  <si>
    <t>ORD-10504</t>
  </si>
  <si>
    <t>Kurta - Model 119</t>
  </si>
  <si>
    <t>ORD-10505</t>
  </si>
  <si>
    <t>Shoes - Model 872</t>
  </si>
  <si>
    <t>ORD-10506</t>
  </si>
  <si>
    <t>Textbook - Model 264</t>
  </si>
  <si>
    <t>ORD-10507</t>
  </si>
  <si>
    <t>Mobile - Model 319</t>
  </si>
  <si>
    <t>ORD-10508</t>
  </si>
  <si>
    <t>Perfume - Model 215</t>
  </si>
  <si>
    <t>ORD-10509</t>
  </si>
  <si>
    <t>Shoes - Model 390</t>
  </si>
  <si>
    <t>ORD-10510</t>
  </si>
  <si>
    <t>Shoes - Model 795</t>
  </si>
  <si>
    <t>ORD-10511</t>
  </si>
  <si>
    <t>13-Mar-2024</t>
  </si>
  <si>
    <t>Doll - Model 204</t>
  </si>
  <si>
    <t>ORD-10512</t>
  </si>
  <si>
    <t>Cycle - Model 707</t>
  </si>
  <si>
    <t>ORD-10513</t>
  </si>
  <si>
    <t>Dumbbells - Model 609</t>
  </si>
  <si>
    <t>ORD-10514</t>
  </si>
  <si>
    <t>Bedsheet - Model 736</t>
  </si>
  <si>
    <t>ORD-10515</t>
  </si>
  <si>
    <t>Cycle - Model 451</t>
  </si>
  <si>
    <t>ORD-10516</t>
  </si>
  <si>
    <t>Atta - Model 133</t>
  </si>
  <si>
    <t>ORD-10517</t>
  </si>
  <si>
    <t>Jacket - Model 791</t>
  </si>
  <si>
    <t>ORD-10518</t>
  </si>
  <si>
    <t>Textbook - Model 428</t>
  </si>
  <si>
    <t>ORD-10519</t>
  </si>
  <si>
    <t>Shoes - Model 453</t>
  </si>
  <si>
    <t>ORD-10520</t>
  </si>
  <si>
    <t>04-May-2024</t>
  </si>
  <si>
    <t>Self-Help - Model 120</t>
  </si>
  <si>
    <t>ORD-10521</t>
  </si>
  <si>
    <t>Children - Model 684</t>
  </si>
  <si>
    <t>ORD-10522</t>
  </si>
  <si>
    <t>Lamp - Model 406</t>
  </si>
  <si>
    <t>ORD-10523</t>
  </si>
  <si>
    <t>Board Game - Model 739</t>
  </si>
  <si>
    <t>ORD-10524</t>
  </si>
  <si>
    <t>21-Feb-2024</t>
  </si>
  <si>
    <t>Cycle - Model 923</t>
  </si>
  <si>
    <t>ORD-10525</t>
  </si>
  <si>
    <t>Lamp - Model 611</t>
  </si>
  <si>
    <t>ORD-10526</t>
  </si>
  <si>
    <t>Lipstick - Model 573</t>
  </si>
  <si>
    <t>ORD-10527</t>
  </si>
  <si>
    <t>Puzzle - Model 943</t>
  </si>
  <si>
    <t>ORD-10528</t>
  </si>
  <si>
    <t>Spices - Model 546</t>
  </si>
  <si>
    <t>ORD-10529</t>
  </si>
  <si>
    <t>Atta - Model 156</t>
  </si>
  <si>
    <t>ORD-10530</t>
  </si>
  <si>
    <t>27-Jul-2024</t>
  </si>
  <si>
    <t>Pressure Cooker - Model 214</t>
  </si>
  <si>
    <t>ORD-10531</t>
  </si>
  <si>
    <t>Saree - Model 437</t>
  </si>
  <si>
    <t>ORD-10532</t>
  </si>
  <si>
    <t>14-Aug-2024</t>
  </si>
  <si>
    <t>Cycle - Model 157</t>
  </si>
  <si>
    <t>ORD-10533</t>
  </si>
  <si>
    <t>Rice - Model 941</t>
  </si>
  <si>
    <t>ORD-10534</t>
  </si>
  <si>
    <t>Puzzle - Model 754</t>
  </si>
  <si>
    <t>ORD-10535</t>
  </si>
  <si>
    <t>Lipstick - Model 315</t>
  </si>
  <si>
    <t>ORD-10536</t>
  </si>
  <si>
    <t>16-Aug-2024</t>
  </si>
  <si>
    <t>Puzzle - Model 834</t>
  </si>
  <si>
    <t>ORD-10537</t>
  </si>
  <si>
    <t>Mobile - Model 756</t>
  </si>
  <si>
    <t>ORD-10538</t>
  </si>
  <si>
    <t>ORD-10539</t>
  </si>
  <si>
    <t>03-Apr-2024</t>
  </si>
  <si>
    <t>Puzzle - Model 286</t>
  </si>
  <si>
    <t>ORD-10540</t>
  </si>
  <si>
    <t>Lipstick - Model 818</t>
  </si>
  <si>
    <t>ORD-10541</t>
  </si>
  <si>
    <t>Remote Car - Model 947</t>
  </si>
  <si>
    <t>ORD-10542</t>
  </si>
  <si>
    <t>Sunscreen - Model 320</t>
  </si>
  <si>
    <t>ORD-10543</t>
  </si>
  <si>
    <t>12-Apr-2024</t>
  </si>
  <si>
    <t>Atta - Model 110</t>
  </si>
  <si>
    <t>ORD-10544</t>
  </si>
  <si>
    <t>Jacket - Model 160</t>
  </si>
  <si>
    <t>ORD-10545</t>
  </si>
  <si>
    <t>Puzzle - Model 504</t>
  </si>
  <si>
    <t>ORD-10546</t>
  </si>
  <si>
    <t>Saree - Model 827</t>
  </si>
  <si>
    <t>ORD-10547</t>
  </si>
  <si>
    <t>Cycle - Model 420</t>
  </si>
  <si>
    <t>ORD-10548</t>
  </si>
  <si>
    <t>Smartwatch - Model 366</t>
  </si>
  <si>
    <t>ORD-10549</t>
  </si>
  <si>
    <t>Jeans - Model 226</t>
  </si>
  <si>
    <t>ORD-10550</t>
  </si>
  <si>
    <t>Tablet - Model 885</t>
  </si>
  <si>
    <t>ORD-10551</t>
  </si>
  <si>
    <t>Puzzle - Model 704</t>
  </si>
  <si>
    <t>ORD-10552</t>
  </si>
  <si>
    <t>Fiction - Model 771</t>
  </si>
  <si>
    <t>ORD-10553</t>
  </si>
  <si>
    <t>Fiction - Model 861</t>
  </si>
  <si>
    <t>ORD-10554</t>
  </si>
  <si>
    <t>Puzzle - Model 762</t>
  </si>
  <si>
    <t>ORD-10555</t>
  </si>
  <si>
    <t>Perfume - Model 556</t>
  </si>
  <si>
    <t>ORD-10556</t>
  </si>
  <si>
    <t>Tablet - Model 449</t>
  </si>
  <si>
    <t>ORD-10557</t>
  </si>
  <si>
    <t>Rice - Model 252</t>
  </si>
  <si>
    <t>ORD-10558</t>
  </si>
  <si>
    <t>Action Figure - Model 575</t>
  </si>
  <si>
    <t>ORD-10559</t>
  </si>
  <si>
    <t>Shoes - Model 997</t>
  </si>
  <si>
    <t>ORD-10560</t>
  </si>
  <si>
    <t>Mixer - Model 864</t>
  </si>
  <si>
    <t>ORD-10561</t>
  </si>
  <si>
    <t>Doll - Model 843</t>
  </si>
  <si>
    <t>ORD-10562</t>
  </si>
  <si>
    <t>Moisturizer - Model 935</t>
  </si>
  <si>
    <t>ORD-10563</t>
  </si>
  <si>
    <t>Saree - Model 888</t>
  </si>
  <si>
    <t>ORD-10564</t>
  </si>
  <si>
    <t>Serum - Model 401</t>
  </si>
  <si>
    <t>ORD-10565</t>
  </si>
  <si>
    <t>Shoes - Model 599</t>
  </si>
  <si>
    <t>ORD-10566</t>
  </si>
  <si>
    <t>14-Jan-2024</t>
  </si>
  <si>
    <t>Comic - Model 165</t>
  </si>
  <si>
    <t>ORD-10567</t>
  </si>
  <si>
    <t>Perfume - Model 452</t>
  </si>
  <si>
    <t>ORD-10568</t>
  </si>
  <si>
    <t>ORD-10569</t>
  </si>
  <si>
    <t>04-Aug-2024</t>
  </si>
  <si>
    <t>Remote Car - Model 410</t>
  </si>
  <si>
    <t>ORD-10570</t>
  </si>
  <si>
    <t>02-Sep-2024</t>
  </si>
  <si>
    <t>Saree - Model 540</t>
  </si>
  <si>
    <t>ORD-10571</t>
  </si>
  <si>
    <t>Lamp - Model 718</t>
  </si>
  <si>
    <t>ORD-10572</t>
  </si>
  <si>
    <t>Jacket - Model 142</t>
  </si>
  <si>
    <t>ORD-10573</t>
  </si>
  <si>
    <t>Jeans - Model 762</t>
  </si>
  <si>
    <t>ORD-10574</t>
  </si>
  <si>
    <t>Mixer - Model 372</t>
  </si>
  <si>
    <t>ORD-10575</t>
  </si>
  <si>
    <t>Remote Car - Model 972</t>
  </si>
  <si>
    <t>ORD-10576</t>
  </si>
  <si>
    <t>Curtain - Model 162</t>
  </si>
  <si>
    <t>ORD-10577</t>
  </si>
  <si>
    <t>Yoga Mat - Model 452</t>
  </si>
  <si>
    <t>ORD-10578</t>
  </si>
  <si>
    <t>Rice - Model 931</t>
  </si>
  <si>
    <t>ORD-10579</t>
  </si>
  <si>
    <t>Cycle - Model 448</t>
  </si>
  <si>
    <t>ORD-10580</t>
  </si>
  <si>
    <t>24-Feb-2024</t>
  </si>
  <si>
    <t>Headphones - Model 365</t>
  </si>
  <si>
    <t>ORD-10581</t>
  </si>
  <si>
    <t>Lipstick - Model 406</t>
  </si>
  <si>
    <t>ORD-10582</t>
  </si>
  <si>
    <t>Jeans - Model 828</t>
  </si>
  <si>
    <t>ORD-10583</t>
  </si>
  <si>
    <t>Puzzle - Model 698</t>
  </si>
  <si>
    <t>ORD-10584</t>
  </si>
  <si>
    <t>Oil - Model 821</t>
  </si>
  <si>
    <t>ORD-10585</t>
  </si>
  <si>
    <t>Action Figure - Model 223</t>
  </si>
  <si>
    <t>ORD-10586</t>
  </si>
  <si>
    <t>05-Mar-2024</t>
  </si>
  <si>
    <t>Action Figure - Model 412</t>
  </si>
  <si>
    <t>ORD-10587</t>
  </si>
  <si>
    <t>Rice - Model 900</t>
  </si>
  <si>
    <t>ORD-10588</t>
  </si>
  <si>
    <t>Fiction - Model 919</t>
  </si>
  <si>
    <t>ORD-10589</t>
  </si>
  <si>
    <t>Tablet - Model 745</t>
  </si>
  <si>
    <t>ORD-10590</t>
  </si>
  <si>
    <t>Perfume - Model 614</t>
  </si>
  <si>
    <t>ORD-10591</t>
  </si>
  <si>
    <t>Jacket - Model 721</t>
  </si>
  <si>
    <t>ORD-10592</t>
  </si>
  <si>
    <t>Shoes - Model 217</t>
  </si>
  <si>
    <t>ORD-10593</t>
  </si>
  <si>
    <t>20-Jan-2024</t>
  </si>
  <si>
    <t>Self-Help - Model 127</t>
  </si>
  <si>
    <t>ORD-10594</t>
  </si>
  <si>
    <t>Sunscreen - Model 700</t>
  </si>
  <si>
    <t>ORD-10595</t>
  </si>
  <si>
    <t>Board Game - Model 119</t>
  </si>
  <si>
    <t>ORD-10596</t>
  </si>
  <si>
    <t>28-Feb-2024</t>
  </si>
  <si>
    <t>ORD-10597</t>
  </si>
  <si>
    <t>ORD-10598</t>
  </si>
  <si>
    <t>Saree - Model 191</t>
  </si>
  <si>
    <t>ORD-10599</t>
  </si>
  <si>
    <t>Textbook - Model 870</t>
  </si>
  <si>
    <t>ORD-10600</t>
  </si>
  <si>
    <t>Tablet - Model 587</t>
  </si>
  <si>
    <t>ORD-10601</t>
  </si>
  <si>
    <t>Jacket - Model 131</t>
  </si>
  <si>
    <t>ORD-10602</t>
  </si>
  <si>
    <t>Rice - Model 297</t>
  </si>
  <si>
    <t>ORD-10603</t>
  </si>
  <si>
    <t>Serum - Model 605</t>
  </si>
  <si>
    <t>ORD-10604</t>
  </si>
  <si>
    <t>Cycle - Model 612</t>
  </si>
  <si>
    <t>ORD-10605</t>
  </si>
  <si>
    <t>Bedsheet - Model 683</t>
  </si>
  <si>
    <t>ORD-10606</t>
  </si>
  <si>
    <t>Action Figure - Model 974</t>
  </si>
  <si>
    <t>ORD-10607</t>
  </si>
  <si>
    <t>Headphones - Model 530</t>
  </si>
  <si>
    <t>ORD-10608</t>
  </si>
  <si>
    <t>14-Dec-2024</t>
  </si>
  <si>
    <t>Jeans - Model 301</t>
  </si>
  <si>
    <t>ORD-10609</t>
  </si>
  <si>
    <t>27-Jun-2024</t>
  </si>
  <si>
    <t>Cricket Bat - Model 210</t>
  </si>
  <si>
    <t>ORD-10610</t>
  </si>
  <si>
    <t>Shoes - Model 692</t>
  </si>
  <si>
    <t>ORD-10611</t>
  </si>
  <si>
    <t>Cycle - Model 741</t>
  </si>
  <si>
    <t>ORD-10612</t>
  </si>
  <si>
    <t>Smartwatch - Model 493</t>
  </si>
  <si>
    <t>ORD-10613</t>
  </si>
  <si>
    <t>04-Apr-2024</t>
  </si>
  <si>
    <t>Kurta - Model 709</t>
  </si>
  <si>
    <t>ORD-10614</t>
  </si>
  <si>
    <t>Pressure Cooker - Model 240</t>
  </si>
  <si>
    <t>ORD-10615</t>
  </si>
  <si>
    <t>Rice - Model 717</t>
  </si>
  <si>
    <t>ORD-10616</t>
  </si>
  <si>
    <t>28-Sep-2024</t>
  </si>
  <si>
    <t>Smartwatch - Model 452</t>
  </si>
  <si>
    <t>ORD-10617</t>
  </si>
  <si>
    <t>Comic - Model 679</t>
  </si>
  <si>
    <t>ORD-10618</t>
  </si>
  <si>
    <t>Perfume - Model 738</t>
  </si>
  <si>
    <t>ORD-10619</t>
  </si>
  <si>
    <t>Mobile - Model 466</t>
  </si>
  <si>
    <t>ORD-10620</t>
  </si>
  <si>
    <t>Pressure Cooker - Model 368</t>
  </si>
  <si>
    <t>ORD-10621</t>
  </si>
  <si>
    <t>Action Figure - Model 446</t>
  </si>
  <si>
    <t>ORD-10622</t>
  </si>
  <si>
    <t>Kurta - Model 247</t>
  </si>
  <si>
    <t>ORD-10623</t>
  </si>
  <si>
    <t>Cricket Bat - Model 435</t>
  </si>
  <si>
    <t>ORD-10624</t>
  </si>
  <si>
    <t>Spices - Model 166</t>
  </si>
  <si>
    <t>ORD-10625</t>
  </si>
  <si>
    <t>Pulses - Model 585</t>
  </si>
  <si>
    <t>ORD-10626</t>
  </si>
  <si>
    <t>Lipstick - Model 535</t>
  </si>
  <si>
    <t>ORD-10627</t>
  </si>
  <si>
    <t>Smartwatch - Model 624</t>
  </si>
  <si>
    <t>ORD-10628</t>
  </si>
  <si>
    <t>Shoes - Model 467</t>
  </si>
  <si>
    <t>ORD-10629</t>
  </si>
  <si>
    <t>Lipstick - Model 301</t>
  </si>
  <si>
    <t>ORD-10630</t>
  </si>
  <si>
    <t>24-Dec-2024</t>
  </si>
  <si>
    <t>Shoes - Model 888</t>
  </si>
  <si>
    <t>ORD-10631</t>
  </si>
  <si>
    <t>Curtain - Model 333</t>
  </si>
  <si>
    <t>ORD-10632</t>
  </si>
  <si>
    <t>Board Game - Model 549</t>
  </si>
  <si>
    <t>ORD-10633</t>
  </si>
  <si>
    <t>Perfume - Model 535</t>
  </si>
  <si>
    <t>ORD-10634</t>
  </si>
  <si>
    <t>Remote Car - Model 309</t>
  </si>
  <si>
    <t>ORD-10635</t>
  </si>
  <si>
    <t>Mixer - Model 946</t>
  </si>
  <si>
    <t>ORD-10636</t>
  </si>
  <si>
    <t>Headphones - Model 630</t>
  </si>
  <si>
    <t>ORD-10637</t>
  </si>
  <si>
    <t>Serum - Model 991</t>
  </si>
  <si>
    <t>ORD-10638</t>
  </si>
  <si>
    <t>Cricket Bat - Model 107</t>
  </si>
  <si>
    <t>ORD-10639</t>
  </si>
  <si>
    <t>Saree - Model 761</t>
  </si>
  <si>
    <t>ORD-10640</t>
  </si>
  <si>
    <t>Remote Car - Model 493</t>
  </si>
  <si>
    <t>ORD-10641</t>
  </si>
  <si>
    <t>22-May-2024</t>
  </si>
  <si>
    <t>Jeans - Model 605</t>
  </si>
  <si>
    <t>ORD-10642</t>
  </si>
  <si>
    <t>Smartwatch - Model 127</t>
  </si>
  <si>
    <t>ORD-10643</t>
  </si>
  <si>
    <t>Pulses - Model 572</t>
  </si>
  <si>
    <t>ORD-10644</t>
  </si>
  <si>
    <t>Jeans - Model 401</t>
  </si>
  <si>
    <t>ORD-10645</t>
  </si>
  <si>
    <t>Tablet - Model 321</t>
  </si>
  <si>
    <t>ORD-10646</t>
  </si>
  <si>
    <t>Mobile - Model 890</t>
  </si>
  <si>
    <t>ORD-10647</t>
  </si>
  <si>
    <t>Jeans - Model 198</t>
  </si>
  <si>
    <t>ORD-10648</t>
  </si>
  <si>
    <t>Jeans - Model 318</t>
  </si>
  <si>
    <t>ORD-10649</t>
  </si>
  <si>
    <t>Fiction - Model 168</t>
  </si>
  <si>
    <t>ORD-10650</t>
  </si>
  <si>
    <t>Shoes - Model 714</t>
  </si>
  <si>
    <t>ORD-10651</t>
  </si>
  <si>
    <t>Tablet - Model 699</t>
  </si>
  <si>
    <t>ORD-10652</t>
  </si>
  <si>
    <t>Perfume - Model 875</t>
  </si>
  <si>
    <t>ORD-10653</t>
  </si>
  <si>
    <t>Rice - Model 237</t>
  </si>
  <si>
    <t>ORD-10654</t>
  </si>
  <si>
    <t>Self-Help - Model 310</t>
  </si>
  <si>
    <t>ORD-10655</t>
  </si>
  <si>
    <t>Atta - Model 166</t>
  </si>
  <si>
    <t>ORD-10656</t>
  </si>
  <si>
    <t>Shoes - Model 842</t>
  </si>
  <si>
    <t>ORD-10657</t>
  </si>
  <si>
    <t>Dumbbells - Model 181</t>
  </si>
  <si>
    <t>ORD-10658</t>
  </si>
  <si>
    <t>Remote Car - Model 974</t>
  </si>
  <si>
    <t>ORD-10659</t>
  </si>
  <si>
    <t>20-Sep-2024</t>
  </si>
  <si>
    <t>Atta - Model 441</t>
  </si>
  <si>
    <t>ORD-10660</t>
  </si>
  <si>
    <t>24-Jul-2024</t>
  </si>
  <si>
    <t>Children - Model 601</t>
  </si>
  <si>
    <t>ORD-10661</t>
  </si>
  <si>
    <t>Comic - Model 826</t>
  </si>
  <si>
    <t>ORD-10662</t>
  </si>
  <si>
    <t>Laptop - Model 367</t>
  </si>
  <si>
    <t>ORD-10663</t>
  </si>
  <si>
    <t>Remote Car - Model 823</t>
  </si>
  <si>
    <t>ORD-10664</t>
  </si>
  <si>
    <t>Doll - Model 415</t>
  </si>
  <si>
    <t>ORD-10665</t>
  </si>
  <si>
    <t>Shoes - Model 272</t>
  </si>
  <si>
    <t>ORD-10666</t>
  </si>
  <si>
    <t>Pressure Cooker - Model 598</t>
  </si>
  <si>
    <t>ORD-10667</t>
  </si>
  <si>
    <t>Remote Car - Model 741</t>
  </si>
  <si>
    <t>ORD-10668</t>
  </si>
  <si>
    <t>Atta - Model 109</t>
  </si>
  <si>
    <t>ORD-10669</t>
  </si>
  <si>
    <t>Dumbbells - Model 584</t>
  </si>
  <si>
    <t>ORD-10670</t>
  </si>
  <si>
    <t>Headphones - Model 994</t>
  </si>
  <si>
    <t>ORD-10671</t>
  </si>
  <si>
    <t>Lipstick - Model 562</t>
  </si>
  <si>
    <t>ORD-10672</t>
  </si>
  <si>
    <t>Children - Model 339</t>
  </si>
  <si>
    <t>ORD-10673</t>
  </si>
  <si>
    <t>Puzzle - Model 721</t>
  </si>
  <si>
    <t>ORD-10674</t>
  </si>
  <si>
    <t>27-May-2024</t>
  </si>
  <si>
    <t>Oil - Model 556</t>
  </si>
  <si>
    <t>ORD-10675</t>
  </si>
  <si>
    <t>Children - Model 884</t>
  </si>
  <si>
    <t>ORD-10676</t>
  </si>
  <si>
    <t>Self-Help - Model 689</t>
  </si>
  <si>
    <t>ORD-10677</t>
  </si>
  <si>
    <t>26-Jul-2024</t>
  </si>
  <si>
    <t>Serum - Model 365</t>
  </si>
  <si>
    <t>ORD-10678</t>
  </si>
  <si>
    <t>Headphones - Model 163</t>
  </si>
  <si>
    <t>ORD-10679</t>
  </si>
  <si>
    <t>Action Figure - Model 651</t>
  </si>
  <si>
    <t>ORD-10680</t>
  </si>
  <si>
    <t>Tablet - Model 427</t>
  </si>
  <si>
    <t>ORD-10681</t>
  </si>
  <si>
    <t>Action Figure - Model 929</t>
  </si>
  <si>
    <t>ORD-10682</t>
  </si>
  <si>
    <t>Puzzle - Model 934</t>
  </si>
  <si>
    <t>ORD-10683</t>
  </si>
  <si>
    <t>Sunscreen - Model 503</t>
  </si>
  <si>
    <t>ORD-10684</t>
  </si>
  <si>
    <t>Rice - Model 248</t>
  </si>
  <si>
    <t>ORD-10685</t>
  </si>
  <si>
    <t>Board Game - Model 157</t>
  </si>
  <si>
    <t>ORD-10686</t>
  </si>
  <si>
    <t>Board Game - Model 134</t>
  </si>
  <si>
    <t>ORD-10687</t>
  </si>
  <si>
    <t>Shoes - Model 985</t>
  </si>
  <si>
    <t>ORD-10688</t>
  </si>
  <si>
    <t>08-Sep-2024</t>
  </si>
  <si>
    <t>Tablet - Model 686</t>
  </si>
  <si>
    <t>ORD-10689</t>
  </si>
  <si>
    <t>Mixer - Model 433</t>
  </si>
  <si>
    <t>ORD-10690</t>
  </si>
  <si>
    <t>Jeans - Model 774</t>
  </si>
  <si>
    <t>ORD-10691</t>
  </si>
  <si>
    <t>Mixer - Model 675</t>
  </si>
  <si>
    <t>ORD-10692</t>
  </si>
  <si>
    <t>Shoes - Model 631</t>
  </si>
  <si>
    <t>ORD-10693</t>
  </si>
  <si>
    <t>Laptop - Model 137</t>
  </si>
  <si>
    <t>ORD-10694</t>
  </si>
  <si>
    <t>Action Figure - Model 663</t>
  </si>
  <si>
    <t>ORD-10695</t>
  </si>
  <si>
    <t>Moisturizer - Model 744</t>
  </si>
  <si>
    <t>ORD-10696</t>
  </si>
  <si>
    <t>13-Jul-2024</t>
  </si>
  <si>
    <t>Tablet - Model 353</t>
  </si>
  <si>
    <t>ORD-10697</t>
  </si>
  <si>
    <t>05-May-2024</t>
  </si>
  <si>
    <t>Lipstick - Model 110</t>
  </si>
  <si>
    <t>ORD-10698</t>
  </si>
  <si>
    <t>Atta - Model 641</t>
  </si>
  <si>
    <t>ORD-10699</t>
  </si>
  <si>
    <t>Remote Car - Model 706</t>
  </si>
  <si>
    <t>ORD-10700</t>
  </si>
  <si>
    <t>Self-Help - Model 794</t>
  </si>
  <si>
    <t>ORD-10701</t>
  </si>
  <si>
    <t>Lipstick - Model 750</t>
  </si>
  <si>
    <t>ORD-10702</t>
  </si>
  <si>
    <t>Cycle - Model 604</t>
  </si>
  <si>
    <t>ORD-10703</t>
  </si>
  <si>
    <t>Smartwatch - Model 819</t>
  </si>
  <si>
    <t>ORD-10704</t>
  </si>
  <si>
    <t>06-Aug-2024</t>
  </si>
  <si>
    <t>Serum - Model 176</t>
  </si>
  <si>
    <t>ORD-10705</t>
  </si>
  <si>
    <t>Saree - Model 406</t>
  </si>
  <si>
    <t>ORD-10706</t>
  </si>
  <si>
    <t>Smartwatch - Model 732</t>
  </si>
  <si>
    <t>ORD-10707</t>
  </si>
  <si>
    <t>Mobile - Model 541</t>
  </si>
  <si>
    <t>ORD-10708</t>
  </si>
  <si>
    <t>Pulses - Model 483</t>
  </si>
  <si>
    <t>ORD-10709</t>
  </si>
  <si>
    <t>Action Figure - Model 467</t>
  </si>
  <si>
    <t>ORD-10710</t>
  </si>
  <si>
    <t>Shoes - Model 531</t>
  </si>
  <si>
    <t>ORD-10711</t>
  </si>
  <si>
    <t>Kurta - Model 911</t>
  </si>
  <si>
    <t>ORD-10712</t>
  </si>
  <si>
    <t>Rice - Model 388</t>
  </si>
  <si>
    <t>ORD-10713</t>
  </si>
  <si>
    <t>Perfume - Model 303</t>
  </si>
  <si>
    <t>ORD-10714</t>
  </si>
  <si>
    <t>05-Feb-2024</t>
  </si>
  <si>
    <t>Action Figure - Model 380</t>
  </si>
  <si>
    <t>ORD-10715</t>
  </si>
  <si>
    <t>Children - Model 590</t>
  </si>
  <si>
    <t>ORD-10716</t>
  </si>
  <si>
    <t>Mobile - Model 153</t>
  </si>
  <si>
    <t>ORD-10717</t>
  </si>
  <si>
    <t>Kurta - Model 799</t>
  </si>
  <si>
    <t>ORD-10718</t>
  </si>
  <si>
    <t>Action Figure - Model 208</t>
  </si>
  <si>
    <t>ORD-10719</t>
  </si>
  <si>
    <t>Textbook - Model 842</t>
  </si>
  <si>
    <t>ORD-10720</t>
  </si>
  <si>
    <t>Children - Model 744</t>
  </si>
  <si>
    <t>ORD-10721</t>
  </si>
  <si>
    <t>Tablet - Model 162</t>
  </si>
  <si>
    <t>ORD-10722</t>
  </si>
  <si>
    <t>Cricket Bat - Model 288</t>
  </si>
  <si>
    <t>ORD-10723</t>
  </si>
  <si>
    <t>Cricket Bat - Model 403</t>
  </si>
  <si>
    <t>ORD-10724</t>
  </si>
  <si>
    <t>Laptop - Model 943</t>
  </si>
  <si>
    <t>ORD-10725</t>
  </si>
  <si>
    <t>Curtain - Model 726</t>
  </si>
  <si>
    <t>ORD-10726</t>
  </si>
  <si>
    <t>Shoes - Model 769</t>
  </si>
  <si>
    <t>ORD-10727</t>
  </si>
  <si>
    <t>Oil - Model 847</t>
  </si>
  <si>
    <t>ORD-10728</t>
  </si>
  <si>
    <t>Shoes - Model 417</t>
  </si>
  <si>
    <t>ORD-10729</t>
  </si>
  <si>
    <t>Mixer - Model 717</t>
  </si>
  <si>
    <t>ORD-10730</t>
  </si>
  <si>
    <t>Mobile - Model 910</t>
  </si>
  <si>
    <t>ORD-10731</t>
  </si>
  <si>
    <t>Children - Model 258</t>
  </si>
  <si>
    <t>ORD-10732</t>
  </si>
  <si>
    <t>Board Game - Model 101</t>
  </si>
  <si>
    <t>ORD-10733</t>
  </si>
  <si>
    <t>Mixer - Model 329</t>
  </si>
  <si>
    <t>ORD-10734</t>
  </si>
  <si>
    <t>Comic - Model 285</t>
  </si>
  <si>
    <t>ORD-10735</t>
  </si>
  <si>
    <t>09-Jun-2024</t>
  </si>
  <si>
    <t>Kurta - Model 982</t>
  </si>
  <si>
    <t>ORD-10736</t>
  </si>
  <si>
    <t>Cricket Bat - Model 192</t>
  </si>
  <si>
    <t>ORD-10737</t>
  </si>
  <si>
    <t>Perfume - Model 528</t>
  </si>
  <si>
    <t>ORD-10738</t>
  </si>
  <si>
    <t>Moisturizer - Model 340</t>
  </si>
  <si>
    <t>ORD-10739</t>
  </si>
  <si>
    <t>12-Jun-2024</t>
  </si>
  <si>
    <t>Bedsheet - Model 571</t>
  </si>
  <si>
    <t>ORD-10740</t>
  </si>
  <si>
    <t>Curtain - Model 850</t>
  </si>
  <si>
    <t>ORD-10741</t>
  </si>
  <si>
    <t>Jeans - Model 178</t>
  </si>
  <si>
    <t>ORD-10742</t>
  </si>
  <si>
    <t>Puzzle - Model 554</t>
  </si>
  <si>
    <t>ORD-10743</t>
  </si>
  <si>
    <t>22-Jul-2024</t>
  </si>
  <si>
    <t>Spices - Model 828</t>
  </si>
  <si>
    <t>ORD-10744</t>
  </si>
  <si>
    <t>Perfume - Model 733</t>
  </si>
  <si>
    <t>ORD-10745</t>
  </si>
  <si>
    <t>Remote Car - Model 268</t>
  </si>
  <si>
    <t>ORD-10746</t>
  </si>
  <si>
    <t>Lamp - Model 209</t>
  </si>
  <si>
    <t>ORD-10747</t>
  </si>
  <si>
    <t>Tablet - Model 909</t>
  </si>
  <si>
    <t>ORD-10748</t>
  </si>
  <si>
    <t>Puzzle - Model 232</t>
  </si>
  <si>
    <t>ORD-10749</t>
  </si>
  <si>
    <t>Headphones - Model 265</t>
  </si>
  <si>
    <t>ORD-10750</t>
  </si>
  <si>
    <t>Children - Model 904</t>
  </si>
  <si>
    <t>ORD-10751</t>
  </si>
  <si>
    <t>03-Oct-2024</t>
  </si>
  <si>
    <t>Lamp - Model 742</t>
  </si>
  <si>
    <t>ORD-10752</t>
  </si>
  <si>
    <t>Mixer - Model 386</t>
  </si>
  <si>
    <t>ORD-10753</t>
  </si>
  <si>
    <t>Mixer - Model 682</t>
  </si>
  <si>
    <t>ORD-10754</t>
  </si>
  <si>
    <t>Fiction - Model 798</t>
  </si>
  <si>
    <t>ORD-10755</t>
  </si>
  <si>
    <t>Mixer - Model 397</t>
  </si>
  <si>
    <t>ORD-10756</t>
  </si>
  <si>
    <t>Atta - Model 187</t>
  </si>
  <si>
    <t>ORD-10757</t>
  </si>
  <si>
    <t>Perfume - Model 217</t>
  </si>
  <si>
    <t>ORD-10758</t>
  </si>
  <si>
    <t>Children - Model 584</t>
  </si>
  <si>
    <t>ORD-10759</t>
  </si>
  <si>
    <t>Action Figure - Model 405</t>
  </si>
  <si>
    <t>ORD-10760</t>
  </si>
  <si>
    <t>Lipstick - Model 529</t>
  </si>
  <si>
    <t>ORD-10761</t>
  </si>
  <si>
    <t>Jacket - Model 731</t>
  </si>
  <si>
    <t>ORD-10762</t>
  </si>
  <si>
    <t>Fiction - Model 911</t>
  </si>
  <si>
    <t>ORD-10763</t>
  </si>
  <si>
    <t>Laptop - Model 863</t>
  </si>
  <si>
    <t>ORD-10764</t>
  </si>
  <si>
    <t>Textbook - Model 116</t>
  </si>
  <si>
    <t>ORD-10765</t>
  </si>
  <si>
    <t>Fiction - Model 280</t>
  </si>
  <si>
    <t>ORD-10766</t>
  </si>
  <si>
    <t>Cycle - Model 977</t>
  </si>
  <si>
    <t>ORD-10767</t>
  </si>
  <si>
    <t>Shoes - Model 615</t>
  </si>
  <si>
    <t>ORD-10768</t>
  </si>
  <si>
    <t>Children - Model 522</t>
  </si>
  <si>
    <t>ORD-10769</t>
  </si>
  <si>
    <t>ORD-10770</t>
  </si>
  <si>
    <t>Sunscreen - Model 500</t>
  </si>
  <si>
    <t>ORD-10771</t>
  </si>
  <si>
    <t>Puzzle - Model 629</t>
  </si>
  <si>
    <t>ORD-10772</t>
  </si>
  <si>
    <t>Bedsheet - Model 308</t>
  </si>
  <si>
    <t>ORD-10773</t>
  </si>
  <si>
    <t>Action Figure - Model 860</t>
  </si>
  <si>
    <t>ORD-10774</t>
  </si>
  <si>
    <t>Puzzle - Model 775</t>
  </si>
  <si>
    <t>ORD-10775</t>
  </si>
  <si>
    <t>Bedsheet - Model 368</t>
  </si>
  <si>
    <t>ORD-10776</t>
  </si>
  <si>
    <t>Jeans - Model 803</t>
  </si>
  <si>
    <t>ORD-10777</t>
  </si>
  <si>
    <t>Mobile - Model 451</t>
  </si>
  <si>
    <t>ORD-10778</t>
  </si>
  <si>
    <t>Tablet - Model 624</t>
  </si>
  <si>
    <t>ORD-10779</t>
  </si>
  <si>
    <t>Dumbbells - Model 304</t>
  </si>
  <si>
    <t>ORD-10780</t>
  </si>
  <si>
    <t>Pressure Cooker - Model 803</t>
  </si>
  <si>
    <t>ORD-10781</t>
  </si>
  <si>
    <t>Yoga Mat - Model 737</t>
  </si>
  <si>
    <t>ORD-10782</t>
  </si>
  <si>
    <t>Puzzle - Model 718</t>
  </si>
  <si>
    <t>ORD-10783</t>
  </si>
  <si>
    <t>Self-Help - Model 898</t>
  </si>
  <si>
    <t>ORD-10784</t>
  </si>
  <si>
    <t>03-Sep-2024</t>
  </si>
  <si>
    <t>Puzzle - Model 716</t>
  </si>
  <si>
    <t>ORD-10785</t>
  </si>
  <si>
    <t>25-Nov-2024</t>
  </si>
  <si>
    <t>Puzzle - Model 932</t>
  </si>
  <si>
    <t>ORD-10786</t>
  </si>
  <si>
    <t>Board Game - Model 690</t>
  </si>
  <si>
    <t>ORD-10787</t>
  </si>
  <si>
    <t>Headphones - Model 760</t>
  </si>
  <si>
    <t>ORD-10788</t>
  </si>
  <si>
    <t>Children - Model 727</t>
  </si>
  <si>
    <t>ORD-10789</t>
  </si>
  <si>
    <t>01-Feb-2024</t>
  </si>
  <si>
    <t>Moisturizer - Model 945</t>
  </si>
  <si>
    <t>ORD-10790</t>
  </si>
  <si>
    <t>Mobile - Model 365</t>
  </si>
  <si>
    <t>ORD-10791</t>
  </si>
  <si>
    <t>Atta - Model 229</t>
  </si>
  <si>
    <t>ORD-10792</t>
  </si>
  <si>
    <t>Pulses - Model 387</t>
  </si>
  <si>
    <t>ORD-10793</t>
  </si>
  <si>
    <t>Moisturizer - Model 176</t>
  </si>
  <si>
    <t>ORD-10794</t>
  </si>
  <si>
    <t>Textbook - Model 825</t>
  </si>
  <si>
    <t>ORD-10795</t>
  </si>
  <si>
    <t>Board Game - Model 170</t>
  </si>
  <si>
    <t>ORD-10796</t>
  </si>
  <si>
    <t>Smartwatch - Model 291</t>
  </si>
  <si>
    <t>ORD-10797</t>
  </si>
  <si>
    <t>Doll - Model 441</t>
  </si>
  <si>
    <t>ORD-10798</t>
  </si>
  <si>
    <t>20-Mar-2024</t>
  </si>
  <si>
    <t>Cycle - Model 722</t>
  </si>
  <si>
    <t>ORD-10799</t>
  </si>
  <si>
    <t>Moisturizer - Model 644</t>
  </si>
  <si>
    <t>ORD-10800</t>
  </si>
  <si>
    <t>Oil - Model 275</t>
  </si>
  <si>
    <t>ORD-10801</t>
  </si>
  <si>
    <t>Cricket Bat - Model 274</t>
  </si>
  <si>
    <t>ORD-10802</t>
  </si>
  <si>
    <t>Mixer - Model 708</t>
  </si>
  <si>
    <t>ORD-10803</t>
  </si>
  <si>
    <t>Pressure Cooker - Model 893</t>
  </si>
  <si>
    <t>ORD-10804</t>
  </si>
  <si>
    <t>Headphones - Model 408</t>
  </si>
  <si>
    <t>ORD-10805</t>
  </si>
  <si>
    <t>Curtain - Model 976</t>
  </si>
  <si>
    <t>ORD-10806</t>
  </si>
  <si>
    <t>Saree - Model 998</t>
  </si>
  <si>
    <t>ORD-10807</t>
  </si>
  <si>
    <t>Cricket Bat - Model 142</t>
  </si>
  <si>
    <t>ORD-10808</t>
  </si>
  <si>
    <t>Smartwatch - Model 801</t>
  </si>
  <si>
    <t>ORD-10809</t>
  </si>
  <si>
    <t>01-May-2024</t>
  </si>
  <si>
    <t>Atta - Model 322</t>
  </si>
  <si>
    <t>ORD-10810</t>
  </si>
  <si>
    <t>Mixer - Model 830</t>
  </si>
  <si>
    <t>ORD-10811</t>
  </si>
  <si>
    <t>Remote Car - Model 508</t>
  </si>
  <si>
    <t>ORD-10812</t>
  </si>
  <si>
    <t>Curtain - Model 667</t>
  </si>
  <si>
    <t>ORD-10813</t>
  </si>
  <si>
    <t>Lamp - Model 552</t>
  </si>
  <si>
    <t>ORD-10814</t>
  </si>
  <si>
    <t>Action Figure - Model 873</t>
  </si>
  <si>
    <t>ORD-10815</t>
  </si>
  <si>
    <t>Board Game - Model 512</t>
  </si>
  <si>
    <t>ORD-10816</t>
  </si>
  <si>
    <t>Saree - Model 679</t>
  </si>
  <si>
    <t>ORD-10817</t>
  </si>
  <si>
    <t>24-Sep-2024</t>
  </si>
  <si>
    <t>Oil - Model 328</t>
  </si>
  <si>
    <t>ORD-10818</t>
  </si>
  <si>
    <t>Jacket - Model 199</t>
  </si>
  <si>
    <t>ORD-10819</t>
  </si>
  <si>
    <t>Sunscreen - Model 366</t>
  </si>
  <si>
    <t>ORD-10820</t>
  </si>
  <si>
    <t>Perfume - Model 591</t>
  </si>
  <si>
    <t>ORD-10821</t>
  </si>
  <si>
    <t>Board Game - Model 128</t>
  </si>
  <si>
    <t>ORD-10822</t>
  </si>
  <si>
    <t>Pulses - Model 383</t>
  </si>
  <si>
    <t>ORD-10823</t>
  </si>
  <si>
    <t>Comic - Model 447</t>
  </si>
  <si>
    <t>ORD-10824</t>
  </si>
  <si>
    <t>Cricket Bat - Model 814</t>
  </si>
  <si>
    <t>ORD-10825</t>
  </si>
  <si>
    <t>ORD-10826</t>
  </si>
  <si>
    <t>Action Figure - Model 163</t>
  </si>
  <si>
    <t>ORD-10827</t>
  </si>
  <si>
    <t>Shoes - Model 486</t>
  </si>
  <si>
    <t>ORD-10828</t>
  </si>
  <si>
    <t>Moisturizer - Model 696</t>
  </si>
  <si>
    <t>ORD-10829</t>
  </si>
  <si>
    <t>Oil - Model 952</t>
  </si>
  <si>
    <t>ORD-10830</t>
  </si>
  <si>
    <t>Jacket - Model 180</t>
  </si>
  <si>
    <t>ORD-10831</t>
  </si>
  <si>
    <t>Dumbbells - Model 820</t>
  </si>
  <si>
    <t>ORD-10832</t>
  </si>
  <si>
    <t>10-Sep-2024</t>
  </si>
  <si>
    <t>Doll - Model 158</t>
  </si>
  <si>
    <t>ORD-10833</t>
  </si>
  <si>
    <t>Laptop - Model 309</t>
  </si>
  <si>
    <t>ORD-10834</t>
  </si>
  <si>
    <t>Headphones - Model 172</t>
  </si>
  <si>
    <t>ORD-10835</t>
  </si>
  <si>
    <t>ORD-10836</t>
  </si>
  <si>
    <t>Action Figure - Model 665</t>
  </si>
  <si>
    <t>ORD-10837</t>
  </si>
  <si>
    <t>Self-Help - Model 451</t>
  </si>
  <si>
    <t>ORD-10838</t>
  </si>
  <si>
    <t>Moisturizer - Model 178</t>
  </si>
  <si>
    <t>ORD-10839</t>
  </si>
  <si>
    <t>16-Jul-2024</t>
  </si>
  <si>
    <t>Kurta - Model 178</t>
  </si>
  <si>
    <t>ORD-10840</t>
  </si>
  <si>
    <t>Cricket Bat - Model 639</t>
  </si>
  <si>
    <t>ORD-10841</t>
  </si>
  <si>
    <t>Lipstick - Model 859</t>
  </si>
  <si>
    <t>ORD-10842</t>
  </si>
  <si>
    <t>Smartwatch - Model 956</t>
  </si>
  <si>
    <t>ORD-10843</t>
  </si>
  <si>
    <t>Remote Car - Model 554</t>
  </si>
  <si>
    <t>ORD-10844</t>
  </si>
  <si>
    <t>Textbook - Model 929</t>
  </si>
  <si>
    <t>ORD-10845</t>
  </si>
  <si>
    <t>Jacket - Model 497</t>
  </si>
  <si>
    <t>ORD-10846</t>
  </si>
  <si>
    <t>Headphones - Model 918</t>
  </si>
  <si>
    <t>ORD-10847</t>
  </si>
  <si>
    <t>Mobile - Model 414</t>
  </si>
  <si>
    <t>ORD-10848</t>
  </si>
  <si>
    <t>Perfume - Model 159</t>
  </si>
  <si>
    <t>ORD-10849</t>
  </si>
  <si>
    <t>Oil - Model 332</t>
  </si>
  <si>
    <t>ORD-10850</t>
  </si>
  <si>
    <t>Tablet - Model 834</t>
  </si>
  <si>
    <t>ORD-10851</t>
  </si>
  <si>
    <t>Kurta - Model 619</t>
  </si>
  <si>
    <t>ORD-10852</t>
  </si>
  <si>
    <t>Headphones - Model 721</t>
  </si>
  <si>
    <t>ORD-10853</t>
  </si>
  <si>
    <t>Lamp - Model 126</t>
  </si>
  <si>
    <t>ORD-10854</t>
  </si>
  <si>
    <t>Laptop - Model 490</t>
  </si>
  <si>
    <t>ORD-10855</t>
  </si>
  <si>
    <t>Tablet - Model 583</t>
  </si>
  <si>
    <t>ORD-10856</t>
  </si>
  <si>
    <t>Rice - Model 866</t>
  </si>
  <si>
    <t>ORD-10857</t>
  </si>
  <si>
    <t>Perfume - Model 905</t>
  </si>
  <si>
    <t>ORD-10858</t>
  </si>
  <si>
    <t>Yoga Mat - Model 421</t>
  </si>
  <si>
    <t>ORD-10859</t>
  </si>
  <si>
    <t>Shoes - Model 369</t>
  </si>
  <si>
    <t>ORD-10860</t>
  </si>
  <si>
    <t>Puzzle - Model 230</t>
  </si>
  <si>
    <t>ORD-10861</t>
  </si>
  <si>
    <t>Saree - Model 559</t>
  </si>
  <si>
    <t>ORD-10862</t>
  </si>
  <si>
    <t>Mixer - Model 707</t>
  </si>
  <si>
    <t>ORD-10863</t>
  </si>
  <si>
    <t>Rice - Model 149</t>
  </si>
  <si>
    <t>ORD-10864</t>
  </si>
  <si>
    <t>Perfume - Model 631</t>
  </si>
  <si>
    <t>ORD-10865</t>
  </si>
  <si>
    <t>Cycle - Model 871</t>
  </si>
  <si>
    <t>ORD-10866</t>
  </si>
  <si>
    <t>18-Sep-2024</t>
  </si>
  <si>
    <t>Moisturizer - Model 600</t>
  </si>
  <si>
    <t>ORD-10867</t>
  </si>
  <si>
    <t>Shoes - Model 542</t>
  </si>
  <si>
    <t>ORD-10868</t>
  </si>
  <si>
    <t>Saree - Model 260</t>
  </si>
  <si>
    <t>ORD-10869</t>
  </si>
  <si>
    <t>Self-Help - Model 961</t>
  </si>
  <si>
    <t>ORD-10870</t>
  </si>
  <si>
    <t>Curtain - Model 389</t>
  </si>
  <si>
    <t>ORD-10871</t>
  </si>
  <si>
    <t>Serum - Model 139</t>
  </si>
  <si>
    <t>ORD-10872</t>
  </si>
  <si>
    <t>Lipstick - Model 784</t>
  </si>
  <si>
    <t>ORD-10873</t>
  </si>
  <si>
    <t>Rice - Model 353</t>
  </si>
  <si>
    <t>ORD-10874</t>
  </si>
  <si>
    <t>Spices - Model 521</t>
  </si>
  <si>
    <t>ORD-10875</t>
  </si>
  <si>
    <t>Remote Car - Model 928</t>
  </si>
  <si>
    <t>ORD-10876</t>
  </si>
  <si>
    <t>Sunscreen - Model 996</t>
  </si>
  <si>
    <t>ORD-10877</t>
  </si>
  <si>
    <t>01-Dec-2024</t>
  </si>
  <si>
    <t>Action Figure - Model 899</t>
  </si>
  <si>
    <t>ORD-10878</t>
  </si>
  <si>
    <t>Lipstick - Model 920</t>
  </si>
  <si>
    <t>ORD-10879</t>
  </si>
  <si>
    <t>Remote Car - Model 143</t>
  </si>
  <si>
    <t>ORD-10880</t>
  </si>
  <si>
    <t>Board Game - Model 937</t>
  </si>
  <si>
    <t>ORD-10881</t>
  </si>
  <si>
    <t>Jacket - Model 911</t>
  </si>
  <si>
    <t>ORD-10882</t>
  </si>
  <si>
    <t>Pulses - Model 398</t>
  </si>
  <si>
    <t>ORD-10883</t>
  </si>
  <si>
    <t>Puzzle - Model 881</t>
  </si>
  <si>
    <t>ORD-10884</t>
  </si>
  <si>
    <t>Self-Help - Model 929</t>
  </si>
  <si>
    <t>ORD-10885</t>
  </si>
  <si>
    <t>Moisturizer - Model 885</t>
  </si>
  <si>
    <t>ORD-10886</t>
  </si>
  <si>
    <t>Sunscreen - Model 913</t>
  </si>
  <si>
    <t>ORD-10887</t>
  </si>
  <si>
    <t>Shoes - Model 816</t>
  </si>
  <si>
    <t>ORD-10888</t>
  </si>
  <si>
    <t>Oil - Model 741</t>
  </si>
  <si>
    <t>ORD-10889</t>
  </si>
  <si>
    <t>Comic - Model 480</t>
  </si>
  <si>
    <t>ORD-10890</t>
  </si>
  <si>
    <t>07-Aug-2024</t>
  </si>
  <si>
    <t>ORD-10891</t>
  </si>
  <si>
    <t>Rice - Model 196</t>
  </si>
  <si>
    <t>ORD-10892</t>
  </si>
  <si>
    <t>Dumbbells - Model 698</t>
  </si>
  <si>
    <t>ORD-10893</t>
  </si>
  <si>
    <t>Cricket Bat - Model 369</t>
  </si>
  <si>
    <t>ORD-10894</t>
  </si>
  <si>
    <t>Oil - Model 272</t>
  </si>
  <si>
    <t>ORD-10895</t>
  </si>
  <si>
    <t>Lamp - Model 926</t>
  </si>
  <si>
    <t>ORD-10896</t>
  </si>
  <si>
    <t>Textbook - Model 958</t>
  </si>
  <si>
    <t>ORD-10897</t>
  </si>
  <si>
    <t>15-Sep-2024</t>
  </si>
  <si>
    <t>Rice - Model 801</t>
  </si>
  <si>
    <t>ORD-10898</t>
  </si>
  <si>
    <t>Perfume - Model 483</t>
  </si>
  <si>
    <t>ORD-10899</t>
  </si>
  <si>
    <t>Tablet - Model 379</t>
  </si>
  <si>
    <t>ORD-10900</t>
  </si>
  <si>
    <t>Spices - Model 747</t>
  </si>
  <si>
    <t>ORD-10901</t>
  </si>
  <si>
    <t>Pressure Cooker - Model 184</t>
  </si>
  <si>
    <t>ORD-10902</t>
  </si>
  <si>
    <t>Headphones - Model 957</t>
  </si>
  <si>
    <t>ORD-10903</t>
  </si>
  <si>
    <t>Sunscreen - Model 251</t>
  </si>
  <si>
    <t>ORD-10904</t>
  </si>
  <si>
    <t>Cycle - Model 459</t>
  </si>
  <si>
    <t>ORD-10905</t>
  </si>
  <si>
    <t>Bedsheet - Model 705</t>
  </si>
  <si>
    <t>ORD-10906</t>
  </si>
  <si>
    <t>Bedsheet - Model 154</t>
  </si>
  <si>
    <t>ORD-10907</t>
  </si>
  <si>
    <t>Rice - Model 194</t>
  </si>
  <si>
    <t>ORD-10908</t>
  </si>
  <si>
    <t>Perfume - Model 455</t>
  </si>
  <si>
    <t>ORD-10909</t>
  </si>
  <si>
    <t>Rice - Model 132</t>
  </si>
  <si>
    <t>ORD-10910</t>
  </si>
  <si>
    <t>Saree - Model 990</t>
  </si>
  <si>
    <t>ORD-10911</t>
  </si>
  <si>
    <t>25-Mar-2024</t>
  </si>
  <si>
    <t>Smartwatch - Model 928</t>
  </si>
  <si>
    <t>ORD-10912</t>
  </si>
  <si>
    <t>Puzzle - Model 141</t>
  </si>
  <si>
    <t>ORD-10913</t>
  </si>
  <si>
    <t>Sunscreen - Model 869</t>
  </si>
  <si>
    <t>ORD-10914</t>
  </si>
  <si>
    <t>Laptop - Model 305</t>
  </si>
  <si>
    <t>ORD-10915</t>
  </si>
  <si>
    <t>01-Jun-2024</t>
  </si>
  <si>
    <t>Oil - Model 452</t>
  </si>
  <si>
    <t>ORD-10916</t>
  </si>
  <si>
    <t>Bedsheet - Model 881</t>
  </si>
  <si>
    <t>ORD-10917</t>
  </si>
  <si>
    <t>Laptop - Model 723</t>
  </si>
  <si>
    <t>ORD-10918</t>
  </si>
  <si>
    <t>Moisturizer - Model 316</t>
  </si>
  <si>
    <t>ORD-10919</t>
  </si>
  <si>
    <t>ORD-10920</t>
  </si>
  <si>
    <t>Self-Help - Model 688</t>
  </si>
  <si>
    <t>ORD-10921</t>
  </si>
  <si>
    <t>Jacket - Model 926</t>
  </si>
  <si>
    <t>ORD-10922</t>
  </si>
  <si>
    <t>Action Figure - Model 253</t>
  </si>
  <si>
    <t>ORD-10923</t>
  </si>
  <si>
    <t>15-Jan-2024</t>
  </si>
  <si>
    <t>Shoes - Model 224</t>
  </si>
  <si>
    <t>ORD-10924</t>
  </si>
  <si>
    <t>Cricket Bat - Model 400</t>
  </si>
  <si>
    <t>ORD-10925</t>
  </si>
  <si>
    <t>Mixer - Model 647</t>
  </si>
  <si>
    <t>ORD-10926</t>
  </si>
  <si>
    <t>Atta - Model 178</t>
  </si>
  <si>
    <t>ORD-10927</t>
  </si>
  <si>
    <t>Dumbbells - Model 510</t>
  </si>
  <si>
    <t>ORD-10928</t>
  </si>
  <si>
    <t>Cycle - Model 626</t>
  </si>
  <si>
    <t>ORD-10929</t>
  </si>
  <si>
    <t>ORD-10930</t>
  </si>
  <si>
    <t>Jeans - Model 330</t>
  </si>
  <si>
    <t>ORD-10931</t>
  </si>
  <si>
    <t>Remote Car - Model 671</t>
  </si>
  <si>
    <t>ORD-10932</t>
  </si>
  <si>
    <t>Dumbbells - Model 133</t>
  </si>
  <si>
    <t>ORD-10933</t>
  </si>
  <si>
    <t>Atta - Model 259</t>
  </si>
  <si>
    <t>ORD-10934</t>
  </si>
  <si>
    <t>Perfume - Model 650</t>
  </si>
  <si>
    <t>ORD-10935</t>
  </si>
  <si>
    <t>Doll - Model 518</t>
  </si>
  <si>
    <t>ORD-10936</t>
  </si>
  <si>
    <t>Comic - Model 648</t>
  </si>
  <si>
    <t>ORD-10937</t>
  </si>
  <si>
    <t>10-Jul-2024</t>
  </si>
  <si>
    <t>Tablet - Model 949</t>
  </si>
  <si>
    <t>ORD-10938</t>
  </si>
  <si>
    <t>Serum - Model 724</t>
  </si>
  <si>
    <t>ORD-10939</t>
  </si>
  <si>
    <t>Saree - Model 123</t>
  </si>
  <si>
    <t>ORD-10940</t>
  </si>
  <si>
    <t>Lipstick - Model 235</t>
  </si>
  <si>
    <t>ORD-10941</t>
  </si>
  <si>
    <t>Jacket - Model 957</t>
  </si>
  <si>
    <t>ORD-10942</t>
  </si>
  <si>
    <t>Puzzle - Model 833</t>
  </si>
  <si>
    <t>ORD-10943</t>
  </si>
  <si>
    <t>Action Figure - Model 472</t>
  </si>
  <si>
    <t>ORD-10944</t>
  </si>
  <si>
    <t>Bedsheet - Model 522</t>
  </si>
  <si>
    <t>ORD-10945</t>
  </si>
  <si>
    <t>Yoga Mat - Model 402</t>
  </si>
  <si>
    <t>ORD-10946</t>
  </si>
  <si>
    <t>Textbook - Model 414</t>
  </si>
  <si>
    <t>ORD-10947</t>
  </si>
  <si>
    <t>Moisturizer - Model 971</t>
  </si>
  <si>
    <t>ORD-10948</t>
  </si>
  <si>
    <t>Lamp - Model 973</t>
  </si>
  <si>
    <t>ORD-10949</t>
  </si>
  <si>
    <t>Saree - Model 330</t>
  </si>
  <si>
    <t>ORD-10950</t>
  </si>
  <si>
    <t>Serum - Model 472</t>
  </si>
  <si>
    <t>ORD-10951</t>
  </si>
  <si>
    <t>Smartwatch - Model 680</t>
  </si>
  <si>
    <t>ORD-10952</t>
  </si>
  <si>
    <t>Cycle - Model 384</t>
  </si>
  <si>
    <t>ORD-10953</t>
  </si>
  <si>
    <t>Pulses - Model 200</t>
  </si>
  <si>
    <t>ORD-10954</t>
  </si>
  <si>
    <t>Rice - Model 682</t>
  </si>
  <si>
    <t>ORD-10955</t>
  </si>
  <si>
    <t>Dumbbells - Model 715</t>
  </si>
  <si>
    <t>ORD-10956</t>
  </si>
  <si>
    <t>Dumbbells - Model 214</t>
  </si>
  <si>
    <t>ORD-10957</t>
  </si>
  <si>
    <t>Rice - Model 753</t>
  </si>
  <si>
    <t>ORD-10958</t>
  </si>
  <si>
    <t>Cycle - Model 315</t>
  </si>
  <si>
    <t>ORD-10959</t>
  </si>
  <si>
    <t>Puzzle - Model 334</t>
  </si>
  <si>
    <t>ORD-10960</t>
  </si>
  <si>
    <t>Remote Car - Model 105</t>
  </si>
  <si>
    <t>ORD-10961</t>
  </si>
  <si>
    <t>Yoga Mat - Model 952</t>
  </si>
  <si>
    <t>ORD-10962</t>
  </si>
  <si>
    <t>28-Aug-2024</t>
  </si>
  <si>
    <t>Shoes - Model 176</t>
  </si>
  <si>
    <t>ORD-10963</t>
  </si>
  <si>
    <t>Lipstick - Model 721</t>
  </si>
  <si>
    <t>ORD-10964</t>
  </si>
  <si>
    <t>Saree - Model 893</t>
  </si>
  <si>
    <t>ORD-10965</t>
  </si>
  <si>
    <t>Shoes - Model 243</t>
  </si>
  <si>
    <t>ORD-10966</t>
  </si>
  <si>
    <t>12-Aug-2024</t>
  </si>
  <si>
    <t>Self-Help - Model 793</t>
  </si>
  <si>
    <t>ORD-10967</t>
  </si>
  <si>
    <t>Tablet - Model 482</t>
  </si>
  <si>
    <t>ORD-10968</t>
  </si>
  <si>
    <t>03-Nov-2024</t>
  </si>
  <si>
    <t>Jacket - Model 194</t>
  </si>
  <si>
    <t>ORD-10969</t>
  </si>
  <si>
    <t>Puzzle - Model 576</t>
  </si>
  <si>
    <t>ORD-10970</t>
  </si>
  <si>
    <t>Doll - Model 400</t>
  </si>
  <si>
    <t>ORD-10971</t>
  </si>
  <si>
    <t>Oil - Model 888</t>
  </si>
  <si>
    <t>ORD-10972</t>
  </si>
  <si>
    <t>Laptop - Model 653</t>
  </si>
  <si>
    <t>ORD-10973</t>
  </si>
  <si>
    <t>Fiction - Model 240</t>
  </si>
  <si>
    <t>ORD-10974</t>
  </si>
  <si>
    <t>Perfume - Model 704</t>
  </si>
  <si>
    <t>ORD-10975</t>
  </si>
  <si>
    <t>Textbook - Model 525</t>
  </si>
  <si>
    <t>ORD-10976</t>
  </si>
  <si>
    <t>Remote Car - Model 978</t>
  </si>
  <si>
    <t>ORD-10977</t>
  </si>
  <si>
    <t>Remote Car - Model 116</t>
  </si>
  <si>
    <t>ORD-10978</t>
  </si>
  <si>
    <t>Lipstick - Model 480</t>
  </si>
  <si>
    <t>ORD-10979</t>
  </si>
  <si>
    <t>Jeans - Model 130</t>
  </si>
  <si>
    <t>ORD-10980</t>
  </si>
  <si>
    <t>Laptop - Model 517</t>
  </si>
  <si>
    <t>ORD-10981</t>
  </si>
  <si>
    <t>Shoes - Model 575</t>
  </si>
  <si>
    <t>ORD-10982</t>
  </si>
  <si>
    <t>Comic - Model 784</t>
  </si>
  <si>
    <t>ORD-10983</t>
  </si>
  <si>
    <t>Kurta - Model 834</t>
  </si>
  <si>
    <t>ORD-10984</t>
  </si>
  <si>
    <t>ORD-10985</t>
  </si>
  <si>
    <t>Mixer - Model 955</t>
  </si>
  <si>
    <t>ORD-10986</t>
  </si>
  <si>
    <t>Oil - Model 564</t>
  </si>
  <si>
    <t>ORD-10987</t>
  </si>
  <si>
    <t>Spices - Model 567</t>
  </si>
  <si>
    <t>ORD-10988</t>
  </si>
  <si>
    <t>15-Apr-2024</t>
  </si>
  <si>
    <t>Kurta - Model 663</t>
  </si>
  <si>
    <t>ORD-10989</t>
  </si>
  <si>
    <t>Serum - Model 960</t>
  </si>
  <si>
    <t>ORD-10990</t>
  </si>
  <si>
    <t>Sunscreen - Model 270</t>
  </si>
  <si>
    <t>ORD-10991</t>
  </si>
  <si>
    <t>Lipstick - Model 150</t>
  </si>
  <si>
    <t>ORD-10992</t>
  </si>
  <si>
    <t>Cycle - Model 784</t>
  </si>
  <si>
    <t>ORD-10993</t>
  </si>
  <si>
    <t>ORD-10994</t>
  </si>
  <si>
    <t>Pressure Cooker - Model 554</t>
  </si>
  <si>
    <t>ORD-10995</t>
  </si>
  <si>
    <t>ORD-10996</t>
  </si>
  <si>
    <t>Shoes - Model 741</t>
  </si>
  <si>
    <t>ORD-10997</t>
  </si>
  <si>
    <t>Self-Help - Model 990</t>
  </si>
  <si>
    <t>ORD-10998</t>
  </si>
  <si>
    <t>14-Jun-2024</t>
  </si>
  <si>
    <t>Yoga Mat - Model 185</t>
  </si>
  <si>
    <t>ORD-10999</t>
  </si>
  <si>
    <t>Doll - Model 631</t>
  </si>
  <si>
    <t>ORD-11000</t>
  </si>
  <si>
    <t>Remote Car - Model 835</t>
  </si>
  <si>
    <t>KPI SUMMARY</t>
  </si>
  <si>
    <t>Metric</t>
  </si>
  <si>
    <t>Total Revenue (₹)</t>
  </si>
  <si>
    <t>Total Orders</t>
  </si>
  <si>
    <t>Total Units Sold</t>
  </si>
  <si>
    <t>Total Gross Profit (₹)</t>
  </si>
  <si>
    <t>Total Net Profit (₹)</t>
  </si>
  <si>
    <t>Avg Discount %</t>
  </si>
  <si>
    <t>Return Rate %</t>
  </si>
  <si>
    <t>COD Order %</t>
  </si>
  <si>
    <t>Avg Shipping Cost (₹)</t>
  </si>
  <si>
    <t>Avg Net Margin %</t>
  </si>
  <si>
    <t>Total Shipping Cost (₹)</t>
  </si>
  <si>
    <t>Cancelled Orders</t>
  </si>
  <si>
    <t>Total Discount Leakage ₹</t>
  </si>
  <si>
    <t>Total Return Loss ₹</t>
  </si>
  <si>
    <t>Gross Revenue at MRP ₹</t>
  </si>
  <si>
    <t>Avg Order Value ₹</t>
  </si>
  <si>
    <t>Value</t>
  </si>
  <si>
    <t>Status</t>
  </si>
  <si>
    <t>Benchmark</t>
  </si>
  <si>
    <t>Revenue</t>
  </si>
  <si>
    <t>Gross Profit</t>
  </si>
  <si>
    <t>Net Profit</t>
  </si>
  <si>
    <t>Return Count</t>
  </si>
  <si>
    <t>Avg Discount</t>
  </si>
  <si>
    <t>CATEGORY WISE ANALYSIS</t>
  </si>
  <si>
    <t>Returns</t>
  </si>
  <si>
    <t>Return Rate</t>
  </si>
  <si>
    <t>CITY WISE ANALYSIS</t>
  </si>
  <si>
    <t>Orders</t>
  </si>
  <si>
    <t>Avg Disc</t>
  </si>
  <si>
    <t>Payment</t>
  </si>
  <si>
    <t xml:space="preserve"> PAYMENT METHOD ANALYSIS</t>
  </si>
  <si>
    <t>MONTH WISE TREND</t>
  </si>
  <si>
    <t xml:space="preserve"> PROFIT RECOVERY SIMULATOR — What-If Analysis Engine</t>
  </si>
  <si>
    <t>Adjust the levers below to simulate monthly profit recovery scenarios</t>
  </si>
  <si>
    <t>Parameter</t>
  </si>
  <si>
    <t>Current Value</t>
  </si>
  <si>
    <t>Assumption Used</t>
  </si>
  <si>
    <t>Description</t>
  </si>
  <si>
    <t>Discount Reduction %</t>
  </si>
  <si>
    <t>Target Return Rate %</t>
  </si>
  <si>
    <t>Shipping Cost Reduction %</t>
  </si>
  <si>
    <t>Low-Margin Product Removal %</t>
  </si>
  <si>
    <t>COD to Prepaid Conversion %</t>
  </si>
  <si>
    <t>How much to reduce avg discount (e.g. 5%)</t>
  </si>
  <si>
    <t>Target return rate to achieve</t>
  </si>
  <si>
    <t>% reduction in shipping cost</t>
  </si>
  <si>
    <t>% of low-margin SKUs to discontinue</t>
  </si>
  <si>
    <t>% of COD orders converted to prepaid</t>
  </si>
  <si>
    <t>BASELINE METRICS (from Calculations sheet)</t>
  </si>
  <si>
    <t>Total Monthly Revenue</t>
  </si>
  <si>
    <t>Monthly Net Profit</t>
  </si>
  <si>
    <t>Current Return Rate</t>
  </si>
  <si>
    <t>Monthly Shipping Cost</t>
  </si>
  <si>
    <t>COD Order Ratio</t>
  </si>
  <si>
    <t>Monthly Orders</t>
  </si>
  <si>
    <t>Avg Order Value</t>
  </si>
  <si>
    <t>Total Return Loss</t>
  </si>
  <si>
    <t>Total Discount Leakage</t>
  </si>
  <si>
    <t>PROFIT RECOVERY BREAKDOWN</t>
  </si>
  <si>
    <t>Recovery Source</t>
  </si>
  <si>
    <t>Formula Logic</t>
  </si>
  <si>
    <t>Monthly Recovery (₹)</t>
  </si>
  <si>
    <t>Annual Recovery (₹)</t>
  </si>
  <si>
    <t>Priority</t>
  </si>
  <si>
    <t>Discount Reduction Saving</t>
  </si>
  <si>
    <t>Baseline Value</t>
  </si>
  <si>
    <t>Return Loss Recovery</t>
  </si>
  <si>
    <t>Shipping Cost Saving</t>
  </si>
  <si>
    <t>Low Margin SKU Impact</t>
  </si>
  <si>
    <t>COD-to-Prepaid Benefit</t>
  </si>
  <si>
    <t>Discount Reduction % × Monthly Discount Leakage</t>
  </si>
  <si>
    <t>High</t>
  </si>
  <si>
    <t>Return rate improvement × Monthly Return Loss</t>
  </si>
  <si>
    <t>Medium</t>
  </si>
  <si>
    <t>Shipping Reduction % × Monthly Shipping Cost</t>
  </si>
  <si>
    <t>Low-Margin SKU Removal % × Monthly Revenue × 8%</t>
  </si>
  <si>
    <t>COD Conversion % × COD Ratio × Monthly Orders × 18% Risk × AOV × 10%</t>
  </si>
  <si>
    <t>Low</t>
  </si>
  <si>
    <t xml:space="preserve"> TOTAL ESTIMATED MONTHLY RECOVERY</t>
  </si>
  <si>
    <t>RETURN RISK ANALYSIS — COD, Discount &amp; Return Risk Engine</t>
  </si>
  <si>
    <t>HIGH RISK ORDERS
(Score &gt; 0.7)</t>
  </si>
  <si>
    <t>COD HIGH RISK
(COD + Score&gt;0.6)</t>
  </si>
  <si>
    <t>TOTAL RETURN LOSS
(Returned Orders)</t>
  </si>
  <si>
    <t>AVG RISK SCORE</t>
  </si>
  <si>
    <t>Sell_Price</t>
  </si>
  <si>
    <t>Discount%</t>
  </si>
  <si>
    <t>Pay_Method</t>
  </si>
  <si>
    <t>Risk_Score</t>
  </si>
  <si>
    <t>TOP 30 HIGH-RISK ORDERS (Risk Score &gt; 0.65)</t>
  </si>
  <si>
    <t>Product Name</t>
  </si>
  <si>
    <t>Units</t>
  </si>
  <si>
    <t>Net Profit (₹)</t>
  </si>
  <si>
    <t>Rank</t>
  </si>
  <si>
    <t>Net Profit ₹</t>
  </si>
  <si>
    <t>Discount Leakage ₹</t>
  </si>
  <si>
    <t>Avg Disc %</t>
  </si>
  <si>
    <t>Action</t>
  </si>
  <si>
    <t>Category Net Profit</t>
  </si>
  <si>
    <t>Monthly Trend</t>
  </si>
  <si>
    <t>City Analysis</t>
  </si>
  <si>
    <t>Payment Analysis</t>
  </si>
  <si>
    <t>Revenue (₹)</t>
  </si>
  <si>
    <t>Risk Level</t>
  </si>
  <si>
    <t>Gross Profit (₹)</t>
  </si>
  <si>
    <t>Avg Disc%</t>
  </si>
  <si>
    <t>Margin Status</t>
  </si>
  <si>
    <t>• Cap discounts at 25% for Electronics &amp; Fashion
• Remove auto-discount on low-margin SKUs
• Estimated Recovery: ₹3-5L/month</t>
  </si>
  <si>
    <t>• Partner with regional carriers for South &amp; East zones
• Free shipping only above ₹499 cart value
• Estimated Recovery: ₹1-2L/month</t>
  </si>
  <si>
    <t>• Offer ₹20 discount for UPI/Prepaid switch
• Block COD for high-risk pin codes
• Estimated Recovery: ₹1.5-3L/month</t>
  </si>
  <si>
    <t>• Implement strict 7-day return on apparel
• Flag high-risk COD orders before dispatch 
• Estimated Recovery: ₹2-4L/month</t>
  </si>
  <si>
    <t>&gt; ₹3 Cr</t>
  </si>
  <si>
    <t>&gt; 900</t>
  </si>
  <si>
    <t>&gt; 10,000</t>
  </si>
  <si>
    <t>&gt; ₹70L</t>
  </si>
  <si>
    <t>&gt; ₹60L</t>
  </si>
  <si>
    <t>&lt; 20%</t>
  </si>
  <si>
    <t>&lt; 10%</t>
  </si>
  <si>
    <t>&lt; 25%</t>
  </si>
  <si>
    <t>&lt; ₹120</t>
  </si>
  <si>
    <t>&gt; 15%</t>
  </si>
  <si>
    <t>&lt; ₹12L</t>
  </si>
  <si>
    <t>&lt; 70</t>
  </si>
  <si>
    <t>&lt; ₹90L</t>
  </si>
  <si>
    <t>&lt; ₹7L</t>
  </si>
  <si>
    <t>Reference</t>
  </si>
  <si>
    <t>&gt; ₹30,000</t>
  </si>
  <si>
    <t>INPUT LEVERS (Change yellow cells to simulate recovery scenarios)</t>
  </si>
  <si>
    <t>• Discount leakage is ₹99.98L, showing that heavy discounting is a major profit leakage source.</t>
  </si>
  <si>
    <t>• Return loss is ₹8.13L, meaning returned orders are directly reducing net profit.</t>
  </si>
  <si>
    <t>• COD orders need monitoring because a large share of COD orders fall into the high-risk category.</t>
  </si>
  <si>
    <t>• Profit recovery simulator shows how discount control, return reduction, shipping optimization, and COD conversion can improve monthly profit.</t>
  </si>
  <si>
    <t>Row Labels</t>
  </si>
  <si>
    <t>Grand Total</t>
  </si>
  <si>
    <t>Count of Order_ID</t>
  </si>
  <si>
    <t>Sum of Return_Flag</t>
  </si>
  <si>
    <t>Sum of Net_Profit</t>
  </si>
  <si>
    <t>Payment Method Risk Pivot Analysis — COD, Returns &amp; Profit Impact</t>
  </si>
  <si>
    <t>SELECT CATEGORY =&gt;</t>
  </si>
  <si>
    <t>METRIC</t>
  </si>
  <si>
    <t>LIVE VALUE</t>
  </si>
  <si>
    <t>Order Count</t>
  </si>
  <si>
    <t>Recommendation</t>
  </si>
  <si>
    <t>📊  ADVANCED EXCEL — E-COMMERCE PROFIT LEAKAGE, RETURN RISK &amp; RECOVERY DASHBOARD</t>
  </si>
  <si>
    <t>FY 2024  |  1,000 Orders  |  8 Categories  |  10 Cities  |  12 Months</t>
  </si>
  <si>
    <t>This is a complete Business Intelligence Dashboard built entirely in Microsoft Excel. It simulates a real e-commerce company's financial performance and uncovers hidden profit leaks — areas where money is being lost silently despite high sales volumes.</t>
  </si>
  <si>
    <t>Data Analysts, Business Analysts, and Finance professionals who want to demonstrate advanced Excel skills. This project is designed to be interview-ready and portfolio-worthy.</t>
  </si>
  <si>
    <t>Sales are high — but why is profit low? Where exactly is the money going, and how much can we recover if we act on it?</t>
  </si>
  <si>
    <t>Problem 1 — Discount Leakage</t>
  </si>
  <si>
    <t>Problem 2 — Product Returns</t>
  </si>
  <si>
    <t>Returned orders create triple loss: shipping cost both ways, product damage or restocking cost, and customer refund. Return rate by category and city is tracked in this dashboard.</t>
  </si>
  <si>
    <t>Problem 3 — COD Risk</t>
  </si>
  <si>
    <t>Cash-on-Delivery orders have a significantly higher return rate. Every COD order placed by a high-risk customer is potential wasted shipping expenditure before revenue is realized.</t>
  </si>
  <si>
    <t>Problem 4 — Shipping Cost Erosion</t>
  </si>
  <si>
    <t>On low-value orders, shipping cost can wipe out 80-100% of net profit. This is especially damaging for Grocery and Books categories with thin margins.</t>
  </si>
  <si>
    <t>Problem 5 — City-Level Losses</t>
  </si>
  <si>
    <t>Certain cities like Lucknow and Jaipur show consistently higher return rates compared to metros like Mumbai and Bangalore. Marketing spend is equal, but ROI is not.</t>
  </si>
  <si>
    <t>Problem 6 — Low-Margin Products</t>
  </si>
  <si>
    <t>Some SKUs are actively destroying portfolio profitability. The Product Analysis sheet identifies the top 15 loss-making products that should be repriced or discontinued.</t>
  </si>
  <si>
    <t>IF, IFERROR, SUMPRODUCT, COUNTIFS, COUNTIF, AVERAGEIF, AVERAGE, COUNTA, MIN, MAX, ROUND — all used in real business context.</t>
  </si>
  <si>
    <t>Color scales on Risk Score column (green → yellow → red). Data bars on discount leakage. Cell-is-rules for profit/loss status.</t>
  </si>
  <si>
    <t>Clustered Bar Chart (categories), Line Chart (monthly trend), Horizontal Bar Chart (cities), Pie Chart (payment methods).</t>
  </si>
  <si>
    <t>5-lever interactive profit recovery simulator. Change any yellow input cell and instantly see estimated monthly + annual profit recovery in ₹.</t>
  </si>
  <si>
    <t>Dark-theme dashboard with consistent color language: Red = risk/loss, Green = good/profit, Yellow = warning/input, Blue = neutral data.</t>
  </si>
  <si>
    <t>Raw Data sheet has freeze panes on Row 1 and Auto-Filter on all 23 columns for easy slicing.</t>
  </si>
  <si>
    <t>Dashboard reads from Calculations, Calculations reads from Raw_Data. Full data chain with zero hardcoded values.</t>
  </si>
  <si>
    <t>Insight 1 — Discount is the #1 Leakage</t>
  </si>
  <si>
    <t>Avg discount of ~22% across all products. Electronics and Fashion categories show highest discount leakage. Capping discounts at 20% could recover ₹3-5L/month.</t>
  </si>
  <si>
    <t>Insight 2 — COD Has 2x Return Rate</t>
  </si>
  <si>
    <t>Insight 3 — Tier-2 Cities Underperform</t>
  </si>
  <si>
    <t>Jaipur and Lucknow have higher return rates than Mumbai/Bangalore. Regional fulfillment and stricter COD controls in these cities would improve margins.</t>
  </si>
  <si>
    <t>Insight 4 — Some Products Are Actively Harmful</t>
  </si>
  <si>
    <t>Top 15 loss-making products in the Product Analysis sheet show negative net profit. These products should be repriced or removed from catalog.</t>
  </si>
  <si>
    <t>Total annual shipping cost is significant. Free shipping thresholds should be raised to ₹499+ to ensure shipping is covered by order margin.</t>
  </si>
  <si>
    <t>1,000 rows of simulated e-commerce transactions. 23 columns including calculated fields like Net Profit, Return Flag, Risk Score. This is the single source of truth.</t>
  </si>
  <si>
    <t>All SUMPRODUCT, COUNTIFS, AVERAGEIF formulas organized in 5 blocks: KPI Summary, Category-wise, City-wise, Month-wise, Payment-wise. Powers the entire dashboard.</t>
  </si>
  <si>
    <t>Interactive What-If Simulator. Change 5 yellow input cells (Discount Reduction, Return Rate Target, Shipping Reduction, SKU Removal, COD Conversion) to see profit recovery in ₹.</t>
  </si>
  <si>
    <t>Top 30 highest-risk orders filtered by risk score. Color-coded red/yellow/green. COD high-risk summary KPIs at top.</t>
  </si>
  <si>
    <t>Data tables feeding 4 Excel charts: Category Bar, Monthly Line, City Horizontal Bar, Payment Pie. Charts embedded in this sheet.</t>
  </si>
  <si>
    <t>Main executive dashboard. 12 KPI cards including Discount Leakage ₹ and Return Loss ₹. Tables for Category, City, Monthly, Payment analysis. 4 recommendation cards.</t>
  </si>
  <si>
    <t>Recommendation 1</t>
  </si>
  <si>
    <t>Cap maximum discount at 20% for Electronics and Fashion. Remove auto-discounting on products with Net Margin below 10%. Estimated monthly savings: ₹3-5 Lakhs.</t>
  </si>
  <si>
    <t>Recommendation 2</t>
  </si>
  <si>
    <t>Introduce strict 7-day return window for Apparel. Add return risk flag at checkout for COD orders with risk score above 0.70. Target: reduce return rate from ~15% to under 10%.</t>
  </si>
  <si>
    <t>Recommendation 3</t>
  </si>
  <si>
    <t>Raise free shipping threshold to ₹499 minimum cart value. Negotiate with regional logistics partners in South and East zones for 10-15% shipping cost reduction.</t>
  </si>
  <si>
    <t>Recommendation 4</t>
  </si>
  <si>
    <t>Offer ₹20-30 cashback for customers who switch from COD to UPI/Prepaid. Block COD option entirely for pin codes with historical return rate above 25%.</t>
  </si>
  <si>
    <t>Recommendation 5</t>
  </si>
  <si>
    <t>Review bottom 15 products in Product Analysis sheet. Reprice or discontinue items with consistently negative Net Profit. Focus catalog on high-margin sub-categories.</t>
  </si>
  <si>
    <t>Two tables: Top 15 Loss-Making Products and Top 15 High Discount Leakage Products.</t>
  </si>
  <si>
    <t>Insight 5- Category panel</t>
  </si>
  <si>
    <t>Category Insight Panel: Data validation dropdown allows category selection and dynamically shows revenue, net profit, return rate, discount leakage, and recommendation.</t>
  </si>
  <si>
    <t>COD orders show higher operational risk and require monitoring through risk score and return-rate analysis.</t>
  </si>
  <si>
    <t>The Total Discount Leakage KPI shows how much revenue is being given away through excessive discounts.</t>
  </si>
  <si>
    <t>Pivot Table &amp; Formula Tables</t>
  </si>
  <si>
    <t>Payment Method Risk Analysis pivot table added, along with formula-based analysis tables using SUMPRODUCT, COUNTIFS, and AVERAGEIF.</t>
  </si>
  <si>
    <t>Insight 6 — Shipping Cost Is Underestimated</t>
  </si>
  <si>
    <t xml:space="preserve"> PRODUCT-LEVEL LEAKAGE ANALYSIS — Loss Makers | High Discount | High Risk</t>
  </si>
  <si>
    <t xml:space="preserve"> TOP 15 LOSS-MAKING PRODUCTS (Lowest Net Profit)</t>
  </si>
  <si>
    <t>TOP 15 HIGH DISCOUNT LEAKAGE PRODUCTS (Most MRP Revenue Lost)</t>
  </si>
  <si>
    <t>Advanced Formulas</t>
  </si>
  <si>
    <t>Conditional Formatting</t>
  </si>
  <si>
    <t>Charts (4 types)</t>
  </si>
  <si>
    <t xml:space="preserve"> What-If Simulator</t>
  </si>
  <si>
    <t xml:space="preserve"> Professional Design</t>
  </si>
  <si>
    <t xml:space="preserve"> Freeze Panes &amp; Filters</t>
  </si>
  <si>
    <t xml:space="preserve"> Cross-Sheet Formulas</t>
  </si>
  <si>
    <t xml:space="preserve"> SECTION A — PROJECT OVERVIEW</t>
  </si>
  <si>
    <t xml:space="preserve"> SECTION B — BUSINESS PROBLEMS IDENTIFIED</t>
  </si>
  <si>
    <t xml:space="preserve"> SECTION C — EXCEL TOOLS &amp; FEATURES USED</t>
  </si>
  <si>
    <t xml:space="preserve"> What Is This Project?</t>
  </si>
  <si>
    <t xml:space="preserve"> Who Is This For?</t>
  </si>
  <si>
    <t xml:space="preserve"> Core Business Question It Answers:</t>
  </si>
  <si>
    <t>Raw_Data</t>
  </si>
  <si>
    <t xml:space="preserve"> Calculations</t>
  </si>
  <si>
    <t xml:space="preserve"> Profit_Recovery_Sim</t>
  </si>
  <si>
    <t xml:space="preserve"> Return_Risk_Analysis</t>
  </si>
  <si>
    <t xml:space="preserve"> Product_Analysis</t>
  </si>
  <si>
    <t xml:space="preserve"> Charts_Data</t>
  </si>
  <si>
    <t xml:space="preserve"> DASHBOARD</t>
  </si>
  <si>
    <t>SECTION D — KEY BUSINESS INSIGHTS FROM THIS DASHBOARD</t>
  </si>
  <si>
    <t>SECTION E — WORKBOOK SHEET GUIDE</t>
  </si>
  <si>
    <t>SECTION F — FINAL BUSINESS RECOMMENDATIONS</t>
  </si>
  <si>
    <t>E-COMMERCE PROFIT LEAKAGE, RETURN RISK &amp; RECOVERY DASHBOARD  |  FY 2024</t>
  </si>
  <si>
    <t xml:space="preserve"> TOTAL REVENUE</t>
  </si>
  <si>
    <t>TOTAL ORDERS</t>
  </si>
  <si>
    <t xml:space="preserve"> GROSS PROFIT</t>
  </si>
  <si>
    <t>NET PROFIT</t>
  </si>
  <si>
    <t xml:space="preserve"> EXECUTIVE KPI SNAPSHOT</t>
  </si>
  <si>
    <t xml:space="preserve"> DISCOUNT LEAKAGE</t>
  </si>
  <si>
    <t xml:space="preserve"> TOTAL RETURN LOSS</t>
  </si>
  <si>
    <t xml:space="preserve"> REVENUE AT MRP</t>
  </si>
  <si>
    <t xml:space="preserve"> AVG ORDER VALUE</t>
  </si>
  <si>
    <t>AVG DISCOUNT</t>
  </si>
  <si>
    <t xml:space="preserve"> RETURN RATE</t>
  </si>
  <si>
    <t xml:space="preserve"> SHIP COST </t>
  </si>
  <si>
    <t xml:space="preserve"> COD RATIO</t>
  </si>
  <si>
    <t xml:space="preserve"> CITY-WISE PROFIT LEAKAGE &amp; RECOVERY OPPORTUNITY</t>
  </si>
  <si>
    <t xml:space="preserve"> CATEGORY PERFORMANCE — Net Profit &amp; Return Analysis</t>
  </si>
  <si>
    <t xml:space="preserve"> MONTHLY TREND — Profit vs Returns</t>
  </si>
  <si>
    <t>PAYMENT METHOD IMPACT &amp; COD RISK</t>
  </si>
  <si>
    <t xml:space="preserve"> KEY BUSINESS INSIGHTS</t>
  </si>
  <si>
    <t xml:space="preserve"> BUSINESS RECOMMENDATIONS &amp; RECOVERY ACTIONS</t>
  </si>
  <si>
    <t>PROFIT RECOVERY RECOMMENDATIONS</t>
  </si>
  <si>
    <t xml:space="preserve"> DISCOUNT CONTROL</t>
  </si>
  <si>
    <t xml:space="preserve"> RETURN MANAGEMENT</t>
  </si>
  <si>
    <t>SHIPPING OPTIMIZATION</t>
  </si>
  <si>
    <t>COD RISK REDUCTION</t>
  </si>
  <si>
    <t xml:space="preserve">  CATEGORY INSIGHT PANEL — Select a Category from the Yellow Dropdown Cell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</si>
</sst>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0.0%"/>
    <numFmt numFmtId="166" formatCode="&quot;₹&quot;\ #,##0.00"/>
    <numFmt numFmtId="167" formatCode="&quot;₹&quot;\ #,##0"/>
    <numFmt numFmtId="168" formatCode="0.0"/>
    <numFmt numFmtId="169" formatCode="&quot;₹&quot;\ #,##0.0"/>
  </numFmts>
  <fonts count="29" x14ac:knownFonts="1">
    <font>
      <sz val="11"/>
      <color theme="1"/>
      <name val="Calibri"/>
      <family val="2"/>
      <scheme val="minor"/>
    </font>
    <font>
      <b/>
      <sz val="10"/>
      <color rgb="FFFFFFFF"/>
      <name val="Arial"/>
      <family val="2"/>
    </font>
    <font>
      <b/>
      <sz val="12"/>
      <color rgb="FFFFFFFF"/>
      <name val="Arial"/>
      <family val="2"/>
    </font>
    <font>
      <b/>
      <sz val="11"/>
      <color rgb="FFFFFFFF"/>
      <name val="Arial"/>
      <family val="2"/>
    </font>
    <font>
      <b/>
      <sz val="11"/>
      <color theme="0"/>
      <name val="Arial"/>
      <family val="2"/>
    </font>
    <font>
      <sz val="10"/>
      <color theme="1"/>
      <name val="Arial"/>
      <family val="2"/>
    </font>
    <font>
      <b/>
      <sz val="16"/>
      <color rgb="FFFFFFFF"/>
      <name val="Arial"/>
      <family val="2"/>
    </font>
    <font>
      <sz val="11"/>
      <color theme="1"/>
      <name val="Arial"/>
      <family val="2"/>
    </font>
    <font>
      <sz val="14"/>
      <color theme="0"/>
      <name val="Arial"/>
      <family val="2"/>
    </font>
    <font>
      <b/>
      <sz val="10"/>
      <color theme="1"/>
      <name val="Arial"/>
      <family val="2"/>
    </font>
    <font>
      <b/>
      <sz val="14"/>
      <color rgb="FFFFFFFF"/>
      <name val="Arial"/>
      <family val="2"/>
    </font>
    <font>
      <sz val="11"/>
      <color theme="1"/>
      <name val="Calibri"/>
      <family val="2"/>
      <scheme val="minor"/>
    </font>
    <font>
      <b/>
      <sz val="18"/>
      <color rgb="FFFFFFFF"/>
      <name val="Arial"/>
      <family val="2"/>
    </font>
    <font>
      <b/>
      <sz val="13"/>
      <color theme="0"/>
      <name val="Arial"/>
      <family val="2"/>
    </font>
    <font>
      <b/>
      <sz val="12"/>
      <color theme="0"/>
      <name val="Arial"/>
      <family val="2"/>
    </font>
    <font>
      <b/>
      <sz val="18"/>
      <color theme="0"/>
      <name val="Arial"/>
      <family val="2"/>
    </font>
    <font>
      <b/>
      <sz val="16"/>
      <color theme="0"/>
      <name val="Arial"/>
      <family val="2"/>
    </font>
    <font>
      <i/>
      <sz val="11"/>
      <color rgb="FFB2BEC3"/>
      <name val="Arial"/>
      <family val="2"/>
    </font>
    <font>
      <sz val="9"/>
      <color theme="1"/>
      <name val="Arial"/>
      <family val="2"/>
    </font>
    <font>
      <sz val="12"/>
      <color theme="1"/>
      <name val="Arial"/>
      <family val="2"/>
    </font>
    <font>
      <b/>
      <sz val="20"/>
      <color theme="0"/>
      <name val="Arial"/>
      <family val="2"/>
    </font>
    <font>
      <sz val="11"/>
      <color theme="0"/>
      <name val="Arial"/>
      <family val="2"/>
    </font>
    <font>
      <sz val="18"/>
      <color theme="1"/>
      <name val="Arial"/>
      <family val="2"/>
    </font>
    <font>
      <b/>
      <sz val="18"/>
      <color theme="1"/>
      <name val="Arial"/>
      <family val="2"/>
    </font>
    <font>
      <sz val="16"/>
      <color theme="0"/>
      <name val="Arial"/>
      <family val="2"/>
    </font>
    <font>
      <sz val="16"/>
      <color theme="1"/>
      <name val="Arial"/>
      <family val="2"/>
    </font>
    <font>
      <b/>
      <sz val="14"/>
      <color theme="1"/>
      <name val="Arial"/>
      <family val="2"/>
    </font>
    <font>
      <sz val="18"/>
      <color theme="0"/>
      <name val="Arial"/>
      <family val="2"/>
    </font>
    <font>
      <b/>
      <sz val="10"/>
      <color theme="0"/>
      <name val="Arial"/>
      <family val="2"/>
    </font>
  </fonts>
  <fills count="31">
    <fill>
      <patternFill patternType="none"/>
    </fill>
    <fill>
      <patternFill patternType="gray125"/>
    </fill>
    <fill>
      <patternFill patternType="solid">
        <fgColor theme="4" tint="-0.249977111117893"/>
        <bgColor rgb="FF008080"/>
      </patternFill>
    </fill>
    <fill>
      <patternFill patternType="solid">
        <fgColor theme="4" tint="-0.249977111117893"/>
        <bgColor rgb="FF1E2A4A"/>
      </patternFill>
    </fill>
    <fill>
      <patternFill patternType="solid">
        <fgColor theme="0"/>
        <bgColor rgb="FF1E2A4A"/>
      </patternFill>
    </fill>
    <fill>
      <patternFill patternType="solid">
        <fgColor theme="4" tint="-0.249977111117893"/>
        <bgColor indexed="64"/>
      </patternFill>
    </fill>
    <fill>
      <patternFill patternType="solid">
        <fgColor rgb="FF0F3460"/>
        <bgColor rgb="FF1E2A4A"/>
      </patternFill>
    </fill>
    <fill>
      <patternFill patternType="solid">
        <fgColor theme="0"/>
        <bgColor rgb="FFFF6B6B"/>
      </patternFill>
    </fill>
    <fill>
      <patternFill patternType="solid">
        <fgColor theme="8" tint="-0.249977111117893"/>
        <bgColor rgb="FF1E2A4A"/>
      </patternFill>
    </fill>
    <fill>
      <patternFill patternType="solid">
        <fgColor theme="8" tint="-0.249977111117893"/>
        <bgColor rgb="FF0F3460"/>
      </patternFill>
    </fill>
    <fill>
      <patternFill patternType="solid">
        <fgColor theme="8" tint="-0.249977111117893"/>
        <bgColor rgb="FF16213E"/>
      </patternFill>
    </fill>
    <fill>
      <patternFill patternType="solid">
        <fgColor theme="8" tint="-0.249977111117893"/>
        <bgColor rgb="FF008080"/>
      </patternFill>
    </fill>
    <fill>
      <patternFill patternType="solid">
        <fgColor theme="8" tint="-0.249977111117893"/>
        <bgColor rgb="FFC0504D"/>
      </patternFill>
    </fill>
    <fill>
      <patternFill patternType="solid">
        <fgColor theme="8" tint="-0.249977111117893"/>
        <bgColor rgb="FF7B341E"/>
      </patternFill>
    </fill>
    <fill>
      <patternFill patternType="solid">
        <fgColor theme="0"/>
        <bgColor rgb="FF16213E"/>
      </patternFill>
    </fill>
    <fill>
      <patternFill patternType="solid">
        <fgColor theme="8" tint="-0.249977111117893"/>
        <bgColor rgb="FFFF6B6B"/>
      </patternFill>
    </fill>
    <fill>
      <patternFill patternType="solid">
        <fgColor theme="8" tint="-0.249977111117893"/>
        <bgColor rgb="FF7B1C1C"/>
      </patternFill>
    </fill>
    <fill>
      <patternFill patternType="solid">
        <fgColor theme="0"/>
        <bgColor indexed="64"/>
      </patternFill>
    </fill>
    <fill>
      <patternFill patternType="solid">
        <fgColor theme="4" tint="-0.499984740745262"/>
        <bgColor rgb="FF1A1A2E"/>
      </patternFill>
    </fill>
    <fill>
      <patternFill patternType="solid">
        <fgColor theme="9" tint="0.59999389629810485"/>
        <bgColor indexed="64"/>
      </patternFill>
    </fill>
    <fill>
      <patternFill patternType="solid">
        <fgColor theme="4" tint="-0.499984740745262"/>
        <bgColor rgb="FF1E2A4A"/>
      </patternFill>
    </fill>
    <fill>
      <patternFill patternType="solid">
        <fgColor theme="8" tint="-0.249977111117893"/>
        <bgColor rgb="FFFFD43B"/>
      </patternFill>
    </fill>
    <fill>
      <patternFill patternType="solid">
        <fgColor theme="8" tint="-0.249977111117893"/>
        <bgColor indexed="64"/>
      </patternFill>
    </fill>
    <fill>
      <patternFill patternType="solid">
        <fgColor theme="9" tint="0.59999389629810485"/>
        <bgColor rgb="FF16213E"/>
      </patternFill>
    </fill>
    <fill>
      <patternFill patternType="solid">
        <fgColor theme="7" tint="0.59999389629810485"/>
        <bgColor indexed="64"/>
      </patternFill>
    </fill>
    <fill>
      <patternFill patternType="solid">
        <fgColor theme="8" tint="-0.249977111117893"/>
        <bgColor rgb="FF1A1A2E"/>
      </patternFill>
    </fill>
    <fill>
      <patternFill patternType="solid">
        <fgColor theme="4" tint="-0.499984740745262"/>
        <bgColor indexed="64"/>
      </patternFill>
    </fill>
    <fill>
      <patternFill patternType="solid">
        <fgColor theme="9" tint="0.59999389629810485"/>
        <bgColor rgb="FF1A1A2E"/>
      </patternFill>
    </fill>
    <fill>
      <patternFill patternType="solid">
        <fgColor theme="0"/>
        <bgColor rgb="FFC0504D"/>
      </patternFill>
    </fill>
    <fill>
      <patternFill patternType="solid">
        <fgColor theme="8" tint="-0.249977111117893"/>
        <bgColor rgb="FFE17055"/>
      </patternFill>
    </fill>
    <fill>
      <patternFill patternType="solid">
        <fgColor theme="8" tint="-0.249977111117893"/>
        <bgColor rgb="FFFDCB6E"/>
      </patternFill>
    </fill>
  </fills>
  <borders count="17">
    <border>
      <left/>
      <right/>
      <top/>
      <bottom/>
      <diagonal/>
    </border>
    <border>
      <left style="thin">
        <color rgb="FF2D3561"/>
      </left>
      <right style="thin">
        <color rgb="FF2D3561"/>
      </right>
      <top style="thin">
        <color rgb="FF2D3561"/>
      </top>
      <bottom style="thin">
        <color rgb="FF2D3561"/>
      </bottom>
      <diagonal/>
    </border>
    <border>
      <left/>
      <right style="thin">
        <color rgb="FF2D3561"/>
      </right>
      <top style="thin">
        <color rgb="FF2D3561"/>
      </top>
      <bottom style="thin">
        <color rgb="FF2D3561"/>
      </bottom>
      <diagonal/>
    </border>
    <border>
      <left style="thin">
        <color rgb="FF2D3561"/>
      </left>
      <right/>
      <top style="thin">
        <color rgb="FF2D3561"/>
      </top>
      <bottom style="thin">
        <color rgb="FF2D3561"/>
      </bottom>
      <diagonal/>
    </border>
    <border>
      <left/>
      <right style="thin">
        <color rgb="FF2D3561"/>
      </right>
      <top/>
      <bottom style="thin">
        <color rgb="FF2D3561"/>
      </bottom>
      <diagonal/>
    </border>
    <border>
      <left style="thin">
        <color rgb="FF2D3561"/>
      </left>
      <right style="thin">
        <color rgb="FF2D3561"/>
      </right>
      <top/>
      <bottom style="thin">
        <color rgb="FF2D3561"/>
      </bottom>
      <diagonal/>
    </border>
    <border>
      <left style="thin">
        <color rgb="FF2D3561"/>
      </left>
      <right/>
      <top/>
      <bottom style="thin">
        <color rgb="FF2D3561"/>
      </bottom>
      <diagonal/>
    </border>
    <border>
      <left/>
      <right style="thin">
        <color rgb="FF2D3561"/>
      </right>
      <top style="thin">
        <color rgb="FF2D3561"/>
      </top>
      <bottom/>
      <diagonal/>
    </border>
    <border>
      <left style="thin">
        <color rgb="FF2D3561"/>
      </left>
      <right style="thin">
        <color rgb="FF2D3561"/>
      </right>
      <top style="thin">
        <color rgb="FF2D3561"/>
      </top>
      <bottom/>
      <diagonal/>
    </border>
    <border>
      <left/>
      <right/>
      <top/>
      <bottom style="thin">
        <color rgb="FF2D3561"/>
      </bottom>
      <diagonal/>
    </border>
    <border>
      <left style="thin">
        <color rgb="FF2D3561"/>
      </left>
      <right/>
      <top style="thin">
        <color rgb="FF2D3561"/>
      </top>
      <bottom/>
      <diagonal/>
    </border>
    <border>
      <left/>
      <right/>
      <top style="thin">
        <color rgb="FF2D3561"/>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rgb="FF2D3561"/>
      </top>
      <bottom style="thin">
        <color rgb="FF2D356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1" fillId="0" borderId="0" applyFont="0" applyFill="0" applyBorder="0" applyAlignment="0" applyProtection="0"/>
  </cellStyleXfs>
  <cellXfs count="162">
    <xf numFmtId="0" fontId="0" fillId="0" borderId="0" xfId="0"/>
    <xf numFmtId="0" fontId="2" fillId="4" borderId="0" xfId="0" applyFont="1" applyFill="1" applyAlignment="1">
      <alignment vertical="center" wrapText="1"/>
    </xf>
    <xf numFmtId="0" fontId="7" fillId="0" borderId="0" xfId="0" applyFont="1"/>
    <xf numFmtId="166" fontId="7" fillId="0" borderId="0" xfId="0" applyNumberFormat="1" applyFont="1"/>
    <xf numFmtId="10" fontId="7" fillId="0" borderId="0" xfId="0" applyNumberFormat="1" applyFont="1"/>
    <xf numFmtId="0" fontId="7" fillId="0" borderId="0" xfId="0" applyFont="1" applyAlignment="1">
      <alignment wrapText="1"/>
    </xf>
    <xf numFmtId="0" fontId="3" fillId="7" borderId="0" xfId="0" applyFont="1" applyFill="1" applyAlignment="1">
      <alignment vertical="center" wrapText="1"/>
    </xf>
    <xf numFmtId="0" fontId="0" fillId="14" borderId="0" xfId="0" applyFill="1"/>
    <xf numFmtId="0" fontId="0" fillId="17" borderId="0" xfId="0" applyFill="1"/>
    <xf numFmtId="0" fontId="3" fillId="12" borderId="1" xfId="0" applyFont="1" applyFill="1" applyBorder="1" applyAlignment="1">
      <alignment horizontal="center" vertical="center" wrapText="1"/>
    </xf>
    <xf numFmtId="0" fontId="3" fillId="0" borderId="0" xfId="0" applyFont="1" applyAlignment="1">
      <alignment vertical="center" wrapText="1"/>
    </xf>
    <xf numFmtId="0" fontId="3" fillId="8" borderId="1"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4" fillId="21" borderId="1" xfId="0" applyFont="1" applyFill="1" applyBorder="1" applyAlignment="1">
      <alignment horizontal="center" vertical="center" wrapText="1"/>
    </xf>
    <xf numFmtId="9" fontId="9" fillId="24" borderId="12" xfId="0" applyNumberFormat="1" applyFont="1" applyFill="1" applyBorder="1" applyAlignment="1">
      <alignment horizontal="center" wrapText="1"/>
    </xf>
    <xf numFmtId="9" fontId="9" fillId="24" borderId="13" xfId="0" applyNumberFormat="1" applyFont="1" applyFill="1" applyBorder="1" applyAlignment="1">
      <alignment horizontal="center" wrapText="1"/>
    </xf>
    <xf numFmtId="9" fontId="9" fillId="24" borderId="14" xfId="0" applyNumberFormat="1" applyFont="1" applyFill="1" applyBorder="1" applyAlignment="1">
      <alignment horizontal="center" wrapText="1"/>
    </xf>
    <xf numFmtId="0" fontId="18" fillId="23" borderId="2" xfId="0" applyFont="1" applyFill="1" applyBorder="1" applyAlignment="1">
      <alignment horizontal="center" vertical="center" wrapText="1"/>
    </xf>
    <xf numFmtId="0" fontId="18" fillId="23" borderId="1" xfId="0" applyFont="1" applyFill="1" applyBorder="1" applyAlignment="1">
      <alignment horizontal="center" vertical="center" wrapText="1"/>
    </xf>
    <xf numFmtId="164" fontId="18" fillId="23" borderId="1" xfId="0" applyNumberFormat="1" applyFont="1" applyFill="1" applyBorder="1" applyAlignment="1">
      <alignment horizontal="center" vertical="center" wrapText="1"/>
    </xf>
    <xf numFmtId="165" fontId="18" fillId="23" borderId="1" xfId="0" applyNumberFormat="1" applyFont="1" applyFill="1" applyBorder="1" applyAlignment="1">
      <alignment horizontal="center" vertical="center" wrapText="1"/>
    </xf>
    <xf numFmtId="165" fontId="18" fillId="23" borderId="3" xfId="0" applyNumberFormat="1" applyFont="1" applyFill="1" applyBorder="1" applyAlignment="1">
      <alignment horizontal="center" vertical="center" wrapText="1"/>
    </xf>
    <xf numFmtId="0" fontId="18" fillId="27" borderId="2" xfId="0" applyFont="1" applyFill="1" applyBorder="1" applyAlignment="1">
      <alignment horizontal="center" vertical="center" wrapText="1"/>
    </xf>
    <xf numFmtId="0" fontId="18" fillId="27" borderId="1" xfId="0" applyFont="1" applyFill="1" applyBorder="1" applyAlignment="1">
      <alignment horizontal="center" vertical="center" wrapText="1"/>
    </xf>
    <xf numFmtId="164" fontId="18" fillId="27" borderId="1" xfId="0" applyNumberFormat="1" applyFont="1" applyFill="1" applyBorder="1" applyAlignment="1">
      <alignment horizontal="center" vertical="center" wrapText="1"/>
    </xf>
    <xf numFmtId="165" fontId="18" fillId="27" borderId="1" xfId="0" applyNumberFormat="1" applyFont="1" applyFill="1" applyBorder="1" applyAlignment="1">
      <alignment horizontal="center" vertical="center" wrapText="1"/>
    </xf>
    <xf numFmtId="165" fontId="18" fillId="27" borderId="3" xfId="0" applyNumberFormat="1" applyFont="1" applyFill="1" applyBorder="1" applyAlignment="1">
      <alignment horizontal="center" vertical="center" wrapText="1"/>
    </xf>
    <xf numFmtId="0" fontId="18" fillId="27" borderId="7" xfId="0" applyFont="1" applyFill="1" applyBorder="1" applyAlignment="1">
      <alignment horizontal="center" vertical="center" wrapText="1"/>
    </xf>
    <xf numFmtId="0" fontId="18" fillId="27" borderId="8" xfId="0" applyFont="1" applyFill="1" applyBorder="1" applyAlignment="1">
      <alignment horizontal="center" vertical="center" wrapText="1"/>
    </xf>
    <xf numFmtId="164" fontId="18" fillId="27" borderId="8" xfId="0" applyNumberFormat="1" applyFont="1" applyFill="1" applyBorder="1" applyAlignment="1">
      <alignment horizontal="center" vertical="center" wrapText="1"/>
    </xf>
    <xf numFmtId="165" fontId="18" fillId="27" borderId="8" xfId="0" applyNumberFormat="1" applyFont="1" applyFill="1" applyBorder="1" applyAlignment="1">
      <alignment horizontal="center" vertical="center" wrapText="1"/>
    </xf>
    <xf numFmtId="0" fontId="1" fillId="8" borderId="4" xfId="0" applyFont="1" applyFill="1" applyBorder="1" applyAlignment="1">
      <alignment horizontal="center" vertical="center" wrapText="1"/>
    </xf>
    <xf numFmtId="0" fontId="1" fillId="8" borderId="5" xfId="0" applyFont="1" applyFill="1" applyBorder="1" applyAlignment="1">
      <alignment horizontal="center" vertical="center" wrapText="1"/>
    </xf>
    <xf numFmtId="0" fontId="1" fillId="8" borderId="6" xfId="0" applyFont="1" applyFill="1" applyBorder="1" applyAlignment="1">
      <alignment horizontal="center" vertical="center" wrapText="1"/>
    </xf>
    <xf numFmtId="0" fontId="2" fillId="28" borderId="0" xfId="0" applyFont="1" applyFill="1" applyAlignment="1">
      <alignment horizontal="center" wrapText="1"/>
    </xf>
    <xf numFmtId="0" fontId="7" fillId="17" borderId="0" xfId="0" applyFont="1" applyFill="1" applyAlignment="1">
      <alignment wrapText="1"/>
    </xf>
    <xf numFmtId="0" fontId="4" fillId="17" borderId="0" xfId="0" applyFont="1" applyFill="1" applyAlignment="1">
      <alignment horizontal="center" wrapText="1"/>
    </xf>
    <xf numFmtId="0" fontId="4" fillId="22" borderId="0" xfId="0" applyFont="1" applyFill="1" applyAlignment="1">
      <alignment wrapText="1"/>
    </xf>
    <xf numFmtId="0" fontId="8" fillId="17" borderId="0" xfId="0" applyFont="1" applyFill="1" applyAlignment="1">
      <alignment horizontal="center" wrapText="1"/>
    </xf>
    <xf numFmtId="169" fontId="4" fillId="22" borderId="0" xfId="0" applyNumberFormat="1" applyFont="1" applyFill="1" applyAlignment="1">
      <alignment horizontal="center" wrapText="1"/>
    </xf>
    <xf numFmtId="0" fontId="5" fillId="19" borderId="0" xfId="0" applyFont="1" applyFill="1" applyAlignment="1">
      <alignment wrapText="1"/>
    </xf>
    <xf numFmtId="9" fontId="9" fillId="19" borderId="0" xfId="0" applyNumberFormat="1" applyFont="1" applyFill="1" applyAlignment="1">
      <alignment horizontal="center" wrapText="1"/>
    </xf>
    <xf numFmtId="1" fontId="5" fillId="19" borderId="0" xfId="0" applyNumberFormat="1" applyFont="1" applyFill="1" applyAlignment="1">
      <alignment horizontal="center" wrapText="1"/>
    </xf>
    <xf numFmtId="168" fontId="5" fillId="19" borderId="0" xfId="0" applyNumberFormat="1" applyFont="1" applyFill="1" applyAlignment="1">
      <alignment horizontal="center" wrapText="1"/>
    </xf>
    <xf numFmtId="10" fontId="5" fillId="19" borderId="0" xfId="0" applyNumberFormat="1" applyFont="1" applyFill="1" applyAlignment="1">
      <alignment horizontal="center" wrapText="1"/>
    </xf>
    <xf numFmtId="0" fontId="5" fillId="19" borderId="0" xfId="0" applyFont="1" applyFill="1" applyAlignment="1">
      <alignment horizontal="center" wrapText="1"/>
    </xf>
    <xf numFmtId="169" fontId="5" fillId="19" borderId="0" xfId="0" applyNumberFormat="1" applyFont="1" applyFill="1" applyAlignment="1">
      <alignment horizontal="center" wrapText="1"/>
    </xf>
    <xf numFmtId="0" fontId="7" fillId="22" borderId="0" xfId="0" applyFont="1" applyFill="1" applyAlignment="1">
      <alignment horizontal="center" wrapText="1"/>
    </xf>
    <xf numFmtId="10" fontId="3" fillId="8" borderId="1" xfId="0" applyNumberFormat="1" applyFont="1" applyFill="1" applyBorder="1" applyAlignment="1">
      <alignment horizontal="center" vertical="center" wrapText="1"/>
    </xf>
    <xf numFmtId="166" fontId="5" fillId="19" borderId="0" xfId="0" applyNumberFormat="1" applyFont="1" applyFill="1"/>
    <xf numFmtId="0" fontId="5" fillId="0" borderId="0" xfId="0" applyFont="1"/>
    <xf numFmtId="0" fontId="5" fillId="19" borderId="0" xfId="0" applyFont="1" applyFill="1"/>
    <xf numFmtId="10" fontId="5" fillId="19" borderId="0" xfId="0" applyNumberFormat="1" applyFont="1" applyFill="1"/>
    <xf numFmtId="165" fontId="5" fillId="19" borderId="0" xfId="0" applyNumberFormat="1" applyFont="1" applyFill="1"/>
    <xf numFmtId="166" fontId="5" fillId="19" borderId="0" xfId="0" applyNumberFormat="1" applyFont="1" applyFill="1" applyAlignment="1">
      <alignment horizontal="center"/>
    </xf>
    <xf numFmtId="0" fontId="5" fillId="0" borderId="0" xfId="0" applyFont="1" applyAlignment="1">
      <alignment horizontal="center"/>
    </xf>
    <xf numFmtId="0" fontId="5" fillId="19" borderId="0" xfId="0" applyFont="1" applyFill="1" applyAlignment="1">
      <alignment horizontal="center"/>
    </xf>
    <xf numFmtId="10" fontId="5" fillId="19" borderId="0" xfId="0" applyNumberFormat="1" applyFont="1" applyFill="1" applyAlignment="1">
      <alignment horizontal="center"/>
    </xf>
    <xf numFmtId="167" fontId="5" fillId="19" borderId="0" xfId="0" applyNumberFormat="1" applyFont="1" applyFill="1" applyAlignment="1">
      <alignment horizontal="center"/>
    </xf>
    <xf numFmtId="165" fontId="5" fillId="19" borderId="0" xfId="0" applyNumberFormat="1" applyFont="1" applyFill="1" applyAlignment="1">
      <alignment horizontal="center"/>
    </xf>
    <xf numFmtId="0" fontId="5" fillId="19" borderId="16" xfId="0" applyFont="1" applyFill="1" applyBorder="1" applyAlignment="1">
      <alignment wrapText="1"/>
    </xf>
    <xf numFmtId="9" fontId="5" fillId="0" borderId="0" xfId="1" applyFont="1"/>
    <xf numFmtId="166" fontId="5" fillId="0" borderId="0" xfId="0" applyNumberFormat="1" applyFont="1"/>
    <xf numFmtId="10" fontId="5" fillId="0" borderId="0" xfId="0" applyNumberFormat="1" applyFont="1"/>
    <xf numFmtId="0" fontId="7" fillId="14" borderId="0" xfId="0" applyFont="1" applyFill="1"/>
    <xf numFmtId="0" fontId="7" fillId="17" borderId="0" xfId="0" applyFont="1" applyFill="1"/>
    <xf numFmtId="0" fontId="22" fillId="14" borderId="0" xfId="0" applyFont="1" applyFill="1"/>
    <xf numFmtId="0" fontId="22" fillId="0" borderId="0" xfId="0" applyFont="1"/>
    <xf numFmtId="0" fontId="23" fillId="0" borderId="0" xfId="0" applyFont="1" applyAlignment="1">
      <alignment vertical="center"/>
    </xf>
    <xf numFmtId="167" fontId="23" fillId="0" borderId="0" xfId="0" applyNumberFormat="1" applyFont="1" applyAlignment="1">
      <alignment vertical="center"/>
    </xf>
    <xf numFmtId="165" fontId="23" fillId="0" borderId="0" xfId="0" applyNumberFormat="1" applyFont="1" applyAlignment="1">
      <alignment vertical="center"/>
    </xf>
    <xf numFmtId="0" fontId="7" fillId="10" borderId="0" xfId="0" applyFont="1" applyFill="1"/>
    <xf numFmtId="0" fontId="21" fillId="22" borderId="0" xfId="0" applyFont="1" applyFill="1"/>
    <xf numFmtId="0" fontId="7" fillId="17" borderId="0" xfId="0" applyFont="1" applyFill="1" applyAlignment="1">
      <alignment horizontal="center"/>
    </xf>
    <xf numFmtId="167" fontId="7" fillId="17" borderId="0" xfId="0" applyNumberFormat="1" applyFont="1" applyFill="1" applyAlignment="1">
      <alignment horizontal="center"/>
    </xf>
    <xf numFmtId="165" fontId="7" fillId="17" borderId="0" xfId="0" applyNumberFormat="1" applyFont="1" applyFill="1" applyAlignment="1">
      <alignment horizontal="center"/>
    </xf>
    <xf numFmtId="0" fontId="7" fillId="22" borderId="0" xfId="0" applyFont="1" applyFill="1"/>
    <xf numFmtId="0" fontId="19" fillId="0" borderId="0" xfId="0" applyFont="1"/>
    <xf numFmtId="0" fontId="24" fillId="5" borderId="0" xfId="0" applyFont="1" applyFill="1"/>
    <xf numFmtId="0" fontId="25" fillId="0" borderId="0" xfId="0" applyFont="1" applyAlignment="1">
      <alignment vertical="center"/>
    </xf>
    <xf numFmtId="0" fontId="1" fillId="3" borderId="1" xfId="0" applyFont="1" applyFill="1" applyBorder="1" applyAlignment="1">
      <alignment horizontal="center" vertical="center" wrapText="1"/>
    </xf>
    <xf numFmtId="166" fontId="1" fillId="3" borderId="1" xfId="0" applyNumberFormat="1" applyFont="1" applyFill="1" applyBorder="1" applyAlignment="1">
      <alignment horizontal="center" vertical="center" wrapText="1"/>
    </xf>
    <xf numFmtId="9" fontId="1" fillId="3" borderId="1" xfId="0" applyNumberFormat="1" applyFont="1" applyFill="1" applyBorder="1" applyAlignment="1">
      <alignment horizontal="center" vertical="center" wrapText="1"/>
    </xf>
    <xf numFmtId="9" fontId="7" fillId="0" borderId="0" xfId="0" applyNumberFormat="1" applyFont="1"/>
    <xf numFmtId="0" fontId="7" fillId="0" borderId="0" xfId="0" applyFont="1" applyAlignment="1">
      <alignment horizontal="center"/>
    </xf>
    <xf numFmtId="9" fontId="5" fillId="19" borderId="0" xfId="1" applyFont="1" applyFill="1" applyAlignment="1">
      <alignment horizontal="center"/>
    </xf>
    <xf numFmtId="0" fontId="5" fillId="19" borderId="0" xfId="0" applyFont="1" applyFill="1" applyAlignment="1">
      <alignment vertical="center"/>
    </xf>
    <xf numFmtId="0" fontId="5" fillId="19" borderId="0" xfId="0" applyFont="1" applyFill="1" applyAlignment="1">
      <alignment horizontal="center" vertical="center"/>
    </xf>
    <xf numFmtId="167" fontId="5" fillId="19" borderId="0" xfId="0" applyNumberFormat="1" applyFont="1" applyFill="1" applyAlignment="1">
      <alignment horizontal="center" vertical="center"/>
    </xf>
    <xf numFmtId="9" fontId="5" fillId="19" borderId="0" xfId="0" applyNumberFormat="1" applyFont="1" applyFill="1" applyAlignment="1">
      <alignment horizontal="center" vertical="center"/>
    </xf>
    <xf numFmtId="166" fontId="5" fillId="19" borderId="0" xfId="0" applyNumberFormat="1" applyFont="1" applyFill="1" applyAlignment="1">
      <alignment horizontal="center" vertical="center"/>
    </xf>
    <xf numFmtId="165" fontId="5" fillId="19" borderId="0" xfId="0" applyNumberFormat="1" applyFont="1" applyFill="1" applyAlignment="1">
      <alignment horizontal="center" vertical="center"/>
    </xf>
    <xf numFmtId="9" fontId="5" fillId="19" borderId="0" xfId="0" applyNumberFormat="1" applyFont="1" applyFill="1" applyAlignment="1">
      <alignment horizontal="center"/>
    </xf>
    <xf numFmtId="0" fontId="28" fillId="25" borderId="1" xfId="0" applyFont="1" applyFill="1" applyBorder="1" applyAlignment="1">
      <alignment horizontal="left" vertical="top" wrapText="1"/>
    </xf>
    <xf numFmtId="0" fontId="5" fillId="0" borderId="0" xfId="0" pivotButton="1" applyFont="1"/>
    <xf numFmtId="0" fontId="5" fillId="0" borderId="0" xfId="0" applyFont="1" applyAlignment="1">
      <alignment horizontal="left"/>
    </xf>
    <xf numFmtId="164" fontId="5" fillId="0" borderId="0" xfId="0" applyNumberFormat="1" applyFont="1"/>
    <xf numFmtId="165" fontId="5" fillId="0" borderId="0" xfId="0" applyNumberFormat="1" applyFont="1"/>
    <xf numFmtId="0" fontId="4" fillId="22" borderId="0" xfId="0" applyFont="1" applyFill="1" applyAlignment="1">
      <alignment wrapText="1"/>
    </xf>
    <xf numFmtId="0" fontId="6" fillId="20" borderId="0" xfId="0" applyFont="1" applyFill="1" applyAlignment="1">
      <alignment horizontal="center" wrapText="1"/>
    </xf>
    <xf numFmtId="0" fontId="8" fillId="22" borderId="0" xfId="0" applyFont="1" applyFill="1" applyAlignment="1">
      <alignment horizontal="center" wrapText="1"/>
    </xf>
    <xf numFmtId="0" fontId="2" fillId="12" borderId="0" xfId="0" applyFont="1" applyFill="1" applyAlignment="1">
      <alignment horizontal="center" wrapText="1"/>
    </xf>
    <xf numFmtId="0" fontId="4" fillId="22" borderId="0" xfId="0" applyFont="1" applyFill="1" applyAlignment="1">
      <alignment horizontal="center" wrapText="1"/>
    </xf>
    <xf numFmtId="0" fontId="5" fillId="27" borderId="3" xfId="0" applyFont="1" applyFill="1" applyBorder="1" applyAlignment="1">
      <alignment horizontal="left" vertical="center" wrapText="1"/>
    </xf>
    <xf numFmtId="0" fontId="10" fillId="20" borderId="0" xfId="0" applyFont="1" applyFill="1" applyAlignment="1">
      <alignment horizontal="center" vertical="center" wrapText="1"/>
    </xf>
    <xf numFmtId="0" fontId="17" fillId="25" borderId="0" xfId="0" applyFont="1" applyFill="1" applyAlignment="1">
      <alignment horizontal="center" vertical="center" wrapText="1"/>
    </xf>
    <xf numFmtId="0" fontId="2" fillId="8" borderId="0" xfId="0" applyFont="1" applyFill="1" applyAlignment="1">
      <alignment horizontal="center" vertical="center" wrapText="1"/>
    </xf>
    <xf numFmtId="0" fontId="2" fillId="12" borderId="0" xfId="0" applyFont="1" applyFill="1" applyAlignment="1">
      <alignment horizontal="center" vertical="center" wrapText="1"/>
    </xf>
    <xf numFmtId="0" fontId="2" fillId="11" borderId="0" xfId="0" applyFont="1" applyFill="1" applyAlignment="1">
      <alignment horizontal="center" vertical="center" wrapText="1"/>
    </xf>
    <xf numFmtId="0" fontId="2" fillId="15" borderId="0" xfId="0" applyFont="1" applyFill="1" applyAlignment="1">
      <alignment horizontal="center" vertical="center" wrapText="1"/>
    </xf>
    <xf numFmtId="0" fontId="5" fillId="27" borderId="15" xfId="0" applyFont="1" applyFill="1" applyBorder="1" applyAlignment="1">
      <alignment horizontal="left" vertical="center" wrapText="1"/>
    </xf>
    <xf numFmtId="0" fontId="5" fillId="23" borderId="10" xfId="0" applyFont="1" applyFill="1" applyBorder="1" applyAlignment="1">
      <alignment horizontal="left" vertical="top" wrapText="1"/>
    </xf>
    <xf numFmtId="167" fontId="23" fillId="19" borderId="11" xfId="0" applyNumberFormat="1" applyFont="1" applyFill="1" applyBorder="1" applyAlignment="1">
      <alignment horizontal="center" vertical="center"/>
    </xf>
    <xf numFmtId="0" fontId="23" fillId="19" borderId="11" xfId="0" applyFont="1" applyFill="1" applyBorder="1" applyAlignment="1">
      <alignment horizontal="center" vertical="center"/>
    </xf>
    <xf numFmtId="0" fontId="12" fillId="20" borderId="0" xfId="0" applyFont="1" applyFill="1" applyAlignment="1">
      <alignment horizontal="center" vertical="center" wrapText="1"/>
    </xf>
    <xf numFmtId="0" fontId="13" fillId="18" borderId="0" xfId="0" applyFont="1" applyFill="1" applyAlignment="1">
      <alignment horizontal="center" vertical="center"/>
    </xf>
    <xf numFmtId="0" fontId="15" fillId="8" borderId="3" xfId="0" applyFont="1" applyFill="1" applyBorder="1" applyAlignment="1">
      <alignment horizontal="center" vertical="center" wrapText="1"/>
    </xf>
    <xf numFmtId="0" fontId="12" fillId="8" borderId="3" xfId="0" applyFont="1" applyFill="1" applyBorder="1" applyAlignment="1">
      <alignment horizontal="center" vertical="center" wrapText="1"/>
    </xf>
    <xf numFmtId="0" fontId="12" fillId="9" borderId="3" xfId="0" applyFont="1" applyFill="1" applyBorder="1" applyAlignment="1">
      <alignment horizontal="center" vertical="center" wrapText="1"/>
    </xf>
    <xf numFmtId="0" fontId="12" fillId="11" borderId="3" xfId="0" applyFont="1" applyFill="1" applyBorder="1" applyAlignment="1">
      <alignment horizontal="center" vertical="center" wrapText="1"/>
    </xf>
    <xf numFmtId="0" fontId="12" fillId="12" borderId="3" xfId="0" applyFont="1" applyFill="1" applyBorder="1" applyAlignment="1">
      <alignment horizontal="center" vertical="center" wrapText="1"/>
    </xf>
    <xf numFmtId="0" fontId="12" fillId="13" borderId="3" xfId="0" applyFont="1" applyFill="1" applyBorder="1" applyAlignment="1">
      <alignment horizontal="center" vertical="center" wrapText="1"/>
    </xf>
    <xf numFmtId="0" fontId="12" fillId="15" borderId="3" xfId="0" applyFont="1" applyFill="1" applyBorder="1" applyAlignment="1">
      <alignment horizontal="center" vertical="center" wrapText="1"/>
    </xf>
    <xf numFmtId="0" fontId="12" fillId="16" borderId="3" xfId="0" applyFont="1" applyFill="1" applyBorder="1" applyAlignment="1">
      <alignment horizontal="center" vertical="center" wrapText="1"/>
    </xf>
    <xf numFmtId="165" fontId="23" fillId="19" borderId="11" xfId="0" applyNumberFormat="1" applyFont="1" applyFill="1" applyBorder="1" applyAlignment="1">
      <alignment horizontal="center" vertical="center"/>
    </xf>
    <xf numFmtId="0" fontId="16" fillId="2" borderId="0" xfId="0" applyFont="1" applyFill="1" applyAlignment="1">
      <alignment horizontal="center" vertical="center"/>
    </xf>
    <xf numFmtId="0" fontId="14" fillId="25" borderId="3" xfId="0" applyFont="1" applyFill="1" applyBorder="1" applyAlignment="1">
      <alignment horizontal="center" vertical="center"/>
    </xf>
    <xf numFmtId="0" fontId="22" fillId="24" borderId="0" xfId="0" applyFont="1" applyFill="1" applyAlignment="1">
      <alignment horizontal="center" vertical="center"/>
    </xf>
    <xf numFmtId="0" fontId="2" fillId="8" borderId="3" xfId="0" applyFont="1" applyFill="1" applyBorder="1" applyAlignment="1">
      <alignment horizontal="center" vertical="center"/>
    </xf>
    <xf numFmtId="0" fontId="14" fillId="20" borderId="0" xfId="0" applyFont="1" applyFill="1" applyAlignment="1">
      <alignment horizontal="center" vertical="center"/>
    </xf>
    <xf numFmtId="0" fontId="16" fillId="20" borderId="0" xfId="0" applyFont="1" applyFill="1" applyAlignment="1">
      <alignment horizontal="center" vertical="center"/>
    </xf>
    <xf numFmtId="0" fontId="16" fillId="3" borderId="0" xfId="0" applyFont="1" applyFill="1" applyAlignment="1">
      <alignment horizontal="center" vertical="center"/>
    </xf>
    <xf numFmtId="0" fontId="20" fillId="22" borderId="0" xfId="0" applyFont="1" applyFill="1" applyAlignment="1">
      <alignment horizontal="center"/>
    </xf>
    <xf numFmtId="0" fontId="21" fillId="22" borderId="0" xfId="0" applyFont="1" applyFill="1" applyAlignment="1">
      <alignment horizontal="center"/>
    </xf>
    <xf numFmtId="0" fontId="2" fillId="12" borderId="3" xfId="0" applyFont="1" applyFill="1" applyBorder="1" applyAlignment="1">
      <alignment horizontal="center" vertical="center" wrapText="1"/>
    </xf>
    <xf numFmtId="0" fontId="2" fillId="15" borderId="3" xfId="0" applyFont="1" applyFill="1" applyBorder="1" applyAlignment="1">
      <alignment horizontal="center" vertical="center" wrapText="1"/>
    </xf>
    <xf numFmtId="0" fontId="2" fillId="8" borderId="3" xfId="0" applyFont="1" applyFill="1" applyBorder="1" applyAlignment="1">
      <alignment horizontal="center" vertical="center" wrapText="1"/>
    </xf>
    <xf numFmtId="0" fontId="2" fillId="16" borderId="3" xfId="0" applyFont="1" applyFill="1" applyBorder="1" applyAlignment="1">
      <alignment horizontal="center" vertical="center" wrapText="1"/>
    </xf>
    <xf numFmtId="0" fontId="5" fillId="19" borderId="0" xfId="0" applyFont="1" applyFill="1" applyAlignment="1">
      <alignment horizontal="left" vertical="center" wrapText="1"/>
    </xf>
    <xf numFmtId="0" fontId="2" fillId="8" borderId="3" xfId="0" applyFont="1" applyFill="1" applyBorder="1" applyAlignment="1">
      <alignment horizontal="left" vertical="center"/>
    </xf>
    <xf numFmtId="0" fontId="2" fillId="8" borderId="15" xfId="0" applyFont="1" applyFill="1" applyBorder="1" applyAlignment="1">
      <alignment horizontal="left" vertical="center"/>
    </xf>
    <xf numFmtId="0" fontId="2" fillId="8" borderId="2" xfId="0" applyFont="1" applyFill="1" applyBorder="1" applyAlignment="1">
      <alignment horizontal="left" vertical="center"/>
    </xf>
    <xf numFmtId="0" fontId="5" fillId="19" borderId="11" xfId="0" applyFont="1" applyFill="1" applyBorder="1" applyAlignment="1">
      <alignment horizontal="left" vertical="center" wrapText="1"/>
    </xf>
    <xf numFmtId="167" fontId="5" fillId="19" borderId="11" xfId="0" applyNumberFormat="1" applyFont="1" applyFill="1" applyBorder="1" applyAlignment="1">
      <alignment horizontal="left" vertical="center" wrapText="1"/>
    </xf>
    <xf numFmtId="167" fontId="5" fillId="19" borderId="0" xfId="0" applyNumberFormat="1" applyFont="1" applyFill="1" applyAlignment="1">
      <alignment horizontal="left" vertical="center" wrapText="1"/>
    </xf>
    <xf numFmtId="165" fontId="5" fillId="19" borderId="0" xfId="0" applyNumberFormat="1" applyFont="1" applyFill="1" applyAlignment="1">
      <alignment horizontal="left" vertical="center" wrapText="1"/>
    </xf>
    <xf numFmtId="166" fontId="5" fillId="19" borderId="0" xfId="0" applyNumberFormat="1" applyFont="1" applyFill="1" applyAlignment="1">
      <alignment horizontal="left" vertical="center" wrapText="1"/>
    </xf>
    <xf numFmtId="0" fontId="2" fillId="20" borderId="0" xfId="0" applyFont="1" applyFill="1" applyAlignment="1">
      <alignment horizontal="center" vertical="center" wrapText="1"/>
    </xf>
    <xf numFmtId="0" fontId="2" fillId="20" borderId="9" xfId="0" applyFont="1" applyFill="1" applyBorder="1" applyAlignment="1">
      <alignment horizontal="center" vertical="center" wrapText="1"/>
    </xf>
    <xf numFmtId="0" fontId="24" fillId="26" borderId="0" xfId="0" applyFont="1" applyFill="1" applyAlignment="1">
      <alignment horizontal="center" vertical="center"/>
    </xf>
    <xf numFmtId="0" fontId="4" fillId="29" borderId="10" xfId="0" applyFont="1" applyFill="1" applyBorder="1" applyAlignment="1">
      <alignment horizontal="center" vertical="center" wrapText="1"/>
    </xf>
    <xf numFmtId="0" fontId="4" fillId="15" borderId="10" xfId="0" applyFont="1" applyFill="1" applyBorder="1" applyAlignment="1">
      <alignment horizontal="center" vertical="center" wrapText="1"/>
    </xf>
    <xf numFmtId="0" fontId="4" fillId="30" borderId="10" xfId="0" applyFont="1" applyFill="1" applyBorder="1" applyAlignment="1">
      <alignment horizontal="center" vertical="center" wrapText="1"/>
    </xf>
    <xf numFmtId="0" fontId="26" fillId="0" borderId="0" xfId="0" applyFont="1" applyAlignment="1">
      <alignment horizontal="center"/>
    </xf>
    <xf numFmtId="166" fontId="26" fillId="0" borderId="0" xfId="0" applyNumberFormat="1" applyFont="1" applyAlignment="1">
      <alignment horizontal="center"/>
    </xf>
    <xf numFmtId="10" fontId="26" fillId="0" borderId="0" xfId="0" applyNumberFormat="1" applyFont="1" applyAlignment="1">
      <alignment horizontal="center"/>
    </xf>
    <xf numFmtId="0" fontId="2" fillId="6" borderId="0" xfId="0" applyFont="1" applyFill="1" applyAlignment="1">
      <alignment horizontal="center" vertical="center" wrapText="1"/>
    </xf>
    <xf numFmtId="0" fontId="10" fillId="6" borderId="0" xfId="0" applyFont="1" applyFill="1" applyAlignment="1">
      <alignment horizontal="center" vertical="center" wrapText="1"/>
    </xf>
    <xf numFmtId="0" fontId="3" fillId="15" borderId="9" xfId="0" applyFont="1" applyFill="1" applyBorder="1" applyAlignment="1">
      <alignment horizontal="center" vertical="center" wrapText="1"/>
    </xf>
    <xf numFmtId="0" fontId="3" fillId="12" borderId="9" xfId="0" applyFont="1" applyFill="1" applyBorder="1" applyAlignment="1">
      <alignment horizontal="center" vertical="center" wrapText="1"/>
    </xf>
    <xf numFmtId="0" fontId="27" fillId="22" borderId="0" xfId="0" applyFont="1" applyFill="1" applyAlignment="1">
      <alignment horizontal="center" vertical="center"/>
    </xf>
    <xf numFmtId="0" fontId="24" fillId="22" borderId="0" xfId="0" applyFont="1" applyFill="1" applyAlignment="1">
      <alignment horizontal="center" vertical="center"/>
    </xf>
  </cellXfs>
  <cellStyles count="2">
    <cellStyle name="Normal" xfId="0" builtinId="0"/>
    <cellStyle name="Percent" xfId="1" builtinId="5"/>
  </cellStyles>
  <dxfs count="42">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9"/>
        <color theme="1"/>
        <name val="Arial"/>
        <family val="2"/>
        <scheme val="none"/>
      </font>
      <numFmt numFmtId="165" formatCode="0.0%"/>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numFmt numFmtId="165" formatCode="0.0%"/>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numFmt numFmtId="164" formatCode="\₹#,##0"/>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numFmt numFmtId="164" formatCode="\₹#,##0"/>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numFmt numFmtId="165" formatCode="0.0%"/>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numFmt numFmtId="164" formatCode="\₹#,##0"/>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numFmt numFmtId="164" formatCode="\₹#,##0"/>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numFmt numFmtId="165" formatCode="0.0%"/>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numFmt numFmtId="164" formatCode="\₹#,##0"/>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numFmt numFmtId="164" formatCode="\₹#,##0"/>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fill>
        <patternFill patternType="solid">
          <fgColor rgb="FF1A1A2E"/>
          <bgColor theme="9" tint="0.59999389629810485"/>
        </patternFill>
      </fill>
      <alignment horizontal="center" vertical="center" textRotation="0" wrapText="1" indent="0" justifyLastLine="0" shrinkToFit="0" readingOrder="0"/>
      <border diagonalUp="0" diagonalDown="0"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fill>
        <patternFill patternType="solid">
          <fgColor rgb="FF1A1A2E"/>
          <bgColor theme="9" tint="0.59999389629810485"/>
        </patternFill>
      </fill>
      <alignment horizontal="center" vertical="center" textRotation="0" wrapText="1" indent="0" justifyLastLine="0" shrinkToFit="0" readingOrder="0"/>
      <border diagonalUp="0" diagonalDown="0" outline="0">
        <left/>
        <right style="thin">
          <color rgb="FF2D3561"/>
        </right>
        <top style="thin">
          <color rgb="FF2D3561"/>
        </top>
        <bottom style="thin">
          <color rgb="FF2D3561"/>
        </bottom>
      </border>
    </dxf>
    <dxf>
      <border outline="0">
        <top style="thin">
          <color rgb="FF2D3561"/>
        </top>
      </border>
    </dxf>
    <dxf>
      <border outline="0">
        <left style="thin">
          <color rgb="FF2D3561"/>
        </left>
        <right style="thin">
          <color rgb="FF2D3561"/>
        </right>
        <top style="thin">
          <color rgb="FF2D3561"/>
        </top>
        <bottom style="thin">
          <color rgb="FF2D3561"/>
        </bottom>
      </border>
    </dxf>
    <dxf>
      <font>
        <b val="0"/>
        <i val="0"/>
        <strike val="0"/>
        <condense val="0"/>
        <extend val="0"/>
        <outline val="0"/>
        <shadow val="0"/>
        <u val="none"/>
        <vertAlign val="baseline"/>
        <sz val="9"/>
        <color theme="1"/>
        <name val="Arial"/>
        <family val="2"/>
        <scheme val="none"/>
      </font>
      <fill>
        <patternFill patternType="solid">
          <fgColor rgb="FF1A1A2E"/>
          <bgColor theme="9" tint="0.59999389629810485"/>
        </patternFill>
      </fill>
      <alignment horizontal="center" vertical="center" textRotation="0" wrapText="1" indent="0" justifyLastLine="0" shrinkToFit="0" readingOrder="0"/>
    </dxf>
    <dxf>
      <border outline="0">
        <bottom style="thin">
          <color rgb="FF2D3561"/>
        </bottom>
      </border>
    </dxf>
    <dxf>
      <font>
        <b/>
        <i val="0"/>
        <strike val="0"/>
        <condense val="0"/>
        <extend val="0"/>
        <outline val="0"/>
        <shadow val="0"/>
        <u val="none"/>
        <vertAlign val="baseline"/>
        <sz val="10"/>
        <color rgb="FFFFFFFF"/>
        <name val="Arial"/>
        <family val="2"/>
        <scheme val="none"/>
      </font>
      <fill>
        <patternFill patternType="solid">
          <fgColor rgb="FF1E2A4A"/>
          <bgColor theme="8" tint="-0.249977111117893"/>
        </patternFill>
      </fill>
      <alignment horizontal="center" vertical="center" textRotation="0" wrapText="1" indent="0" justifyLastLine="0" shrinkToFit="0" readingOrder="0"/>
      <border diagonalUp="0" diagonalDown="0" outline="0">
        <left style="thin">
          <color rgb="FF2D3561"/>
        </left>
        <right style="thin">
          <color rgb="FF2D3561"/>
        </right>
        <top/>
        <bottom/>
      </border>
    </dxf>
  </dxfs>
  <tableStyles count="0" defaultTableStyle="TableStyleMedium2" defaultPivotStyle="PivotStyleLight16"/>
  <colors>
    <mruColors>
      <color rgb="FF0F17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en-IN">
                <a:solidFill>
                  <a:schemeClr val="bg1"/>
                </a:solidFill>
              </a:rPr>
              <a:t> </a:t>
            </a:r>
            <a:r>
              <a:rPr lang="en-IN" sz="1600" b="1" i="0" u="none" strike="noStrike" kern="1200" spc="-1" baseline="0">
                <a:solidFill>
                  <a:schemeClr val="bg1"/>
                </a:solidFill>
                <a:latin typeface="Calibri"/>
              </a:rPr>
              <a:t>Category-wise Net Profit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Charts_Data!$B$2</c:f>
              <c:strCache>
                <c:ptCount val="1"/>
                <c:pt idx="0">
                  <c:v>Net Profit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Charts_Data!$A$3:$A$10</c:f>
              <c:strCache>
                <c:ptCount val="8"/>
                <c:pt idx="0">
                  <c:v>Electronics</c:v>
                </c:pt>
                <c:pt idx="1">
                  <c:v>Fashion</c:v>
                </c:pt>
                <c:pt idx="2">
                  <c:v>Home &amp; Kitchen</c:v>
                </c:pt>
                <c:pt idx="3">
                  <c:v>Beauty</c:v>
                </c:pt>
                <c:pt idx="4">
                  <c:v>Sports</c:v>
                </c:pt>
                <c:pt idx="5">
                  <c:v>Books</c:v>
                </c:pt>
                <c:pt idx="6">
                  <c:v>Toys</c:v>
                </c:pt>
                <c:pt idx="7">
                  <c:v>Grocery</c:v>
                </c:pt>
              </c:strCache>
            </c:strRef>
          </c:cat>
          <c:val>
            <c:numRef>
              <c:f>Charts_Data!$B$3:$B$10</c:f>
              <c:numCache>
                <c:formatCode>"₹"\ #,##0</c:formatCode>
                <c:ptCount val="8"/>
                <c:pt idx="0">
                  <c:v>854705</c:v>
                </c:pt>
                <c:pt idx="1">
                  <c:v>803721</c:v>
                </c:pt>
                <c:pt idx="2">
                  <c:v>800858</c:v>
                </c:pt>
                <c:pt idx="3">
                  <c:v>715765</c:v>
                </c:pt>
                <c:pt idx="4">
                  <c:v>835690</c:v>
                </c:pt>
                <c:pt idx="5">
                  <c:v>973350</c:v>
                </c:pt>
                <c:pt idx="6">
                  <c:v>1097501</c:v>
                </c:pt>
                <c:pt idx="7">
                  <c:v>778984</c:v>
                </c:pt>
              </c:numCache>
            </c:numRef>
          </c:val>
          <c:extLst>
            <c:ext xmlns:c16="http://schemas.microsoft.com/office/drawing/2014/chart" uri="{C3380CC4-5D6E-409C-BE32-E72D297353CC}">
              <c16:uniqueId val="{00000000-2A14-4541-9D92-4028B2AE4EF3}"/>
            </c:ext>
          </c:extLst>
        </c:ser>
        <c:ser>
          <c:idx val="1"/>
          <c:order val="1"/>
          <c:tx>
            <c:strRef>
              <c:f>Charts_Data!$C$2</c:f>
              <c:strCache>
                <c:ptCount val="1"/>
                <c:pt idx="0">
                  <c:v>Revenue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Charts_Data!$A$3:$A$10</c:f>
              <c:strCache>
                <c:ptCount val="8"/>
                <c:pt idx="0">
                  <c:v>Electronics</c:v>
                </c:pt>
                <c:pt idx="1">
                  <c:v>Fashion</c:v>
                </c:pt>
                <c:pt idx="2">
                  <c:v>Home &amp; Kitchen</c:v>
                </c:pt>
                <c:pt idx="3">
                  <c:v>Beauty</c:v>
                </c:pt>
                <c:pt idx="4">
                  <c:v>Sports</c:v>
                </c:pt>
                <c:pt idx="5">
                  <c:v>Books</c:v>
                </c:pt>
                <c:pt idx="6">
                  <c:v>Toys</c:v>
                </c:pt>
                <c:pt idx="7">
                  <c:v>Grocery</c:v>
                </c:pt>
              </c:strCache>
            </c:strRef>
          </c:cat>
          <c:val>
            <c:numRef>
              <c:f>Charts_Data!$C$3:$C$10</c:f>
              <c:numCache>
                <c:formatCode>"₹"\ #,##0</c:formatCode>
                <c:ptCount val="8"/>
                <c:pt idx="0">
                  <c:v>4014123</c:v>
                </c:pt>
                <c:pt idx="1">
                  <c:v>3960417</c:v>
                </c:pt>
                <c:pt idx="2">
                  <c:v>3666638</c:v>
                </c:pt>
                <c:pt idx="3">
                  <c:v>3874973</c:v>
                </c:pt>
                <c:pt idx="4">
                  <c:v>4013419</c:v>
                </c:pt>
                <c:pt idx="5">
                  <c:v>4048130</c:v>
                </c:pt>
                <c:pt idx="6">
                  <c:v>5155914</c:v>
                </c:pt>
                <c:pt idx="7">
                  <c:v>3476427</c:v>
                </c:pt>
              </c:numCache>
            </c:numRef>
          </c:val>
          <c:extLst>
            <c:ext xmlns:c16="http://schemas.microsoft.com/office/drawing/2014/chart" uri="{C3380CC4-5D6E-409C-BE32-E72D297353CC}">
              <c16:uniqueId val="{00000001-2A14-4541-9D92-4028B2AE4EF3}"/>
            </c:ext>
          </c:extLst>
        </c:ser>
        <c:dLbls>
          <c:showLegendKey val="0"/>
          <c:showVal val="0"/>
          <c:showCatName val="0"/>
          <c:showSerName val="0"/>
          <c:showPercent val="0"/>
          <c:showBubbleSize val="0"/>
        </c:dLbls>
        <c:gapWidth val="100"/>
        <c:overlap val="-24"/>
        <c:axId val="1640477247"/>
        <c:axId val="1640475807"/>
      </c:barChart>
      <c:catAx>
        <c:axId val="16404772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0475807"/>
        <c:crosses val="autoZero"/>
        <c:auto val="1"/>
        <c:lblAlgn val="ctr"/>
        <c:lblOffset val="100"/>
        <c:noMultiLvlLbl val="0"/>
      </c:catAx>
      <c:valAx>
        <c:axId val="1640475807"/>
        <c:scaling>
          <c:orientation val="minMax"/>
        </c:scaling>
        <c:delete val="0"/>
        <c:axPos val="l"/>
        <c:majorGridlines>
          <c:spPr>
            <a:ln w="9525" cap="flat" cmpd="sng" algn="ctr">
              <a:solidFill>
                <a:schemeClr val="lt1">
                  <a:lumMod val="95000"/>
                  <a:alpha val="10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04772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City-wise Revenue vs Net Profit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cat>
            <c:strRef>
              <c:f>Charts_Data!$I$3:$I$12</c:f>
              <c:strCache>
                <c:ptCount val="10"/>
                <c:pt idx="0">
                  <c:v>Mumbai</c:v>
                </c:pt>
                <c:pt idx="1">
                  <c:v>Delhi</c:v>
                </c:pt>
                <c:pt idx="2">
                  <c:v>Bangalore</c:v>
                </c:pt>
                <c:pt idx="3">
                  <c:v>Hyderabad</c:v>
                </c:pt>
                <c:pt idx="4">
                  <c:v>Chennai</c:v>
                </c:pt>
                <c:pt idx="5">
                  <c:v>Kolkata</c:v>
                </c:pt>
                <c:pt idx="6">
                  <c:v>Pune</c:v>
                </c:pt>
                <c:pt idx="7">
                  <c:v>Ahmedabad</c:v>
                </c:pt>
                <c:pt idx="8">
                  <c:v>Jaipur</c:v>
                </c:pt>
                <c:pt idx="9">
                  <c:v>Lucknow</c:v>
                </c:pt>
              </c:strCache>
            </c:strRef>
          </c:cat>
          <c:val>
            <c:numRef>
              <c:f>Charts_Data!$J$3:$J$12</c:f>
              <c:numCache>
                <c:formatCode>"₹"\ #,##0</c:formatCode>
                <c:ptCount val="10"/>
                <c:pt idx="0">
                  <c:v>2995571</c:v>
                </c:pt>
                <c:pt idx="1">
                  <c:v>4090574</c:v>
                </c:pt>
                <c:pt idx="2">
                  <c:v>3402916</c:v>
                </c:pt>
                <c:pt idx="3">
                  <c:v>2296839</c:v>
                </c:pt>
                <c:pt idx="4">
                  <c:v>3394454</c:v>
                </c:pt>
                <c:pt idx="5">
                  <c:v>3167057</c:v>
                </c:pt>
                <c:pt idx="6">
                  <c:v>3249460</c:v>
                </c:pt>
                <c:pt idx="7">
                  <c:v>3857116</c:v>
                </c:pt>
                <c:pt idx="8">
                  <c:v>2411204</c:v>
                </c:pt>
                <c:pt idx="9">
                  <c:v>3344850</c:v>
                </c:pt>
              </c:numCache>
            </c:numRef>
          </c:val>
          <c:smooth val="0"/>
          <c:extLst>
            <c:ext xmlns:c16="http://schemas.microsoft.com/office/drawing/2014/chart" uri="{C3380CC4-5D6E-409C-BE32-E72D297353CC}">
              <c16:uniqueId val="{00000000-A989-4B8E-96E9-C1D1CD69900D}"/>
            </c:ext>
          </c:extLst>
        </c:ser>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cat>
            <c:strRef>
              <c:f>Charts_Data!$I$3:$I$12</c:f>
              <c:strCache>
                <c:ptCount val="10"/>
                <c:pt idx="0">
                  <c:v>Mumbai</c:v>
                </c:pt>
                <c:pt idx="1">
                  <c:v>Delhi</c:v>
                </c:pt>
                <c:pt idx="2">
                  <c:v>Bangalore</c:v>
                </c:pt>
                <c:pt idx="3">
                  <c:v>Hyderabad</c:v>
                </c:pt>
                <c:pt idx="4">
                  <c:v>Chennai</c:v>
                </c:pt>
                <c:pt idx="5">
                  <c:v>Kolkata</c:v>
                </c:pt>
                <c:pt idx="6">
                  <c:v>Pune</c:v>
                </c:pt>
                <c:pt idx="7">
                  <c:v>Ahmedabad</c:v>
                </c:pt>
                <c:pt idx="8">
                  <c:v>Jaipur</c:v>
                </c:pt>
                <c:pt idx="9">
                  <c:v>Lucknow</c:v>
                </c:pt>
              </c:strCache>
            </c:strRef>
          </c:cat>
          <c:val>
            <c:numRef>
              <c:f>Charts_Data!$K$3:$K$12</c:f>
              <c:numCache>
                <c:formatCode>"₹"\ #,##0</c:formatCode>
                <c:ptCount val="10"/>
                <c:pt idx="0">
                  <c:v>744206</c:v>
                </c:pt>
                <c:pt idx="1">
                  <c:v>1083274</c:v>
                </c:pt>
                <c:pt idx="2">
                  <c:v>749114</c:v>
                </c:pt>
                <c:pt idx="3">
                  <c:v>397744</c:v>
                </c:pt>
                <c:pt idx="4">
                  <c:v>731696</c:v>
                </c:pt>
                <c:pt idx="5">
                  <c:v>648292</c:v>
                </c:pt>
                <c:pt idx="6">
                  <c:v>694907</c:v>
                </c:pt>
                <c:pt idx="7">
                  <c:v>667169</c:v>
                </c:pt>
                <c:pt idx="8">
                  <c:v>455661</c:v>
                </c:pt>
                <c:pt idx="9">
                  <c:v>688511</c:v>
                </c:pt>
              </c:numCache>
            </c:numRef>
          </c:val>
          <c:smooth val="0"/>
          <c:extLst>
            <c:ext xmlns:c16="http://schemas.microsoft.com/office/drawing/2014/chart" uri="{C3380CC4-5D6E-409C-BE32-E72D297353CC}">
              <c16:uniqueId val="{00000001-A989-4B8E-96E9-C1D1CD69900D}"/>
            </c:ext>
          </c:extLst>
        </c:ser>
        <c:dLbls>
          <c:showLegendKey val="0"/>
          <c:showVal val="0"/>
          <c:showCatName val="0"/>
          <c:showSerName val="0"/>
          <c:showPercent val="0"/>
          <c:showBubbleSize val="0"/>
        </c:dLbls>
        <c:smooth val="0"/>
        <c:axId val="1790429551"/>
        <c:axId val="1790431471"/>
      </c:lineChart>
      <c:catAx>
        <c:axId val="179042955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0431471"/>
        <c:crosses val="autoZero"/>
        <c:auto val="1"/>
        <c:lblAlgn val="ctr"/>
        <c:lblOffset val="100"/>
        <c:noMultiLvlLbl val="0"/>
      </c:catAx>
      <c:valAx>
        <c:axId val="1790431471"/>
        <c:scaling>
          <c:orientation val="minMax"/>
        </c:scaling>
        <c:delete val="0"/>
        <c:axPos val="l"/>
        <c:majorGridlines>
          <c:spPr>
            <a:ln w="9525" cap="flat" cmpd="sng" algn="ctr">
              <a:solidFill>
                <a:schemeClr val="lt1">
                  <a:lumMod val="95000"/>
                  <a:alpha val="10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04295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100" b="1" i="0" u="none" strike="noStrike" baseline="0">
                <a:effectLst>
                  <a:outerShdw blurRad="50800" dist="38100" dir="5400000" algn="t" rotWithShape="0">
                    <a:prstClr val="black">
                      <a:alpha val="40000"/>
                    </a:prstClr>
                  </a:outerShdw>
                </a:effectLst>
              </a:rPr>
              <a:t>Payment Method Orders vs Return Rate</a:t>
            </a:r>
            <a:endParaRPr lang="en-IN" sz="1100"/>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lotArea>
      <c:layout/>
      <c:barChart>
        <c:barDir val="col"/>
        <c:grouping val="clustered"/>
        <c:varyColors val="0"/>
        <c:ser>
          <c:idx val="0"/>
          <c:order val="0"/>
          <c:tx>
            <c:strRef>
              <c:f>Charts_Data!$N$2</c:f>
              <c:strCache>
                <c:ptCount val="1"/>
                <c:pt idx="0">
                  <c:v>Orders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Charts_Data!$M$3:$M$7</c:f>
              <c:strCache>
                <c:ptCount val="5"/>
                <c:pt idx="0">
                  <c:v>Prepaid</c:v>
                </c:pt>
                <c:pt idx="1">
                  <c:v>COD</c:v>
                </c:pt>
                <c:pt idx="2">
                  <c:v>UPI</c:v>
                </c:pt>
                <c:pt idx="3">
                  <c:v>Credit Card</c:v>
                </c:pt>
                <c:pt idx="4">
                  <c:v>Debit Card</c:v>
                </c:pt>
              </c:strCache>
            </c:strRef>
          </c:cat>
          <c:val>
            <c:numRef>
              <c:f>Charts_Data!$N$3:$N$7</c:f>
              <c:numCache>
                <c:formatCode>General</c:formatCode>
                <c:ptCount val="5"/>
                <c:pt idx="0">
                  <c:v>173</c:v>
                </c:pt>
                <c:pt idx="1">
                  <c:v>202</c:v>
                </c:pt>
                <c:pt idx="2">
                  <c:v>218</c:v>
                </c:pt>
                <c:pt idx="3">
                  <c:v>217</c:v>
                </c:pt>
                <c:pt idx="4">
                  <c:v>190</c:v>
                </c:pt>
              </c:numCache>
            </c:numRef>
          </c:val>
          <c:extLst>
            <c:ext xmlns:c16="http://schemas.microsoft.com/office/drawing/2014/chart" uri="{C3380CC4-5D6E-409C-BE32-E72D297353CC}">
              <c16:uniqueId val="{00000000-6F52-4455-AEBB-7E76BD80F823}"/>
            </c:ext>
          </c:extLst>
        </c:ser>
        <c:ser>
          <c:idx val="1"/>
          <c:order val="1"/>
          <c:tx>
            <c:strRef>
              <c:f>Charts_Data!$O$2</c:f>
              <c:strCache>
                <c:ptCount val="1"/>
                <c:pt idx="0">
                  <c:v>Return Rate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Charts_Data!$M$3:$M$7</c:f>
              <c:strCache>
                <c:ptCount val="5"/>
                <c:pt idx="0">
                  <c:v>Prepaid</c:v>
                </c:pt>
                <c:pt idx="1">
                  <c:v>COD</c:v>
                </c:pt>
                <c:pt idx="2">
                  <c:v>UPI</c:v>
                </c:pt>
                <c:pt idx="3">
                  <c:v>Credit Card</c:v>
                </c:pt>
                <c:pt idx="4">
                  <c:v>Debit Card</c:v>
                </c:pt>
              </c:strCache>
            </c:strRef>
          </c:cat>
          <c:val>
            <c:numRef>
              <c:f>Charts_Data!$O$3:$O$7</c:f>
              <c:numCache>
                <c:formatCode>0%</c:formatCode>
                <c:ptCount val="5"/>
                <c:pt idx="0">
                  <c:v>0.10404624277456648</c:v>
                </c:pt>
                <c:pt idx="1">
                  <c:v>0.15841584158415842</c:v>
                </c:pt>
                <c:pt idx="2">
                  <c:v>0.10091743119266056</c:v>
                </c:pt>
                <c:pt idx="3">
                  <c:v>8.294930875576037E-2</c:v>
                </c:pt>
                <c:pt idx="4">
                  <c:v>9.4736842105263161E-2</c:v>
                </c:pt>
              </c:numCache>
            </c:numRef>
          </c:val>
          <c:extLst>
            <c:ext xmlns:c16="http://schemas.microsoft.com/office/drawing/2014/chart" uri="{C3380CC4-5D6E-409C-BE32-E72D297353CC}">
              <c16:uniqueId val="{00000001-6F52-4455-AEBB-7E76BD80F823}"/>
            </c:ext>
          </c:extLst>
        </c:ser>
        <c:dLbls>
          <c:showLegendKey val="0"/>
          <c:showVal val="1"/>
          <c:showCatName val="0"/>
          <c:showSerName val="0"/>
          <c:showPercent val="0"/>
          <c:showBubbleSize val="0"/>
        </c:dLbls>
        <c:gapWidth val="150"/>
        <c:axId val="1791919679"/>
        <c:axId val="1791918719"/>
      </c:barChart>
      <c:catAx>
        <c:axId val="17919196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1918719"/>
        <c:crosses val="autoZero"/>
        <c:auto val="1"/>
        <c:lblAlgn val="ctr"/>
        <c:lblOffset val="100"/>
        <c:noMultiLvlLbl val="0"/>
      </c:catAx>
      <c:valAx>
        <c:axId val="1791918719"/>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19196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Monthly Profit vs Returns Trend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Charts_Data!$F$2</c:f>
              <c:strCache>
                <c:ptCount val="1"/>
                <c:pt idx="0">
                  <c:v>Net Profit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Charts_Data!$E$3:$E$14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Charts_Data!$F$3:$F$14</c:f>
              <c:numCache>
                <c:formatCode>General</c:formatCode>
                <c:ptCount val="12"/>
                <c:pt idx="0">
                  <c:v>693104</c:v>
                </c:pt>
                <c:pt idx="1">
                  <c:v>449021</c:v>
                </c:pt>
                <c:pt idx="2">
                  <c:v>769343</c:v>
                </c:pt>
                <c:pt idx="3">
                  <c:v>631758</c:v>
                </c:pt>
                <c:pt idx="4">
                  <c:v>692284</c:v>
                </c:pt>
                <c:pt idx="5">
                  <c:v>537585</c:v>
                </c:pt>
                <c:pt idx="6">
                  <c:v>554834</c:v>
                </c:pt>
                <c:pt idx="7">
                  <c:v>571500</c:v>
                </c:pt>
                <c:pt idx="8">
                  <c:v>438209</c:v>
                </c:pt>
                <c:pt idx="9">
                  <c:v>483879</c:v>
                </c:pt>
                <c:pt idx="10">
                  <c:v>505579</c:v>
                </c:pt>
                <c:pt idx="11">
                  <c:v>533478</c:v>
                </c:pt>
              </c:numCache>
            </c:numRef>
          </c:val>
          <c:extLst>
            <c:ext xmlns:c16="http://schemas.microsoft.com/office/drawing/2014/chart" uri="{C3380CC4-5D6E-409C-BE32-E72D297353CC}">
              <c16:uniqueId val="{00000000-50C3-4D8B-A454-F61EF3131BE0}"/>
            </c:ext>
          </c:extLst>
        </c:ser>
        <c:dLbls>
          <c:showLegendKey val="0"/>
          <c:showVal val="0"/>
          <c:showCatName val="0"/>
          <c:showSerName val="0"/>
          <c:showPercent val="0"/>
          <c:showBubbleSize val="0"/>
        </c:dLbls>
        <c:gapWidth val="150"/>
        <c:axId val="1779213887"/>
        <c:axId val="1779213407"/>
      </c:barChart>
      <c:lineChart>
        <c:grouping val="standard"/>
        <c:varyColors val="0"/>
        <c:ser>
          <c:idx val="1"/>
          <c:order val="1"/>
          <c:tx>
            <c:strRef>
              <c:f>Charts_Data!$G$2</c:f>
              <c:strCache>
                <c:ptCount val="1"/>
                <c:pt idx="0">
                  <c:v>Returns</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Charts_Data!$E$3:$E$14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Charts_Data!$G$3:$G$14</c:f>
              <c:numCache>
                <c:formatCode>General</c:formatCode>
                <c:ptCount val="12"/>
                <c:pt idx="0">
                  <c:v>8</c:v>
                </c:pt>
                <c:pt idx="1">
                  <c:v>11</c:v>
                </c:pt>
                <c:pt idx="2">
                  <c:v>13</c:v>
                </c:pt>
                <c:pt idx="3">
                  <c:v>9</c:v>
                </c:pt>
                <c:pt idx="4">
                  <c:v>6</c:v>
                </c:pt>
                <c:pt idx="5">
                  <c:v>7</c:v>
                </c:pt>
                <c:pt idx="6">
                  <c:v>6</c:v>
                </c:pt>
                <c:pt idx="7">
                  <c:v>6</c:v>
                </c:pt>
                <c:pt idx="8">
                  <c:v>11</c:v>
                </c:pt>
                <c:pt idx="9">
                  <c:v>13</c:v>
                </c:pt>
                <c:pt idx="10">
                  <c:v>12</c:v>
                </c:pt>
                <c:pt idx="11">
                  <c:v>6</c:v>
                </c:pt>
              </c:numCache>
            </c:numRef>
          </c:val>
          <c:smooth val="0"/>
          <c:extLst>
            <c:ext xmlns:c16="http://schemas.microsoft.com/office/drawing/2014/chart" uri="{C3380CC4-5D6E-409C-BE32-E72D297353CC}">
              <c16:uniqueId val="{00000001-50C3-4D8B-A454-F61EF3131BE0}"/>
            </c:ext>
          </c:extLst>
        </c:ser>
        <c:dLbls>
          <c:showLegendKey val="0"/>
          <c:showVal val="0"/>
          <c:showCatName val="0"/>
          <c:showSerName val="0"/>
          <c:showPercent val="0"/>
          <c:showBubbleSize val="0"/>
        </c:dLbls>
        <c:marker val="1"/>
        <c:smooth val="0"/>
        <c:axId val="1795470431"/>
        <c:axId val="1790713023"/>
      </c:lineChart>
      <c:catAx>
        <c:axId val="17792138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79213407"/>
        <c:crosses val="autoZero"/>
        <c:auto val="1"/>
        <c:lblAlgn val="ctr"/>
        <c:lblOffset val="100"/>
        <c:noMultiLvlLbl val="0"/>
      </c:catAx>
      <c:valAx>
        <c:axId val="177921340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79213887"/>
        <c:crosses val="autoZero"/>
        <c:crossBetween val="between"/>
      </c:valAx>
      <c:valAx>
        <c:axId val="1790713023"/>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5470431"/>
        <c:crosses val="max"/>
        <c:crossBetween val="between"/>
      </c:valAx>
      <c:catAx>
        <c:axId val="1795470431"/>
        <c:scaling>
          <c:orientation val="minMax"/>
        </c:scaling>
        <c:delete val="1"/>
        <c:axPos val="b"/>
        <c:numFmt formatCode="General" sourceLinked="1"/>
        <c:majorTickMark val="none"/>
        <c:minorTickMark val="none"/>
        <c:tickLblPos val="nextTo"/>
        <c:crossAx val="17907130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en-IN">
                <a:solidFill>
                  <a:schemeClr val="bg1"/>
                </a:solidFill>
              </a:rPr>
              <a:t> </a:t>
            </a:r>
            <a:r>
              <a:rPr lang="en-IN" sz="1600" b="1" i="0" u="none" strike="noStrike" kern="1200" spc="-1" baseline="0">
                <a:solidFill>
                  <a:schemeClr val="bg1"/>
                </a:solidFill>
                <a:latin typeface="Calibri"/>
              </a:rPr>
              <a:t>Category-wise Net Profit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Charts_Data!$B$2</c:f>
              <c:strCache>
                <c:ptCount val="1"/>
                <c:pt idx="0">
                  <c:v>Net Profit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Charts_Data!$A$3:$A$10</c:f>
              <c:strCache>
                <c:ptCount val="8"/>
                <c:pt idx="0">
                  <c:v>Electronics</c:v>
                </c:pt>
                <c:pt idx="1">
                  <c:v>Fashion</c:v>
                </c:pt>
                <c:pt idx="2">
                  <c:v>Home &amp; Kitchen</c:v>
                </c:pt>
                <c:pt idx="3">
                  <c:v>Beauty</c:v>
                </c:pt>
                <c:pt idx="4">
                  <c:v>Sports</c:v>
                </c:pt>
                <c:pt idx="5">
                  <c:v>Books</c:v>
                </c:pt>
                <c:pt idx="6">
                  <c:v>Toys</c:v>
                </c:pt>
                <c:pt idx="7">
                  <c:v>Grocery</c:v>
                </c:pt>
              </c:strCache>
            </c:strRef>
          </c:cat>
          <c:val>
            <c:numRef>
              <c:f>Charts_Data!$B$3:$B$10</c:f>
              <c:numCache>
                <c:formatCode>"₹"\ #,##0</c:formatCode>
                <c:ptCount val="8"/>
                <c:pt idx="0">
                  <c:v>854705</c:v>
                </c:pt>
                <c:pt idx="1">
                  <c:v>803721</c:v>
                </c:pt>
                <c:pt idx="2">
                  <c:v>800858</c:v>
                </c:pt>
                <c:pt idx="3">
                  <c:v>715765</c:v>
                </c:pt>
                <c:pt idx="4">
                  <c:v>835690</c:v>
                </c:pt>
                <c:pt idx="5">
                  <c:v>973350</c:v>
                </c:pt>
                <c:pt idx="6">
                  <c:v>1097501</c:v>
                </c:pt>
                <c:pt idx="7">
                  <c:v>778984</c:v>
                </c:pt>
              </c:numCache>
            </c:numRef>
          </c:val>
          <c:extLst>
            <c:ext xmlns:c16="http://schemas.microsoft.com/office/drawing/2014/chart" uri="{C3380CC4-5D6E-409C-BE32-E72D297353CC}">
              <c16:uniqueId val="{00000000-5C61-4C9E-AC39-C37FF90FA9AC}"/>
            </c:ext>
          </c:extLst>
        </c:ser>
        <c:ser>
          <c:idx val="1"/>
          <c:order val="1"/>
          <c:tx>
            <c:strRef>
              <c:f>Charts_Data!$C$2</c:f>
              <c:strCache>
                <c:ptCount val="1"/>
                <c:pt idx="0">
                  <c:v>Revenue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Charts_Data!$A$3:$A$10</c:f>
              <c:strCache>
                <c:ptCount val="8"/>
                <c:pt idx="0">
                  <c:v>Electronics</c:v>
                </c:pt>
                <c:pt idx="1">
                  <c:v>Fashion</c:v>
                </c:pt>
                <c:pt idx="2">
                  <c:v>Home &amp; Kitchen</c:v>
                </c:pt>
                <c:pt idx="3">
                  <c:v>Beauty</c:v>
                </c:pt>
                <c:pt idx="4">
                  <c:v>Sports</c:v>
                </c:pt>
                <c:pt idx="5">
                  <c:v>Books</c:v>
                </c:pt>
                <c:pt idx="6">
                  <c:v>Toys</c:v>
                </c:pt>
                <c:pt idx="7">
                  <c:v>Grocery</c:v>
                </c:pt>
              </c:strCache>
            </c:strRef>
          </c:cat>
          <c:val>
            <c:numRef>
              <c:f>Charts_Data!$C$3:$C$10</c:f>
              <c:numCache>
                <c:formatCode>"₹"\ #,##0</c:formatCode>
                <c:ptCount val="8"/>
                <c:pt idx="0">
                  <c:v>4014123</c:v>
                </c:pt>
                <c:pt idx="1">
                  <c:v>3960417</c:v>
                </c:pt>
                <c:pt idx="2">
                  <c:v>3666638</c:v>
                </c:pt>
                <c:pt idx="3">
                  <c:v>3874973</c:v>
                </c:pt>
                <c:pt idx="4">
                  <c:v>4013419</c:v>
                </c:pt>
                <c:pt idx="5">
                  <c:v>4048130</c:v>
                </c:pt>
                <c:pt idx="6">
                  <c:v>5155914</c:v>
                </c:pt>
                <c:pt idx="7">
                  <c:v>3476427</c:v>
                </c:pt>
              </c:numCache>
            </c:numRef>
          </c:val>
          <c:extLst>
            <c:ext xmlns:c16="http://schemas.microsoft.com/office/drawing/2014/chart" uri="{C3380CC4-5D6E-409C-BE32-E72D297353CC}">
              <c16:uniqueId val="{00000001-5C61-4C9E-AC39-C37FF90FA9AC}"/>
            </c:ext>
          </c:extLst>
        </c:ser>
        <c:dLbls>
          <c:showLegendKey val="0"/>
          <c:showVal val="0"/>
          <c:showCatName val="0"/>
          <c:showSerName val="0"/>
          <c:showPercent val="0"/>
          <c:showBubbleSize val="0"/>
        </c:dLbls>
        <c:gapWidth val="100"/>
        <c:overlap val="-24"/>
        <c:axId val="1640477247"/>
        <c:axId val="1640475807"/>
      </c:barChart>
      <c:catAx>
        <c:axId val="16404772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0475807"/>
        <c:crosses val="autoZero"/>
        <c:auto val="1"/>
        <c:lblAlgn val="ctr"/>
        <c:lblOffset val="100"/>
        <c:noMultiLvlLbl val="0"/>
      </c:catAx>
      <c:valAx>
        <c:axId val="1640475807"/>
        <c:scaling>
          <c:orientation val="minMax"/>
        </c:scaling>
        <c:delete val="0"/>
        <c:axPos val="l"/>
        <c:majorGridlines>
          <c:spPr>
            <a:ln w="9525" cap="flat" cmpd="sng" algn="ctr">
              <a:solidFill>
                <a:schemeClr val="lt1">
                  <a:lumMod val="95000"/>
                  <a:alpha val="10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404772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Monthly Profit vs Returns Trend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tx>
            <c:strRef>
              <c:f>Charts_Data!$F$2</c:f>
              <c:strCache>
                <c:ptCount val="1"/>
                <c:pt idx="0">
                  <c:v>Net Profit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Charts_Data!$E$3:$E$14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Charts_Data!$F$3:$F$14</c:f>
              <c:numCache>
                <c:formatCode>General</c:formatCode>
                <c:ptCount val="12"/>
                <c:pt idx="0">
                  <c:v>693104</c:v>
                </c:pt>
                <c:pt idx="1">
                  <c:v>449021</c:v>
                </c:pt>
                <c:pt idx="2">
                  <c:v>769343</c:v>
                </c:pt>
                <c:pt idx="3">
                  <c:v>631758</c:v>
                </c:pt>
                <c:pt idx="4">
                  <c:v>692284</c:v>
                </c:pt>
                <c:pt idx="5">
                  <c:v>537585</c:v>
                </c:pt>
                <c:pt idx="6">
                  <c:v>554834</c:v>
                </c:pt>
                <c:pt idx="7">
                  <c:v>571500</c:v>
                </c:pt>
                <c:pt idx="8">
                  <c:v>438209</c:v>
                </c:pt>
                <c:pt idx="9">
                  <c:v>483879</c:v>
                </c:pt>
                <c:pt idx="10">
                  <c:v>505579</c:v>
                </c:pt>
                <c:pt idx="11">
                  <c:v>533478</c:v>
                </c:pt>
              </c:numCache>
            </c:numRef>
          </c:val>
          <c:extLst>
            <c:ext xmlns:c16="http://schemas.microsoft.com/office/drawing/2014/chart" uri="{C3380CC4-5D6E-409C-BE32-E72D297353CC}">
              <c16:uniqueId val="{00000000-734F-46E6-83BE-BEEEE4BEDAEC}"/>
            </c:ext>
          </c:extLst>
        </c:ser>
        <c:dLbls>
          <c:showLegendKey val="0"/>
          <c:showVal val="0"/>
          <c:showCatName val="0"/>
          <c:showSerName val="0"/>
          <c:showPercent val="0"/>
          <c:showBubbleSize val="0"/>
        </c:dLbls>
        <c:gapWidth val="150"/>
        <c:axId val="1779213887"/>
        <c:axId val="1779213407"/>
      </c:barChart>
      <c:lineChart>
        <c:grouping val="standard"/>
        <c:varyColors val="0"/>
        <c:ser>
          <c:idx val="1"/>
          <c:order val="1"/>
          <c:tx>
            <c:strRef>
              <c:f>Charts_Data!$G$2</c:f>
              <c:strCache>
                <c:ptCount val="1"/>
                <c:pt idx="0">
                  <c:v>Returns</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Charts_Data!$E$3:$E$14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Charts_Data!$G$3:$G$14</c:f>
              <c:numCache>
                <c:formatCode>General</c:formatCode>
                <c:ptCount val="12"/>
                <c:pt idx="0">
                  <c:v>8</c:v>
                </c:pt>
                <c:pt idx="1">
                  <c:v>11</c:v>
                </c:pt>
                <c:pt idx="2">
                  <c:v>13</c:v>
                </c:pt>
                <c:pt idx="3">
                  <c:v>9</c:v>
                </c:pt>
                <c:pt idx="4">
                  <c:v>6</c:v>
                </c:pt>
                <c:pt idx="5">
                  <c:v>7</c:v>
                </c:pt>
                <c:pt idx="6">
                  <c:v>6</c:v>
                </c:pt>
                <c:pt idx="7">
                  <c:v>6</c:v>
                </c:pt>
                <c:pt idx="8">
                  <c:v>11</c:v>
                </c:pt>
                <c:pt idx="9">
                  <c:v>13</c:v>
                </c:pt>
                <c:pt idx="10">
                  <c:v>12</c:v>
                </c:pt>
                <c:pt idx="11">
                  <c:v>6</c:v>
                </c:pt>
              </c:numCache>
            </c:numRef>
          </c:val>
          <c:smooth val="0"/>
          <c:extLst>
            <c:ext xmlns:c16="http://schemas.microsoft.com/office/drawing/2014/chart" uri="{C3380CC4-5D6E-409C-BE32-E72D297353CC}">
              <c16:uniqueId val="{00000001-734F-46E6-83BE-BEEEE4BEDAEC}"/>
            </c:ext>
          </c:extLst>
        </c:ser>
        <c:dLbls>
          <c:showLegendKey val="0"/>
          <c:showVal val="0"/>
          <c:showCatName val="0"/>
          <c:showSerName val="0"/>
          <c:showPercent val="0"/>
          <c:showBubbleSize val="0"/>
        </c:dLbls>
        <c:marker val="1"/>
        <c:smooth val="0"/>
        <c:axId val="1795470431"/>
        <c:axId val="1790713023"/>
      </c:lineChart>
      <c:catAx>
        <c:axId val="17792138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79213407"/>
        <c:crosses val="autoZero"/>
        <c:auto val="1"/>
        <c:lblAlgn val="ctr"/>
        <c:lblOffset val="100"/>
        <c:noMultiLvlLbl val="0"/>
      </c:catAx>
      <c:valAx>
        <c:axId val="177921340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79213887"/>
        <c:crosses val="autoZero"/>
        <c:crossBetween val="between"/>
      </c:valAx>
      <c:valAx>
        <c:axId val="1790713023"/>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5470431"/>
        <c:crosses val="max"/>
        <c:crossBetween val="between"/>
      </c:valAx>
      <c:catAx>
        <c:axId val="1795470431"/>
        <c:scaling>
          <c:orientation val="minMax"/>
        </c:scaling>
        <c:delete val="1"/>
        <c:axPos val="b"/>
        <c:numFmt formatCode="General" sourceLinked="1"/>
        <c:majorTickMark val="none"/>
        <c:minorTickMark val="none"/>
        <c:tickLblPos val="nextTo"/>
        <c:crossAx val="17907130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City-wise Revenue vs Net Profit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cat>
            <c:strRef>
              <c:f>Charts_Data!$I$3:$I$12</c:f>
              <c:strCache>
                <c:ptCount val="10"/>
                <c:pt idx="0">
                  <c:v>Mumbai</c:v>
                </c:pt>
                <c:pt idx="1">
                  <c:v>Delhi</c:v>
                </c:pt>
                <c:pt idx="2">
                  <c:v>Bangalore</c:v>
                </c:pt>
                <c:pt idx="3">
                  <c:v>Hyderabad</c:v>
                </c:pt>
                <c:pt idx="4">
                  <c:v>Chennai</c:v>
                </c:pt>
                <c:pt idx="5">
                  <c:v>Kolkata</c:v>
                </c:pt>
                <c:pt idx="6">
                  <c:v>Pune</c:v>
                </c:pt>
                <c:pt idx="7">
                  <c:v>Ahmedabad</c:v>
                </c:pt>
                <c:pt idx="8">
                  <c:v>Jaipur</c:v>
                </c:pt>
                <c:pt idx="9">
                  <c:v>Lucknow</c:v>
                </c:pt>
              </c:strCache>
            </c:strRef>
          </c:cat>
          <c:val>
            <c:numRef>
              <c:f>Charts_Data!$J$3:$J$12</c:f>
              <c:numCache>
                <c:formatCode>"₹"\ #,##0</c:formatCode>
                <c:ptCount val="10"/>
                <c:pt idx="0">
                  <c:v>2995571</c:v>
                </c:pt>
                <c:pt idx="1">
                  <c:v>4090574</c:v>
                </c:pt>
                <c:pt idx="2">
                  <c:v>3402916</c:v>
                </c:pt>
                <c:pt idx="3">
                  <c:v>2296839</c:v>
                </c:pt>
                <c:pt idx="4">
                  <c:v>3394454</c:v>
                </c:pt>
                <c:pt idx="5">
                  <c:v>3167057</c:v>
                </c:pt>
                <c:pt idx="6">
                  <c:v>3249460</c:v>
                </c:pt>
                <c:pt idx="7">
                  <c:v>3857116</c:v>
                </c:pt>
                <c:pt idx="8">
                  <c:v>2411204</c:v>
                </c:pt>
                <c:pt idx="9">
                  <c:v>3344850</c:v>
                </c:pt>
              </c:numCache>
            </c:numRef>
          </c:val>
          <c:smooth val="0"/>
          <c:extLst>
            <c:ext xmlns:c16="http://schemas.microsoft.com/office/drawing/2014/chart" uri="{C3380CC4-5D6E-409C-BE32-E72D297353CC}">
              <c16:uniqueId val="{00000000-91B2-4A27-8FBE-23A9B90491DE}"/>
            </c:ext>
          </c:extLst>
        </c:ser>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cat>
            <c:strRef>
              <c:f>Charts_Data!$I$3:$I$12</c:f>
              <c:strCache>
                <c:ptCount val="10"/>
                <c:pt idx="0">
                  <c:v>Mumbai</c:v>
                </c:pt>
                <c:pt idx="1">
                  <c:v>Delhi</c:v>
                </c:pt>
                <c:pt idx="2">
                  <c:v>Bangalore</c:v>
                </c:pt>
                <c:pt idx="3">
                  <c:v>Hyderabad</c:v>
                </c:pt>
                <c:pt idx="4">
                  <c:v>Chennai</c:v>
                </c:pt>
                <c:pt idx="5">
                  <c:v>Kolkata</c:v>
                </c:pt>
                <c:pt idx="6">
                  <c:v>Pune</c:v>
                </c:pt>
                <c:pt idx="7">
                  <c:v>Ahmedabad</c:v>
                </c:pt>
                <c:pt idx="8">
                  <c:v>Jaipur</c:v>
                </c:pt>
                <c:pt idx="9">
                  <c:v>Lucknow</c:v>
                </c:pt>
              </c:strCache>
            </c:strRef>
          </c:cat>
          <c:val>
            <c:numRef>
              <c:f>Charts_Data!$K$3:$K$12</c:f>
              <c:numCache>
                <c:formatCode>"₹"\ #,##0</c:formatCode>
                <c:ptCount val="10"/>
                <c:pt idx="0">
                  <c:v>744206</c:v>
                </c:pt>
                <c:pt idx="1">
                  <c:v>1083274</c:v>
                </c:pt>
                <c:pt idx="2">
                  <c:v>749114</c:v>
                </c:pt>
                <c:pt idx="3">
                  <c:v>397744</c:v>
                </c:pt>
                <c:pt idx="4">
                  <c:v>731696</c:v>
                </c:pt>
                <c:pt idx="5">
                  <c:v>648292</c:v>
                </c:pt>
                <c:pt idx="6">
                  <c:v>694907</c:v>
                </c:pt>
                <c:pt idx="7">
                  <c:v>667169</c:v>
                </c:pt>
                <c:pt idx="8">
                  <c:v>455661</c:v>
                </c:pt>
                <c:pt idx="9">
                  <c:v>688511</c:v>
                </c:pt>
              </c:numCache>
            </c:numRef>
          </c:val>
          <c:smooth val="0"/>
          <c:extLst>
            <c:ext xmlns:c16="http://schemas.microsoft.com/office/drawing/2014/chart" uri="{C3380CC4-5D6E-409C-BE32-E72D297353CC}">
              <c16:uniqueId val="{00000001-91B2-4A27-8FBE-23A9B90491DE}"/>
            </c:ext>
          </c:extLst>
        </c:ser>
        <c:dLbls>
          <c:showLegendKey val="0"/>
          <c:showVal val="0"/>
          <c:showCatName val="0"/>
          <c:showSerName val="0"/>
          <c:showPercent val="0"/>
          <c:showBubbleSize val="0"/>
        </c:dLbls>
        <c:smooth val="0"/>
        <c:axId val="1790429551"/>
        <c:axId val="1790431471"/>
      </c:lineChart>
      <c:catAx>
        <c:axId val="179042955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0431471"/>
        <c:crosses val="autoZero"/>
        <c:auto val="1"/>
        <c:lblAlgn val="ctr"/>
        <c:lblOffset val="100"/>
        <c:noMultiLvlLbl val="0"/>
      </c:catAx>
      <c:valAx>
        <c:axId val="1790431471"/>
        <c:scaling>
          <c:orientation val="minMax"/>
        </c:scaling>
        <c:delete val="0"/>
        <c:axPos val="l"/>
        <c:majorGridlines>
          <c:spPr>
            <a:ln w="9525" cap="flat" cmpd="sng" algn="ctr">
              <a:solidFill>
                <a:schemeClr val="lt1">
                  <a:lumMod val="95000"/>
                  <a:alpha val="10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04295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b="1" i="0" u="none" strike="noStrike" baseline="0">
                <a:effectLst>
                  <a:outerShdw blurRad="50800" dist="38100" dir="5400000" algn="t" rotWithShape="0">
                    <a:prstClr val="black">
                      <a:alpha val="40000"/>
                    </a:prstClr>
                  </a:outerShdw>
                </a:effectLst>
              </a:rPr>
              <a:t>Payment Method Orders vs Return Rate</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Charts_Data!$N$2</c:f>
              <c:strCache>
                <c:ptCount val="1"/>
                <c:pt idx="0">
                  <c:v>Orders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Charts_Data!$M$3:$M$7</c:f>
              <c:strCache>
                <c:ptCount val="5"/>
                <c:pt idx="0">
                  <c:v>Prepaid</c:v>
                </c:pt>
                <c:pt idx="1">
                  <c:v>COD</c:v>
                </c:pt>
                <c:pt idx="2">
                  <c:v>UPI</c:v>
                </c:pt>
                <c:pt idx="3">
                  <c:v>Credit Card</c:v>
                </c:pt>
                <c:pt idx="4">
                  <c:v>Debit Card</c:v>
                </c:pt>
              </c:strCache>
            </c:strRef>
          </c:cat>
          <c:val>
            <c:numRef>
              <c:f>Charts_Data!$N$3:$N$7</c:f>
              <c:numCache>
                <c:formatCode>General</c:formatCode>
                <c:ptCount val="5"/>
                <c:pt idx="0">
                  <c:v>173</c:v>
                </c:pt>
                <c:pt idx="1">
                  <c:v>202</c:v>
                </c:pt>
                <c:pt idx="2">
                  <c:v>218</c:v>
                </c:pt>
                <c:pt idx="3">
                  <c:v>217</c:v>
                </c:pt>
                <c:pt idx="4">
                  <c:v>190</c:v>
                </c:pt>
              </c:numCache>
            </c:numRef>
          </c:val>
          <c:extLst>
            <c:ext xmlns:c16="http://schemas.microsoft.com/office/drawing/2014/chart" uri="{C3380CC4-5D6E-409C-BE32-E72D297353CC}">
              <c16:uniqueId val="{00000000-06B3-460C-BD18-74B6EA61119F}"/>
            </c:ext>
          </c:extLst>
        </c:ser>
        <c:ser>
          <c:idx val="1"/>
          <c:order val="1"/>
          <c:tx>
            <c:strRef>
              <c:f>Charts_Data!$O$2</c:f>
              <c:strCache>
                <c:ptCount val="1"/>
                <c:pt idx="0">
                  <c:v>Return Rate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Charts_Data!$M$3:$M$7</c:f>
              <c:strCache>
                <c:ptCount val="5"/>
                <c:pt idx="0">
                  <c:v>Prepaid</c:v>
                </c:pt>
                <c:pt idx="1">
                  <c:v>COD</c:v>
                </c:pt>
                <c:pt idx="2">
                  <c:v>UPI</c:v>
                </c:pt>
                <c:pt idx="3">
                  <c:v>Credit Card</c:v>
                </c:pt>
                <c:pt idx="4">
                  <c:v>Debit Card</c:v>
                </c:pt>
              </c:strCache>
            </c:strRef>
          </c:cat>
          <c:val>
            <c:numRef>
              <c:f>Charts_Data!$O$3:$O$7</c:f>
              <c:numCache>
                <c:formatCode>0%</c:formatCode>
                <c:ptCount val="5"/>
                <c:pt idx="0">
                  <c:v>0.10404624277456648</c:v>
                </c:pt>
                <c:pt idx="1">
                  <c:v>0.15841584158415842</c:v>
                </c:pt>
                <c:pt idx="2">
                  <c:v>0.10091743119266056</c:v>
                </c:pt>
                <c:pt idx="3">
                  <c:v>8.294930875576037E-2</c:v>
                </c:pt>
                <c:pt idx="4">
                  <c:v>9.4736842105263161E-2</c:v>
                </c:pt>
              </c:numCache>
            </c:numRef>
          </c:val>
          <c:extLst>
            <c:ext xmlns:c16="http://schemas.microsoft.com/office/drawing/2014/chart" uri="{C3380CC4-5D6E-409C-BE32-E72D297353CC}">
              <c16:uniqueId val="{00000001-06B3-460C-BD18-74B6EA61119F}"/>
            </c:ext>
          </c:extLst>
        </c:ser>
        <c:dLbls>
          <c:showLegendKey val="0"/>
          <c:showVal val="1"/>
          <c:showCatName val="0"/>
          <c:showSerName val="0"/>
          <c:showPercent val="0"/>
          <c:showBubbleSize val="0"/>
        </c:dLbls>
        <c:gapWidth val="150"/>
        <c:shape val="box"/>
        <c:axId val="1791919679"/>
        <c:axId val="1791918719"/>
        <c:axId val="0"/>
      </c:bar3DChart>
      <c:catAx>
        <c:axId val="179191967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1918719"/>
        <c:crosses val="autoZero"/>
        <c:auto val="1"/>
        <c:lblAlgn val="ctr"/>
        <c:lblOffset val="100"/>
        <c:noMultiLvlLbl val="0"/>
      </c:catAx>
      <c:valAx>
        <c:axId val="1791918719"/>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19196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14</xdr:col>
      <xdr:colOff>548640</xdr:colOff>
      <xdr:row>28</xdr:row>
      <xdr:rowOff>45721</xdr:rowOff>
    </xdr:from>
    <xdr:to>
      <xdr:col>19</xdr:col>
      <xdr:colOff>419100</xdr:colOff>
      <xdr:row>38</xdr:row>
      <xdr:rowOff>1</xdr:rowOff>
    </xdr:to>
    <xdr:graphicFrame macro="">
      <xdr:nvGraphicFramePr>
        <xdr:cNvPr id="2" name="Chart 1">
          <a:extLst>
            <a:ext uri="{FF2B5EF4-FFF2-40B4-BE49-F238E27FC236}">
              <a16:creationId xmlns:a16="http://schemas.microsoft.com/office/drawing/2014/main" id="{6A73E840-DFCB-495C-B4A6-555DCB69B0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464820</xdr:colOff>
      <xdr:row>14</xdr:row>
      <xdr:rowOff>114301</xdr:rowOff>
    </xdr:from>
    <xdr:to>
      <xdr:col>19</xdr:col>
      <xdr:colOff>128166</xdr:colOff>
      <xdr:row>25</xdr:row>
      <xdr:rowOff>129541</xdr:rowOff>
    </xdr:to>
    <xdr:graphicFrame macro="">
      <xdr:nvGraphicFramePr>
        <xdr:cNvPr id="3" name="Chart 2">
          <a:extLst>
            <a:ext uri="{FF2B5EF4-FFF2-40B4-BE49-F238E27FC236}">
              <a16:creationId xmlns:a16="http://schemas.microsoft.com/office/drawing/2014/main" id="{EF54F86D-D7E1-45E5-8D8C-46F0B572A2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617220</xdr:colOff>
      <xdr:row>56</xdr:row>
      <xdr:rowOff>15240</xdr:rowOff>
    </xdr:from>
    <xdr:to>
      <xdr:col>18</xdr:col>
      <xdr:colOff>624840</xdr:colOff>
      <xdr:row>66</xdr:row>
      <xdr:rowOff>167640</xdr:rowOff>
    </xdr:to>
    <xdr:graphicFrame macro="">
      <xdr:nvGraphicFramePr>
        <xdr:cNvPr id="4" name="Chart 3">
          <a:extLst>
            <a:ext uri="{FF2B5EF4-FFF2-40B4-BE49-F238E27FC236}">
              <a16:creationId xmlns:a16="http://schemas.microsoft.com/office/drawing/2014/main" id="{027C6157-F385-4EAE-8B9A-F00447818B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41</xdr:row>
      <xdr:rowOff>1</xdr:rowOff>
    </xdr:from>
    <xdr:to>
      <xdr:col>19</xdr:col>
      <xdr:colOff>524406</xdr:colOff>
      <xdr:row>54</xdr:row>
      <xdr:rowOff>15241</xdr:rowOff>
    </xdr:to>
    <xdr:graphicFrame macro="">
      <xdr:nvGraphicFramePr>
        <xdr:cNvPr id="5" name="Chart 4">
          <a:extLst>
            <a:ext uri="{FF2B5EF4-FFF2-40B4-BE49-F238E27FC236}">
              <a16:creationId xmlns:a16="http://schemas.microsoft.com/office/drawing/2014/main" id="{248D2FF2-E3C5-4915-98BE-B4B5C1F81C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xdr:colOff>
      <xdr:row>16</xdr:row>
      <xdr:rowOff>45720</xdr:rowOff>
    </xdr:from>
    <xdr:to>
      <xdr:col>3</xdr:col>
      <xdr:colOff>586740</xdr:colOff>
      <xdr:row>31</xdr:row>
      <xdr:rowOff>45720</xdr:rowOff>
    </xdr:to>
    <xdr:graphicFrame macro="">
      <xdr:nvGraphicFramePr>
        <xdr:cNvPr id="3" name="Chart 2">
          <a:extLst>
            <a:ext uri="{FF2B5EF4-FFF2-40B4-BE49-F238E27FC236}">
              <a16:creationId xmlns:a16="http://schemas.microsoft.com/office/drawing/2014/main" id="{51D42806-E235-6D03-8049-591683489F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769620</xdr:colOff>
      <xdr:row>16</xdr:row>
      <xdr:rowOff>45720</xdr:rowOff>
    </xdr:from>
    <xdr:to>
      <xdr:col>7</xdr:col>
      <xdr:colOff>541020</xdr:colOff>
      <xdr:row>31</xdr:row>
      <xdr:rowOff>45720</xdr:rowOff>
    </xdr:to>
    <xdr:graphicFrame macro="">
      <xdr:nvGraphicFramePr>
        <xdr:cNvPr id="4" name="Chart 3">
          <a:extLst>
            <a:ext uri="{FF2B5EF4-FFF2-40B4-BE49-F238E27FC236}">
              <a16:creationId xmlns:a16="http://schemas.microsoft.com/office/drawing/2014/main" id="{7B363B5F-243E-15E5-C336-80EAFB99A8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731520</xdr:colOff>
      <xdr:row>16</xdr:row>
      <xdr:rowOff>45720</xdr:rowOff>
    </xdr:from>
    <xdr:to>
      <xdr:col>11</xdr:col>
      <xdr:colOff>480060</xdr:colOff>
      <xdr:row>31</xdr:row>
      <xdr:rowOff>45720</xdr:rowOff>
    </xdr:to>
    <xdr:graphicFrame macro="">
      <xdr:nvGraphicFramePr>
        <xdr:cNvPr id="5" name="Chart 4">
          <a:extLst>
            <a:ext uri="{FF2B5EF4-FFF2-40B4-BE49-F238E27FC236}">
              <a16:creationId xmlns:a16="http://schemas.microsoft.com/office/drawing/2014/main" id="{51D24A29-DB9E-84DE-9745-16A31DD3F2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670560</xdr:colOff>
      <xdr:row>16</xdr:row>
      <xdr:rowOff>45720</xdr:rowOff>
    </xdr:from>
    <xdr:to>
      <xdr:col>15</xdr:col>
      <xdr:colOff>784860</xdr:colOff>
      <xdr:row>31</xdr:row>
      <xdr:rowOff>45720</xdr:rowOff>
    </xdr:to>
    <xdr:graphicFrame macro="">
      <xdr:nvGraphicFramePr>
        <xdr:cNvPr id="6" name="Chart 5">
          <a:extLst>
            <a:ext uri="{FF2B5EF4-FFF2-40B4-BE49-F238E27FC236}">
              <a16:creationId xmlns:a16="http://schemas.microsoft.com/office/drawing/2014/main" id="{19CBDDFD-1005-1477-BB96-AC0D5720C7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14</xdr:row>
      <xdr:rowOff>83821</xdr:rowOff>
    </xdr:from>
    <xdr:to>
      <xdr:col>7</xdr:col>
      <xdr:colOff>45720</xdr:colOff>
      <xdr:row>16</xdr:row>
      <xdr:rowOff>91440</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F864DB92-5946-BE83-0D3C-656DEE77150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0" y="3307081"/>
              <a:ext cx="7040880" cy="4343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12</xdr:row>
      <xdr:rowOff>7621</xdr:rowOff>
    </xdr:from>
    <xdr:to>
      <xdr:col>7</xdr:col>
      <xdr:colOff>7620</xdr:colOff>
      <xdr:row>14</xdr:row>
      <xdr:rowOff>22860</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9C41143B-3C5E-E9C8-E93D-5193268413A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2804161"/>
              <a:ext cx="7002780" cy="4419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9</xdr:row>
      <xdr:rowOff>129541</xdr:rowOff>
    </xdr:from>
    <xdr:to>
      <xdr:col>7</xdr:col>
      <xdr:colOff>15240</xdr:colOff>
      <xdr:row>11</xdr:row>
      <xdr:rowOff>114300</xdr:rowOff>
    </xdr:to>
    <mc:AlternateContent xmlns:mc="http://schemas.openxmlformats.org/markup-compatibility/2006" xmlns:a14="http://schemas.microsoft.com/office/drawing/2010/main">
      <mc:Choice Requires="a14">
        <xdr:graphicFrame macro="">
          <xdr:nvGraphicFramePr>
            <xdr:cNvPr id="4" name="Order_Status">
              <a:extLst>
                <a:ext uri="{FF2B5EF4-FFF2-40B4-BE49-F238E27FC236}">
                  <a16:creationId xmlns:a16="http://schemas.microsoft.com/office/drawing/2014/main" id="{0B7788CE-E461-168F-EAB4-6CB29699820E}"/>
                </a:ext>
              </a:extLst>
            </xdr:cNvPr>
            <xdr:cNvGraphicFramePr/>
          </xdr:nvGraphicFramePr>
          <xdr:xfrm>
            <a:off x="0" y="0"/>
            <a:ext cx="0" cy="0"/>
          </xdr:xfrm>
          <a:graphic>
            <a:graphicData uri="http://schemas.microsoft.com/office/drawing/2010/slicer">
              <sle:slicer xmlns:sle="http://schemas.microsoft.com/office/drawing/2010/slicer" name="Order_Status"/>
            </a:graphicData>
          </a:graphic>
        </xdr:graphicFrame>
      </mc:Choice>
      <mc:Fallback xmlns="">
        <xdr:sp macro="" textlink="">
          <xdr:nvSpPr>
            <xdr:cNvPr id="0" name=""/>
            <xdr:cNvSpPr>
              <a:spLocks noTextEdit="1"/>
            </xdr:cNvSpPr>
          </xdr:nvSpPr>
          <xdr:spPr>
            <a:xfrm>
              <a:off x="0" y="2286001"/>
              <a:ext cx="7010400" cy="4114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jjwal Tripathi" refreshedDate="46160.522907175924" createdVersion="8" refreshedVersion="8" minRefreshableVersion="3" recordCount="1000" xr:uid="{936506E4-1A36-4A9E-8609-50EA28115988}">
  <cacheSource type="worksheet">
    <worksheetSource name="tbl_raw"/>
  </cacheSource>
  <cacheFields count="23">
    <cacheField name="Order_ID" numFmtId="0">
      <sharedItems/>
    </cacheField>
    <cacheField name="Date" numFmtId="0">
      <sharedItems/>
    </cacheField>
    <cacheField name="Month" numFmtId="0">
      <sharedItems count="12">
        <s v="Nov"/>
        <s v="Apr"/>
        <s v="Mar"/>
        <s v="Jul"/>
        <s v="Feb"/>
        <s v="Jun"/>
        <s v="May"/>
        <s v="Sep"/>
        <s v="Aug"/>
        <s v="Jan"/>
        <s v="Dec"/>
        <s v="Oct"/>
      </sharedItems>
    </cacheField>
    <cacheField name="Category" numFmtId="0">
      <sharedItems count="8">
        <s v="Electronics"/>
        <s v="Books"/>
        <s v="Sports"/>
        <s v="Grocery"/>
        <s v="Toys"/>
        <s v="Beauty"/>
        <s v="Home &amp; Kitchen"/>
        <s v="Fashion"/>
      </sharedItems>
    </cacheField>
    <cacheField name="Sub_Category" numFmtId="0">
      <sharedItems/>
    </cacheField>
    <cacheField name="Product_Name" numFmtId="0">
      <sharedItems/>
    </cacheField>
    <cacheField name="City" numFmtId="0">
      <sharedItems/>
    </cacheField>
    <cacheField name="Region" numFmtId="0">
      <sharedItems/>
    </cacheField>
    <cacheField name="Units_Sold" numFmtId="0">
      <sharedItems containsSemiMixedTypes="0" containsString="0" containsNumber="1" containsInteger="1" minValue="1" maxValue="20"/>
    </cacheField>
    <cacheField name="MRP" numFmtId="164">
      <sharedItems containsSemiMixedTypes="0" containsString="0" containsNumber="1" containsInteger="1" minValue="201" maxValue="7991"/>
    </cacheField>
    <cacheField name="Selling_Price" numFmtId="164">
      <sharedItems containsSemiMixedTypes="0" containsString="0" containsNumber="1" containsInteger="1" minValue="137" maxValue="7598"/>
    </cacheField>
    <cacheField name="Discount_Pct" numFmtId="165">
      <sharedItems containsSemiMixedTypes="0" containsString="0" containsNumber="1" minValue="0" maxValue="0.45"/>
    </cacheField>
    <cacheField name="Cost_Price" numFmtId="164">
      <sharedItems containsSemiMixedTypes="0" containsString="0" containsNumber="1" containsInteger="1" minValue="104" maxValue="5935"/>
    </cacheField>
    <cacheField name="Gross_Profit" numFmtId="164">
      <sharedItems containsSemiMixedTypes="0" containsString="0" containsNumber="1" containsInteger="1" minValue="-19458" maxValue="72865"/>
    </cacheField>
    <cacheField name="Gross_Margin_Pct" numFmtId="165">
      <sharedItems containsSemiMixedTypes="0" containsString="0" containsNumber="1" minValue="-0.34772239446696873" maxValue="0.57995951417004044"/>
    </cacheField>
    <cacheField name="Shipping_Cost" numFmtId="164">
      <sharedItems containsSemiMixedTypes="0" containsString="0" containsNumber="1" containsInteger="1" minValue="30" maxValue="180"/>
    </cacheField>
    <cacheField name="Net_Profit" numFmtId="164">
      <sharedItems containsSemiMixedTypes="0" containsString="0" containsNumber="1" containsInteger="1" minValue="-21618" maxValue="71288"/>
    </cacheField>
    <cacheField name="Net_Margin_Pct" numFmtId="165">
      <sharedItems containsSemiMixedTypes="0" containsString="0" containsNumber="1" minValue="-1.20625" maxValue="0.54638839067340617"/>
    </cacheField>
    <cacheField name="Payment_Method" numFmtId="0">
      <sharedItems count="5">
        <s v="Credit Card"/>
        <s v="COD"/>
        <s v="Prepaid"/>
        <s v="Debit Card"/>
        <s v="UPI"/>
      </sharedItems>
    </cacheField>
    <cacheField name="Order_Status" numFmtId="0">
      <sharedItems count="4">
        <s v="Delivered"/>
        <s v="Pending"/>
        <s v="Cancelled"/>
        <s v="Returned"/>
      </sharedItems>
    </cacheField>
    <cacheField name="Return_Flag" numFmtId="0">
      <sharedItems containsSemiMixedTypes="0" containsString="0" containsNumber="1" containsInteger="1" minValue="0" maxValue="1"/>
    </cacheField>
    <cacheField name="COD_Flag" numFmtId="0">
      <sharedItems containsSemiMixedTypes="0" containsString="0" containsNumber="1" containsInteger="1" minValue="0" maxValue="1"/>
    </cacheField>
    <cacheField name="Return_Risk_Score" numFmtId="165">
      <sharedItems containsSemiMixedTypes="0" containsString="0" containsNumber="1" minValue="0" maxValue="0.98"/>
    </cacheField>
  </cacheFields>
  <extLst>
    <ext xmlns:x14="http://schemas.microsoft.com/office/spreadsheetml/2009/9/main" uri="{725AE2AE-9491-48be-B2B4-4EB974FC3084}">
      <x14:pivotCacheDefinition pivotCacheId="6375307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ORD-10001"/>
    <s v="04-Nov-2024"/>
    <x v="0"/>
    <x v="0"/>
    <s v="Headphones"/>
    <s v="Headphones - Model 350"/>
    <s v="Hyderabad"/>
    <s v="South"/>
    <n v="5"/>
    <n v="5944"/>
    <n v="4161"/>
    <n v="0.3"/>
    <n v="4234"/>
    <n v="-365"/>
    <n v="-1.7543859649122806E-2"/>
    <n v="43"/>
    <n v="-580"/>
    <n v="-2.7877913962989664E-2"/>
    <x v="0"/>
    <x v="0"/>
    <n v="0"/>
    <n v="0"/>
    <n v="0.42"/>
  </r>
  <r>
    <s v="ORD-10002"/>
    <s v="17-Apr-2024"/>
    <x v="1"/>
    <x v="0"/>
    <s v="Tablet"/>
    <s v="Tablet - Model 303"/>
    <s v="Jaipur"/>
    <s v="North"/>
    <n v="14"/>
    <n v="1919"/>
    <n v="1401"/>
    <n v="0.27"/>
    <n v="1311"/>
    <n v="1260"/>
    <n v="6.4239828693790149E-2"/>
    <n v="31"/>
    <n v="826"/>
    <n v="4.2112776588151324E-2"/>
    <x v="1"/>
    <x v="0"/>
    <n v="0"/>
    <n v="1"/>
    <n v="0.72799999999999998"/>
  </r>
  <r>
    <s v="ORD-10003"/>
    <s v="07-Mar-2024"/>
    <x v="2"/>
    <x v="1"/>
    <s v="Fiction"/>
    <s v="Fiction - Model 194"/>
    <s v="Pune"/>
    <s v="West"/>
    <n v="4"/>
    <n v="3000"/>
    <n v="2550"/>
    <n v="0.15"/>
    <n v="1478"/>
    <n v="4288"/>
    <n v="0.42039215686274511"/>
    <n v="37"/>
    <n v="4140"/>
    <n v="0.40588235294117647"/>
    <x v="0"/>
    <x v="1"/>
    <n v="0"/>
    <n v="0"/>
    <n v="0.21"/>
  </r>
  <r>
    <s v="ORD-10004"/>
    <s v="03-Jul-2024"/>
    <x v="3"/>
    <x v="2"/>
    <s v="Cycle"/>
    <s v="Cycle - Model 982"/>
    <s v="Kolkata"/>
    <s v="East"/>
    <n v="19"/>
    <n v="1700"/>
    <n v="1649"/>
    <n v="0.03"/>
    <n v="1073"/>
    <n v="10944"/>
    <n v="0.34930260764099452"/>
    <n v="146"/>
    <n v="8170"/>
    <n v="0.26076409945421469"/>
    <x v="2"/>
    <x v="2"/>
    <n v="0"/>
    <n v="0"/>
    <n v="4.1999999999999996E-2"/>
  </r>
  <r>
    <s v="ORD-10005"/>
    <s v="09-Jul-2024"/>
    <x v="3"/>
    <x v="3"/>
    <s v="Rice"/>
    <s v="Rice - Model 266"/>
    <s v="Kolkata"/>
    <s v="East"/>
    <n v="12"/>
    <n v="1834"/>
    <n v="1614"/>
    <n v="0.12"/>
    <n v="1335"/>
    <n v="3348"/>
    <n v="0.17286245353159851"/>
    <n v="127"/>
    <n v="1824"/>
    <n v="9.4175960346964058E-2"/>
    <x v="3"/>
    <x v="0"/>
    <n v="0"/>
    <n v="0"/>
    <n v="0.16799999999999998"/>
  </r>
  <r>
    <s v="ORD-10006"/>
    <s v="06-Apr-2024"/>
    <x v="1"/>
    <x v="3"/>
    <s v="Pulses"/>
    <s v="Pulses - Model 376"/>
    <s v="Jaipur"/>
    <s v="North"/>
    <n v="8"/>
    <n v="5540"/>
    <n v="3435"/>
    <n v="0.38"/>
    <n v="3721"/>
    <n v="-2288"/>
    <n v="-8.3260553129548762E-2"/>
    <n v="64"/>
    <n v="-2800"/>
    <n v="-0.10189228529839883"/>
    <x v="2"/>
    <x v="0"/>
    <n v="0"/>
    <n v="0"/>
    <n v="0.53199999999999992"/>
  </r>
  <r>
    <s v="ORD-10007"/>
    <s v="07-Feb-2024"/>
    <x v="4"/>
    <x v="1"/>
    <s v="Self-Help"/>
    <s v="Self-Help - Model 771"/>
    <s v="Ahmedabad"/>
    <s v="West"/>
    <n v="13"/>
    <n v="7101"/>
    <n v="5042"/>
    <n v="0.28999999999999998"/>
    <n v="3195"/>
    <n v="24011"/>
    <n v="0.36632288774295912"/>
    <n v="51"/>
    <n v="23348"/>
    <n v="0.3562078540261801"/>
    <x v="3"/>
    <x v="0"/>
    <n v="0"/>
    <n v="0"/>
    <n v="0.40599999999999997"/>
  </r>
  <r>
    <s v="ORD-10008"/>
    <s v="19-Jul-2024"/>
    <x v="3"/>
    <x v="4"/>
    <s v="Puzzle"/>
    <s v="Puzzle - Model 324"/>
    <s v="Bangalore"/>
    <s v="South"/>
    <n v="17"/>
    <n v="4049"/>
    <n v="2672"/>
    <n v="0.34"/>
    <n v="2840"/>
    <n v="-2856"/>
    <n v="-6.2874251497005984E-2"/>
    <n v="53"/>
    <n v="-3757"/>
    <n v="-8.270958083832336E-2"/>
    <x v="1"/>
    <x v="0"/>
    <n v="0"/>
    <n v="1"/>
    <n v="0.82599999999999996"/>
  </r>
  <r>
    <s v="ORD-10009"/>
    <s v="13-Feb-2024"/>
    <x v="4"/>
    <x v="4"/>
    <s v="Doll"/>
    <s v="Doll - Model 579"/>
    <s v="Jaipur"/>
    <s v="North"/>
    <n v="9"/>
    <n v="7774"/>
    <n v="4742"/>
    <n v="0.39"/>
    <n v="3141"/>
    <n v="14409"/>
    <n v="0.33762125685364824"/>
    <n v="138"/>
    <n v="13167"/>
    <n v="0.30851961197806832"/>
    <x v="3"/>
    <x v="3"/>
    <n v="1"/>
    <n v="0"/>
    <n v="0.54599999999999993"/>
  </r>
  <r>
    <s v="ORD-10010"/>
    <s v="04-Jun-2024"/>
    <x v="5"/>
    <x v="2"/>
    <s v="Dumbbells"/>
    <s v="Dumbbells - Model 261"/>
    <s v="Ahmedabad"/>
    <s v="West"/>
    <n v="1"/>
    <n v="7640"/>
    <n v="4660"/>
    <n v="0.39"/>
    <n v="3760"/>
    <n v="900"/>
    <n v="0.19313304721030042"/>
    <n v="105"/>
    <n v="795"/>
    <n v="0.17060085836909872"/>
    <x v="1"/>
    <x v="0"/>
    <n v="0"/>
    <n v="1"/>
    <n v="0.89599999999999991"/>
  </r>
  <r>
    <s v="ORD-10011"/>
    <s v="10-Nov-2024"/>
    <x v="0"/>
    <x v="5"/>
    <s v="Serum"/>
    <s v="Serum - Model 482"/>
    <s v="Bangalore"/>
    <s v="South"/>
    <n v="18"/>
    <n v="7637"/>
    <n v="4429"/>
    <n v="0.42"/>
    <n v="5510"/>
    <n v="-19458"/>
    <n v="-0.24407315421088283"/>
    <n v="120"/>
    <n v="-21618"/>
    <n v="-0.27116730638970421"/>
    <x v="0"/>
    <x v="1"/>
    <n v="0"/>
    <n v="0"/>
    <n v="0.58799999999999997"/>
  </r>
  <r>
    <s v="ORD-10012"/>
    <s v="08-May-2024"/>
    <x v="6"/>
    <x v="0"/>
    <s v="Laptop"/>
    <s v="Laptop - Model 999"/>
    <s v="Lucknow"/>
    <s v="North"/>
    <n v="3"/>
    <n v="868"/>
    <n v="677"/>
    <n v="0.22"/>
    <n v="368"/>
    <n v="927"/>
    <n v="0.45642540620384048"/>
    <n v="144"/>
    <n v="495"/>
    <n v="0.24372230428360414"/>
    <x v="1"/>
    <x v="0"/>
    <n v="0"/>
    <n v="1"/>
    <n v="0.65799999999999992"/>
  </r>
  <r>
    <s v="ORD-10013"/>
    <s v="06-Sep-2024"/>
    <x v="7"/>
    <x v="2"/>
    <s v="Cycle"/>
    <s v="Cycle - Model 993"/>
    <s v="Lucknow"/>
    <s v="North"/>
    <n v="14"/>
    <n v="7722"/>
    <n v="4479"/>
    <n v="0.42"/>
    <n v="5130"/>
    <n v="-9114"/>
    <n v="-0.14534494306764903"/>
    <n v="133"/>
    <n v="-10976"/>
    <n v="-0.17503907122125476"/>
    <x v="4"/>
    <x v="0"/>
    <n v="0"/>
    <n v="0"/>
    <n v="0.58799999999999997"/>
  </r>
  <r>
    <s v="ORD-10014"/>
    <s v="15-Jun-2024"/>
    <x v="5"/>
    <x v="3"/>
    <s v="Atta"/>
    <s v="Atta - Model 353"/>
    <s v="Hyderabad"/>
    <s v="South"/>
    <n v="3"/>
    <n v="2837"/>
    <n v="2099"/>
    <n v="0.26"/>
    <n v="1363"/>
    <n v="2208"/>
    <n v="0.35064316341114815"/>
    <n v="63"/>
    <n v="2019"/>
    <n v="0.32062887089090042"/>
    <x v="2"/>
    <x v="0"/>
    <n v="0"/>
    <n v="0"/>
    <n v="0.36399999999999999"/>
  </r>
  <r>
    <s v="ORD-10015"/>
    <s v="02-Feb-2024"/>
    <x v="4"/>
    <x v="1"/>
    <s v="Fiction"/>
    <s v="Fiction - Model 626"/>
    <s v="Hyderabad"/>
    <s v="South"/>
    <n v="9"/>
    <n v="5418"/>
    <n v="4876"/>
    <n v="0.1"/>
    <n v="2418"/>
    <n v="22122"/>
    <n v="0.50410172272354392"/>
    <n v="170"/>
    <n v="20592"/>
    <n v="0.46923707957342081"/>
    <x v="3"/>
    <x v="0"/>
    <n v="0"/>
    <n v="0"/>
    <n v="0.13999999999999999"/>
  </r>
  <r>
    <s v="ORD-10016"/>
    <s v="26-Aug-2024"/>
    <x v="8"/>
    <x v="4"/>
    <s v="Board Game"/>
    <s v="Board Game - Model 196"/>
    <s v="Delhi"/>
    <s v="North"/>
    <n v="14"/>
    <n v="2964"/>
    <n v="2430"/>
    <n v="0.18"/>
    <n v="2082"/>
    <n v="4872"/>
    <n v="0.14320987654320988"/>
    <n v="38"/>
    <n v="4340"/>
    <n v="0.12757201646090535"/>
    <x v="2"/>
    <x v="0"/>
    <n v="0"/>
    <n v="0"/>
    <n v="0.252"/>
  </r>
  <r>
    <s v="ORD-10017"/>
    <s v="08-Feb-2024"/>
    <x v="4"/>
    <x v="5"/>
    <s v="Serum"/>
    <s v="Serum - Model 649"/>
    <s v="Ahmedabad"/>
    <s v="West"/>
    <n v="5"/>
    <n v="3491"/>
    <n v="3037"/>
    <n v="0.13"/>
    <n v="1702"/>
    <n v="6675"/>
    <n v="0.43957853144550546"/>
    <n v="168"/>
    <n v="5835"/>
    <n v="0.38426078366809352"/>
    <x v="0"/>
    <x v="2"/>
    <n v="0"/>
    <n v="0"/>
    <n v="0.182"/>
  </r>
  <r>
    <s v="ORD-10018"/>
    <s v="02-Feb-2024"/>
    <x v="4"/>
    <x v="0"/>
    <s v="Mobile"/>
    <s v="Mobile - Model 871"/>
    <s v="Hyderabad"/>
    <s v="South"/>
    <n v="6"/>
    <n v="3370"/>
    <n v="2629"/>
    <n v="0.22"/>
    <n v="2368"/>
    <n v="1566"/>
    <n v="9.9277291745910989E-2"/>
    <n v="165"/>
    <n v="576"/>
    <n v="3.6515785469760365E-2"/>
    <x v="1"/>
    <x v="1"/>
    <n v="0"/>
    <n v="1"/>
    <n v="0.65799999999999992"/>
  </r>
  <r>
    <s v="ORD-10019"/>
    <s v="26-May-2024"/>
    <x v="6"/>
    <x v="3"/>
    <s v="Rice"/>
    <s v="Rice - Model 533"/>
    <s v="Jaipur"/>
    <s v="North"/>
    <n v="16"/>
    <n v="1407"/>
    <n v="1224"/>
    <n v="0.13"/>
    <n v="1040"/>
    <n v="2944"/>
    <n v="0.15032679738562091"/>
    <n v="117"/>
    <n v="1072"/>
    <n v="5.4738562091503268E-2"/>
    <x v="3"/>
    <x v="0"/>
    <n v="0"/>
    <n v="0"/>
    <n v="0.182"/>
  </r>
  <r>
    <s v="ORD-10020"/>
    <s v="19-Jan-2024"/>
    <x v="9"/>
    <x v="3"/>
    <s v="Spices"/>
    <s v="Spices - Model 973"/>
    <s v="Jaipur"/>
    <s v="North"/>
    <n v="6"/>
    <n v="644"/>
    <n v="496"/>
    <n v="0.23"/>
    <n v="449"/>
    <n v="282"/>
    <n v="9.4758064516129031E-2"/>
    <n v="40"/>
    <n v="42"/>
    <n v="1.4112903225806451E-2"/>
    <x v="2"/>
    <x v="0"/>
    <n v="0"/>
    <n v="0"/>
    <n v="0.32200000000000001"/>
  </r>
  <r>
    <s v="ORD-10021"/>
    <s v="19-Feb-2024"/>
    <x v="4"/>
    <x v="5"/>
    <s v="Sunscreen"/>
    <s v="Sunscreen - Model 708"/>
    <s v="Mumbai"/>
    <s v="West"/>
    <n v="20"/>
    <n v="839"/>
    <n v="587"/>
    <n v="0.3"/>
    <n v="502"/>
    <n v="1700"/>
    <n v="0.14480408858603067"/>
    <n v="77"/>
    <n v="160"/>
    <n v="1.3628620102214651E-2"/>
    <x v="4"/>
    <x v="0"/>
    <n v="0"/>
    <n v="0"/>
    <n v="0.42"/>
  </r>
  <r>
    <s v="ORD-10022"/>
    <s v="09-Apr-2024"/>
    <x v="1"/>
    <x v="4"/>
    <s v="Board Game"/>
    <s v="Board Game - Model 787"/>
    <s v="Chennai"/>
    <s v="South"/>
    <n v="15"/>
    <n v="2666"/>
    <n v="1760"/>
    <n v="0.34"/>
    <n v="1134"/>
    <n v="9390"/>
    <n v="0.35568181818181815"/>
    <n v="99"/>
    <n v="7905"/>
    <n v="0.29943181818181819"/>
    <x v="3"/>
    <x v="0"/>
    <n v="0"/>
    <n v="0"/>
    <n v="0.47599999999999998"/>
  </r>
  <r>
    <s v="ORD-10023"/>
    <s v="17-Apr-2024"/>
    <x v="1"/>
    <x v="2"/>
    <s v="Cricket Bat"/>
    <s v="Cricket Bat - Model 457"/>
    <s v="Delhi"/>
    <s v="North"/>
    <n v="8"/>
    <n v="3082"/>
    <n v="2866"/>
    <n v="7.0000000000000007E-2"/>
    <n v="2132"/>
    <n v="5872"/>
    <n v="0.25610607117934403"/>
    <n v="136"/>
    <n v="4784"/>
    <n v="0.20865317515701326"/>
    <x v="3"/>
    <x v="3"/>
    <n v="1"/>
    <n v="0"/>
    <n v="9.8000000000000004E-2"/>
  </r>
  <r>
    <s v="ORD-10024"/>
    <s v="01-Sep-2024"/>
    <x v="7"/>
    <x v="2"/>
    <s v="Shoes"/>
    <s v="Shoes - Model 999"/>
    <s v="Bangalore"/>
    <s v="South"/>
    <n v="9"/>
    <n v="1100"/>
    <n v="1045"/>
    <n v="0.05"/>
    <n v="653"/>
    <n v="3528"/>
    <n v="0.37511961722488041"/>
    <n v="71"/>
    <n v="2889"/>
    <n v="0.30717703349282299"/>
    <x v="3"/>
    <x v="0"/>
    <n v="0"/>
    <n v="0"/>
    <n v="6.9999999999999993E-2"/>
  </r>
  <r>
    <s v="ORD-10025"/>
    <s v="21-Nov-2024"/>
    <x v="0"/>
    <x v="2"/>
    <s v="Cycle"/>
    <s v="Cycle - Model 600"/>
    <s v="Chennai"/>
    <s v="South"/>
    <n v="2"/>
    <n v="920"/>
    <n v="745"/>
    <n v="0.19"/>
    <n v="457"/>
    <n v="576"/>
    <n v="0.38657718120805368"/>
    <n v="31"/>
    <n v="514"/>
    <n v="0.34496644295302015"/>
    <x v="1"/>
    <x v="0"/>
    <n v="0"/>
    <n v="1"/>
    <n v="0.61599999999999988"/>
  </r>
  <r>
    <s v="ORD-10026"/>
    <s v="15-Dec-2024"/>
    <x v="10"/>
    <x v="4"/>
    <s v="Doll"/>
    <s v="Doll - Model 109"/>
    <s v="Delhi"/>
    <s v="North"/>
    <n v="3"/>
    <n v="7571"/>
    <n v="5224"/>
    <n v="0.31"/>
    <n v="3423"/>
    <n v="5403"/>
    <n v="0.34475497702909647"/>
    <n v="35"/>
    <n v="5298"/>
    <n v="0.33805513016845329"/>
    <x v="4"/>
    <x v="0"/>
    <n v="0"/>
    <n v="0"/>
    <n v="0.434"/>
  </r>
  <r>
    <s v="ORD-10027"/>
    <s v="02-Mar-2024"/>
    <x v="2"/>
    <x v="2"/>
    <s v="Yoga Mat"/>
    <s v="Yoga Mat - Model 915"/>
    <s v="Mumbai"/>
    <s v="West"/>
    <n v="12"/>
    <n v="1839"/>
    <n v="1637"/>
    <n v="0.11"/>
    <n v="802"/>
    <n v="10020"/>
    <n v="0.51007941356139275"/>
    <n v="147"/>
    <n v="8256"/>
    <n v="0.42028100183262063"/>
    <x v="0"/>
    <x v="0"/>
    <n v="0"/>
    <n v="0"/>
    <n v="0.154"/>
  </r>
  <r>
    <s v="ORD-10028"/>
    <s v="28-Apr-2024"/>
    <x v="1"/>
    <x v="6"/>
    <s v="Pressure Cooker"/>
    <s v="Pressure Cooker - Model 522"/>
    <s v="Mumbai"/>
    <s v="West"/>
    <n v="6"/>
    <n v="5945"/>
    <n v="5053"/>
    <n v="0.15"/>
    <n v="4315"/>
    <n v="4428"/>
    <n v="0.14605185038590937"/>
    <n v="150"/>
    <n v="3528"/>
    <n v="0.11636651494161884"/>
    <x v="1"/>
    <x v="2"/>
    <n v="0"/>
    <n v="1"/>
    <n v="0.55999999999999994"/>
  </r>
  <r>
    <s v="ORD-10029"/>
    <s v="13-Feb-2024"/>
    <x v="4"/>
    <x v="0"/>
    <s v="Smartwatch"/>
    <s v="Smartwatch - Model 327"/>
    <s v="Hyderabad"/>
    <s v="South"/>
    <n v="15"/>
    <n v="2927"/>
    <n v="1844"/>
    <n v="0.37"/>
    <n v="2063"/>
    <n v="-3285"/>
    <n v="-0.11876355748373102"/>
    <n v="63"/>
    <n v="-4230"/>
    <n v="-0.15292841648590022"/>
    <x v="1"/>
    <x v="0"/>
    <n v="0"/>
    <n v="1"/>
    <n v="0.86799999999999999"/>
  </r>
  <r>
    <s v="ORD-10030"/>
    <s v="25-Feb-2024"/>
    <x v="4"/>
    <x v="2"/>
    <s v="Yoga Mat"/>
    <s v="Yoga Mat - Model 756"/>
    <s v="Jaipur"/>
    <s v="North"/>
    <n v="13"/>
    <n v="5500"/>
    <n v="3410"/>
    <n v="0.38"/>
    <n v="2837"/>
    <n v="7449"/>
    <n v="0.16803519061583577"/>
    <n v="34"/>
    <n v="7007"/>
    <n v="0.15806451612903225"/>
    <x v="4"/>
    <x v="1"/>
    <n v="0"/>
    <n v="0"/>
    <n v="0.53199999999999992"/>
  </r>
  <r>
    <s v="ORD-10031"/>
    <s v="02-May-2024"/>
    <x v="6"/>
    <x v="7"/>
    <s v="Jacket"/>
    <s v="Jacket - Model 544"/>
    <s v="Kolkata"/>
    <s v="East"/>
    <n v="11"/>
    <n v="3604"/>
    <n v="2018"/>
    <n v="0.44"/>
    <n v="1587"/>
    <n v="4741"/>
    <n v="0.21357779980178396"/>
    <n v="165"/>
    <n v="2926"/>
    <n v="0.13181367690782952"/>
    <x v="1"/>
    <x v="3"/>
    <n v="1"/>
    <n v="1"/>
    <n v="0.96599999999999997"/>
  </r>
  <r>
    <s v="ORD-10032"/>
    <s v="17-Jan-2024"/>
    <x v="9"/>
    <x v="5"/>
    <s v="Lipstick"/>
    <s v="Lipstick - Model 541"/>
    <s v="Delhi"/>
    <s v="North"/>
    <n v="11"/>
    <n v="5061"/>
    <n v="3543"/>
    <n v="0.3"/>
    <n v="2245"/>
    <n v="14278"/>
    <n v="0.36635619531470504"/>
    <n v="165"/>
    <n v="12463"/>
    <n v="0.3197854925204629"/>
    <x v="3"/>
    <x v="0"/>
    <n v="0"/>
    <n v="0"/>
    <n v="0.42"/>
  </r>
  <r>
    <s v="ORD-10033"/>
    <s v="23-Jul-2024"/>
    <x v="3"/>
    <x v="2"/>
    <s v="Cycle"/>
    <s v="Cycle - Model 230"/>
    <s v="Hyderabad"/>
    <s v="South"/>
    <n v="14"/>
    <n v="5386"/>
    <n v="4470"/>
    <n v="0.17"/>
    <n v="3565"/>
    <n v="12670"/>
    <n v="0.20246085011185683"/>
    <n v="56"/>
    <n v="11886"/>
    <n v="0.18993288590604027"/>
    <x v="3"/>
    <x v="0"/>
    <n v="0"/>
    <n v="0"/>
    <n v="0.23799999999999999"/>
  </r>
  <r>
    <s v="ORD-10034"/>
    <s v="10-Jan-2024"/>
    <x v="9"/>
    <x v="2"/>
    <s v="Cricket Bat"/>
    <s v="Cricket Bat - Model 540"/>
    <s v="Lucknow"/>
    <s v="North"/>
    <n v="20"/>
    <n v="5307"/>
    <n v="4193"/>
    <n v="0.21"/>
    <n v="2944"/>
    <n v="24980"/>
    <n v="0.29787741473885049"/>
    <n v="62"/>
    <n v="23740"/>
    <n v="0.28309086572859526"/>
    <x v="0"/>
    <x v="1"/>
    <n v="0"/>
    <n v="0"/>
    <n v="0.29399999999999998"/>
  </r>
  <r>
    <s v="ORD-10035"/>
    <s v="06-Dec-2024"/>
    <x v="10"/>
    <x v="7"/>
    <s v="Saree"/>
    <s v="Saree - Model 627"/>
    <s v="Lucknow"/>
    <s v="North"/>
    <n v="11"/>
    <n v="928"/>
    <n v="529"/>
    <n v="0.43"/>
    <n v="447"/>
    <n v="902"/>
    <n v="0.15500945179584122"/>
    <n v="77"/>
    <n v="55"/>
    <n v="9.4517958412098299E-3"/>
    <x v="1"/>
    <x v="0"/>
    <n v="0"/>
    <n v="1"/>
    <n v="0.95199999999999996"/>
  </r>
  <r>
    <s v="ORD-10036"/>
    <s v="20-Aug-2024"/>
    <x v="8"/>
    <x v="7"/>
    <s v="Shoes"/>
    <s v="Shoes - Model 524"/>
    <s v="Lucknow"/>
    <s v="North"/>
    <n v="7"/>
    <n v="5803"/>
    <n v="4816"/>
    <n v="0.17"/>
    <n v="3133"/>
    <n v="11781"/>
    <n v="0.34946013289036543"/>
    <n v="52"/>
    <n v="11417"/>
    <n v="0.33866279069767441"/>
    <x v="2"/>
    <x v="2"/>
    <n v="0"/>
    <n v="0"/>
    <n v="0.23799999999999999"/>
  </r>
  <r>
    <s v="ORD-10037"/>
    <s v="25-Feb-2024"/>
    <x v="4"/>
    <x v="4"/>
    <s v="Board Game"/>
    <s v="Board Game - Model 280"/>
    <s v="Jaipur"/>
    <s v="North"/>
    <n v="15"/>
    <n v="592"/>
    <n v="527"/>
    <n v="0.11"/>
    <n v="413"/>
    <n v="1710"/>
    <n v="0.21631878557874762"/>
    <n v="98"/>
    <n v="240"/>
    <n v="3.0360531309297913E-2"/>
    <x v="0"/>
    <x v="1"/>
    <n v="0"/>
    <n v="0"/>
    <n v="0.154"/>
  </r>
  <r>
    <s v="ORD-10038"/>
    <s v="11-Oct-2024"/>
    <x v="11"/>
    <x v="3"/>
    <s v="Spices"/>
    <s v="Spices - Model 934"/>
    <s v="Jaipur"/>
    <s v="North"/>
    <n v="14"/>
    <n v="6678"/>
    <n v="5008"/>
    <n v="0.25"/>
    <n v="4768"/>
    <n v="3360"/>
    <n v="4.7923322683706068E-2"/>
    <n v="142"/>
    <n v="1372"/>
    <n v="1.9568690095846646E-2"/>
    <x v="0"/>
    <x v="3"/>
    <n v="1"/>
    <n v="0"/>
    <n v="0.35"/>
  </r>
  <r>
    <s v="ORD-10039"/>
    <s v="09-Nov-2024"/>
    <x v="0"/>
    <x v="3"/>
    <s v="Oil"/>
    <s v="Oil - Model 381"/>
    <s v="Ahmedabad"/>
    <s v="West"/>
    <n v="3"/>
    <n v="5766"/>
    <n v="5132"/>
    <n v="0.11"/>
    <n v="2984"/>
    <n v="6444"/>
    <n v="0.4185502727981294"/>
    <n v="164"/>
    <n v="5952"/>
    <n v="0.38659392049883085"/>
    <x v="2"/>
    <x v="0"/>
    <n v="0"/>
    <n v="0"/>
    <n v="0.154"/>
  </r>
  <r>
    <s v="ORD-10040"/>
    <s v="05-Dec-2024"/>
    <x v="10"/>
    <x v="5"/>
    <s v="Moisturizer"/>
    <s v="Moisturizer - Model 524"/>
    <s v="Pune"/>
    <s v="West"/>
    <n v="11"/>
    <n v="4432"/>
    <n v="3590"/>
    <n v="0.19"/>
    <n v="2094"/>
    <n v="16456"/>
    <n v="0.41671309192200556"/>
    <n v="93"/>
    <n v="15433"/>
    <n v="0.39080779944289695"/>
    <x v="3"/>
    <x v="0"/>
    <n v="0"/>
    <n v="0"/>
    <n v="0.26599999999999996"/>
  </r>
  <r>
    <s v="ORD-10041"/>
    <s v="13-Oct-2024"/>
    <x v="11"/>
    <x v="3"/>
    <s v="Atta"/>
    <s v="Atta - Model 460"/>
    <s v="Chennai"/>
    <s v="South"/>
    <n v="13"/>
    <n v="6857"/>
    <n v="3908"/>
    <n v="0.43"/>
    <n v="3748"/>
    <n v="2080"/>
    <n v="4.0941658137154557E-2"/>
    <n v="142"/>
    <n v="234"/>
    <n v="4.6059365404298872E-3"/>
    <x v="3"/>
    <x v="1"/>
    <n v="0"/>
    <n v="0"/>
    <n v="0.60199999999999998"/>
  </r>
  <r>
    <s v="ORD-10042"/>
    <s v="08-Aug-2024"/>
    <x v="8"/>
    <x v="2"/>
    <s v="Dumbbells"/>
    <s v="Dumbbells - Model 597"/>
    <s v="Mumbai"/>
    <s v="West"/>
    <n v="13"/>
    <n v="2822"/>
    <n v="1947"/>
    <n v="0.31"/>
    <n v="1528"/>
    <n v="5447"/>
    <n v="0.21520287621982537"/>
    <n v="55"/>
    <n v="4732"/>
    <n v="0.18695428864920391"/>
    <x v="0"/>
    <x v="1"/>
    <n v="0"/>
    <n v="0"/>
    <n v="0.434"/>
  </r>
  <r>
    <s v="ORD-10043"/>
    <s v="01-Sep-2024"/>
    <x v="7"/>
    <x v="4"/>
    <s v="Doll"/>
    <s v="Doll - Model 677"/>
    <s v="Mumbai"/>
    <s v="West"/>
    <n v="3"/>
    <n v="5213"/>
    <n v="4900"/>
    <n v="0.06"/>
    <n v="2928"/>
    <n v="5916"/>
    <n v="0.40244897959183673"/>
    <n v="38"/>
    <n v="5802"/>
    <n v="0.39469387755102042"/>
    <x v="0"/>
    <x v="0"/>
    <n v="0"/>
    <n v="0"/>
    <n v="8.3999999999999991E-2"/>
  </r>
  <r>
    <s v="ORD-10044"/>
    <s v="25-Jun-2024"/>
    <x v="5"/>
    <x v="4"/>
    <s v="Puzzle"/>
    <s v="Puzzle - Model 870"/>
    <s v="Pune"/>
    <s v="West"/>
    <n v="9"/>
    <n v="6712"/>
    <n v="5302"/>
    <n v="0.21"/>
    <n v="4444"/>
    <n v="7722"/>
    <n v="0.16182572614107885"/>
    <n v="38"/>
    <n v="7380"/>
    <n v="0.15465861938890985"/>
    <x v="4"/>
    <x v="0"/>
    <n v="0"/>
    <n v="0"/>
    <n v="0.29399999999999998"/>
  </r>
  <r>
    <s v="ORD-10045"/>
    <s v="02-Nov-2024"/>
    <x v="0"/>
    <x v="0"/>
    <s v="Laptop"/>
    <s v="Laptop - Model 304"/>
    <s v="Mumbai"/>
    <s v="West"/>
    <n v="20"/>
    <n v="1389"/>
    <n v="1306"/>
    <n v="0.06"/>
    <n v="881"/>
    <n v="8500"/>
    <n v="0.32542113323124044"/>
    <n v="115"/>
    <n v="6200"/>
    <n v="0.23736600306278713"/>
    <x v="1"/>
    <x v="0"/>
    <n v="0"/>
    <n v="1"/>
    <n v="0.43399999999999994"/>
  </r>
  <r>
    <s v="ORD-10046"/>
    <s v="06-Jun-2024"/>
    <x v="5"/>
    <x v="7"/>
    <s v="Jeans"/>
    <s v="Jeans - Model 418"/>
    <s v="Delhi"/>
    <s v="North"/>
    <n v="19"/>
    <n v="400"/>
    <n v="344"/>
    <n v="0.14000000000000001"/>
    <n v="255"/>
    <n v="1691"/>
    <n v="0.25872093023255816"/>
    <n v="174"/>
    <n v="-1615"/>
    <n v="-0.24709302325581395"/>
    <x v="0"/>
    <x v="0"/>
    <n v="0"/>
    <n v="0"/>
    <n v="0.19600000000000001"/>
  </r>
  <r>
    <s v="ORD-10047"/>
    <s v="23-Oct-2024"/>
    <x v="11"/>
    <x v="5"/>
    <s v="Moisturizer"/>
    <s v="Moisturizer - Model 813"/>
    <s v="Chennai"/>
    <s v="South"/>
    <n v="20"/>
    <n v="6483"/>
    <n v="4149"/>
    <n v="0.36"/>
    <n v="3877"/>
    <n v="5440"/>
    <n v="6.5557965774885513E-2"/>
    <n v="36"/>
    <n v="4720"/>
    <n v="5.688117618703302E-2"/>
    <x v="3"/>
    <x v="0"/>
    <n v="0"/>
    <n v="0"/>
    <n v="0.504"/>
  </r>
  <r>
    <s v="ORD-10048"/>
    <s v="21-Sep-2024"/>
    <x v="7"/>
    <x v="1"/>
    <s v="Fiction"/>
    <s v="Fiction - Model 969"/>
    <s v="Pune"/>
    <s v="West"/>
    <n v="16"/>
    <n v="1023"/>
    <n v="583"/>
    <n v="0.43"/>
    <n v="637"/>
    <n v="-864"/>
    <n v="-9.2624356775300176E-2"/>
    <n v="154"/>
    <n v="-3328"/>
    <n v="-0.35677530017152659"/>
    <x v="1"/>
    <x v="3"/>
    <n v="1"/>
    <n v="1"/>
    <n v="0.95199999999999996"/>
  </r>
  <r>
    <s v="ORD-10049"/>
    <s v="09-Nov-2024"/>
    <x v="0"/>
    <x v="3"/>
    <s v="Pulses"/>
    <s v="Pulses - Model 546"/>
    <s v="Lucknow"/>
    <s v="North"/>
    <n v="9"/>
    <n v="2714"/>
    <n v="2415"/>
    <n v="0.11"/>
    <n v="1973"/>
    <n v="3978"/>
    <n v="0.18302277432712216"/>
    <n v="72"/>
    <n v="3330"/>
    <n v="0.15320910973084886"/>
    <x v="0"/>
    <x v="0"/>
    <n v="0"/>
    <n v="0"/>
    <n v="0.154"/>
  </r>
  <r>
    <s v="ORD-10050"/>
    <s v="22-Oct-2024"/>
    <x v="11"/>
    <x v="4"/>
    <s v="Puzzle"/>
    <s v="Puzzle - Model 129"/>
    <s v="Ahmedabad"/>
    <s v="West"/>
    <n v="11"/>
    <n v="1618"/>
    <n v="1456"/>
    <n v="0.1"/>
    <n v="1099"/>
    <n v="3927"/>
    <n v="0.24519230769230768"/>
    <n v="81"/>
    <n v="3036"/>
    <n v="0.18956043956043955"/>
    <x v="3"/>
    <x v="0"/>
    <n v="0"/>
    <n v="0"/>
    <n v="0.13999999999999999"/>
  </r>
  <r>
    <s v="ORD-10051"/>
    <s v="17-Jan-2024"/>
    <x v="9"/>
    <x v="5"/>
    <s v="Moisturizer"/>
    <s v="Moisturizer - Model 347"/>
    <s v="Pune"/>
    <s v="West"/>
    <n v="16"/>
    <n v="4530"/>
    <n v="4032"/>
    <n v="0.11"/>
    <n v="2567"/>
    <n v="23440"/>
    <n v="0.36334325396825395"/>
    <n v="137"/>
    <n v="21248"/>
    <n v="0.32936507936507936"/>
    <x v="0"/>
    <x v="0"/>
    <n v="0"/>
    <n v="0"/>
    <n v="0.154"/>
  </r>
  <r>
    <s v="ORD-10052"/>
    <s v="13-Apr-2024"/>
    <x v="1"/>
    <x v="5"/>
    <s v="Lipstick"/>
    <s v="Lipstick - Model 779"/>
    <s v="Lucknow"/>
    <s v="North"/>
    <n v="12"/>
    <n v="3891"/>
    <n v="2957"/>
    <n v="0.24"/>
    <n v="2136"/>
    <n v="9852"/>
    <n v="0.2776462631044978"/>
    <n v="142"/>
    <n v="8148"/>
    <n v="0.22962461954683802"/>
    <x v="4"/>
    <x v="0"/>
    <n v="0"/>
    <n v="0"/>
    <n v="0.33599999999999997"/>
  </r>
  <r>
    <s v="ORD-10053"/>
    <s v="09-May-2024"/>
    <x v="6"/>
    <x v="5"/>
    <s v="Moisturizer"/>
    <s v="Moisturizer - Model 838"/>
    <s v="Hyderabad"/>
    <s v="South"/>
    <n v="11"/>
    <n v="1133"/>
    <n v="861"/>
    <n v="0.24"/>
    <n v="755"/>
    <n v="1166"/>
    <n v="0.12311265969802555"/>
    <n v="58"/>
    <n v="528"/>
    <n v="5.5749128919860627E-2"/>
    <x v="1"/>
    <x v="0"/>
    <n v="0"/>
    <n v="1"/>
    <n v="0.68599999999999994"/>
  </r>
  <r>
    <s v="ORD-10054"/>
    <s v="25-Oct-2024"/>
    <x v="11"/>
    <x v="2"/>
    <s v="Shoes"/>
    <s v="Shoes - Model 952"/>
    <s v="Hyderabad"/>
    <s v="South"/>
    <n v="10"/>
    <n v="1974"/>
    <n v="1816"/>
    <n v="0.08"/>
    <n v="799"/>
    <n v="10170"/>
    <n v="0.56002202643171806"/>
    <n v="110"/>
    <n v="9070"/>
    <n v="0.49944933920704848"/>
    <x v="4"/>
    <x v="0"/>
    <n v="0"/>
    <n v="0"/>
    <n v="0.11199999999999999"/>
  </r>
  <r>
    <s v="ORD-10055"/>
    <s v="23-May-2024"/>
    <x v="6"/>
    <x v="6"/>
    <s v="Curtain"/>
    <s v="Curtain - Model 205"/>
    <s v="Mumbai"/>
    <s v="West"/>
    <n v="19"/>
    <n v="2418"/>
    <n v="1886"/>
    <n v="0.22"/>
    <n v="1256"/>
    <n v="11970"/>
    <n v="0.33404029692470838"/>
    <n v="175"/>
    <n v="8645"/>
    <n v="0.24125132555673381"/>
    <x v="4"/>
    <x v="0"/>
    <n v="0"/>
    <n v="0"/>
    <n v="0.308"/>
  </r>
  <r>
    <s v="ORD-10056"/>
    <s v="13-Feb-2024"/>
    <x v="4"/>
    <x v="3"/>
    <s v="Atta"/>
    <s v="Atta - Model 690"/>
    <s v="Mumbai"/>
    <s v="West"/>
    <n v="5"/>
    <n v="1364"/>
    <n v="1023"/>
    <n v="0.25"/>
    <n v="691"/>
    <n v="1660"/>
    <n v="0.32453567937438904"/>
    <n v="179"/>
    <n v="765"/>
    <n v="0.14956011730205279"/>
    <x v="2"/>
    <x v="0"/>
    <n v="0"/>
    <n v="0"/>
    <n v="0.35"/>
  </r>
  <r>
    <s v="ORD-10057"/>
    <s v="26-Oct-2024"/>
    <x v="11"/>
    <x v="5"/>
    <s v="Sunscreen"/>
    <s v="Sunscreen - Model 489"/>
    <s v="Ahmedabad"/>
    <s v="West"/>
    <n v="15"/>
    <n v="2519"/>
    <n v="1864"/>
    <n v="0.26"/>
    <n v="1386"/>
    <n v="7170"/>
    <n v="0.25643776824034337"/>
    <n v="115"/>
    <n v="5445"/>
    <n v="0.19474248927038626"/>
    <x v="2"/>
    <x v="0"/>
    <n v="0"/>
    <n v="0"/>
    <n v="0.36399999999999999"/>
  </r>
  <r>
    <s v="ORD-10058"/>
    <s v="21-Apr-2024"/>
    <x v="1"/>
    <x v="5"/>
    <s v="Lipstick"/>
    <s v="Lipstick - Model 776"/>
    <s v="Delhi"/>
    <s v="North"/>
    <n v="6"/>
    <n v="2071"/>
    <n v="1553"/>
    <n v="0.25"/>
    <n v="942"/>
    <n v="3666"/>
    <n v="0.39343206696716032"/>
    <n v="91"/>
    <n v="3120"/>
    <n v="0.33483580167417903"/>
    <x v="3"/>
    <x v="0"/>
    <n v="0"/>
    <n v="0"/>
    <n v="0.35"/>
  </r>
  <r>
    <s v="ORD-10059"/>
    <s v="23-May-2024"/>
    <x v="6"/>
    <x v="2"/>
    <s v="Dumbbells"/>
    <s v="Dumbbells - Model 172"/>
    <s v="Hyderabad"/>
    <s v="South"/>
    <n v="9"/>
    <n v="6345"/>
    <n v="4568"/>
    <n v="0.28000000000000003"/>
    <n v="4006"/>
    <n v="5058"/>
    <n v="0.12302977232924693"/>
    <n v="170"/>
    <n v="3528"/>
    <n v="8.5814360770577927E-2"/>
    <x v="0"/>
    <x v="0"/>
    <n v="0"/>
    <n v="0"/>
    <n v="0.39200000000000002"/>
  </r>
  <r>
    <s v="ORD-10060"/>
    <s v="09-Mar-2024"/>
    <x v="2"/>
    <x v="6"/>
    <s v="Mixer"/>
    <s v="Mixer - Model 161"/>
    <s v="Bangalore"/>
    <s v="South"/>
    <n v="10"/>
    <n v="4841"/>
    <n v="3050"/>
    <n v="0.37"/>
    <n v="3497"/>
    <n v="-4470"/>
    <n v="-0.14655737704918032"/>
    <n v="96"/>
    <n v="-5430"/>
    <n v="-0.1780327868852459"/>
    <x v="0"/>
    <x v="0"/>
    <n v="0"/>
    <n v="0"/>
    <n v="0.51800000000000002"/>
  </r>
  <r>
    <s v="ORD-10061"/>
    <s v="17-May-2024"/>
    <x v="6"/>
    <x v="3"/>
    <s v="Pulses"/>
    <s v="Pulses - Model 182"/>
    <s v="Lucknow"/>
    <s v="North"/>
    <n v="2"/>
    <n v="7137"/>
    <n v="4782"/>
    <n v="0.33"/>
    <n v="4363"/>
    <n v="838"/>
    <n v="8.7620242576327903E-2"/>
    <n v="34"/>
    <n v="770"/>
    <n v="8.0510246758678378E-2"/>
    <x v="1"/>
    <x v="1"/>
    <n v="0"/>
    <n v="1"/>
    <n v="0.81199999999999994"/>
  </r>
  <r>
    <s v="ORD-10062"/>
    <s v="19-Oct-2024"/>
    <x v="11"/>
    <x v="0"/>
    <s v="Headphones"/>
    <s v="Headphones - Model 690"/>
    <s v="Mumbai"/>
    <s v="West"/>
    <n v="6"/>
    <n v="3870"/>
    <n v="2748"/>
    <n v="0.28999999999999998"/>
    <n v="2789"/>
    <n v="-246"/>
    <n v="-1.4919941775836972E-2"/>
    <n v="57"/>
    <n v="-588"/>
    <n v="-3.566229985443959E-2"/>
    <x v="3"/>
    <x v="3"/>
    <n v="1"/>
    <n v="0"/>
    <n v="0.40599999999999997"/>
  </r>
  <r>
    <s v="ORD-10063"/>
    <s v="16-Feb-2024"/>
    <x v="4"/>
    <x v="1"/>
    <s v="Children"/>
    <s v="Children - Model 441"/>
    <s v="Kolkata"/>
    <s v="East"/>
    <n v="4"/>
    <n v="6890"/>
    <n v="5856"/>
    <n v="0.15"/>
    <n v="4429"/>
    <n v="5708"/>
    <n v="0.24368169398907105"/>
    <n v="73"/>
    <n v="5416"/>
    <n v="0.23121584699453551"/>
    <x v="0"/>
    <x v="0"/>
    <n v="0"/>
    <n v="0"/>
    <n v="0.21"/>
  </r>
  <r>
    <s v="ORD-10064"/>
    <s v="03-Aug-2024"/>
    <x v="8"/>
    <x v="1"/>
    <s v="Textbook"/>
    <s v="Textbook - Model 431"/>
    <s v="Delhi"/>
    <s v="North"/>
    <n v="13"/>
    <n v="6946"/>
    <n v="4376"/>
    <n v="0.37"/>
    <n v="2781"/>
    <n v="20735"/>
    <n v="0.36448811700182815"/>
    <n v="160"/>
    <n v="18655"/>
    <n v="0.32792504570383912"/>
    <x v="0"/>
    <x v="0"/>
    <n v="0"/>
    <n v="0"/>
    <n v="0.51800000000000002"/>
  </r>
  <r>
    <s v="ORD-10065"/>
    <s v="20-Jun-2024"/>
    <x v="5"/>
    <x v="3"/>
    <s v="Pulses"/>
    <s v="Pulses - Model 878"/>
    <s v="Mumbai"/>
    <s v="West"/>
    <n v="7"/>
    <n v="2283"/>
    <n v="2146"/>
    <n v="0.06"/>
    <n v="1143"/>
    <n v="7021"/>
    <n v="0.46738117427772602"/>
    <n v="162"/>
    <n v="5887"/>
    <n v="0.39189189189189189"/>
    <x v="0"/>
    <x v="1"/>
    <n v="0"/>
    <n v="0"/>
    <n v="8.3999999999999991E-2"/>
  </r>
  <r>
    <s v="ORD-10066"/>
    <s v="26-Oct-2024"/>
    <x v="11"/>
    <x v="5"/>
    <s v="Serum"/>
    <s v="Serum - Model 418"/>
    <s v="Jaipur"/>
    <s v="North"/>
    <n v="1"/>
    <n v="4508"/>
    <n v="4328"/>
    <n v="0.04"/>
    <n v="3369"/>
    <n v="959"/>
    <n v="0.22158040665434381"/>
    <n v="167"/>
    <n v="792"/>
    <n v="0.18299445471349354"/>
    <x v="0"/>
    <x v="0"/>
    <n v="0"/>
    <n v="0"/>
    <n v="5.5999999999999994E-2"/>
  </r>
  <r>
    <s v="ORD-10067"/>
    <s v="16-Mar-2024"/>
    <x v="2"/>
    <x v="2"/>
    <s v="Cycle"/>
    <s v="Cycle - Model 822"/>
    <s v="Chennai"/>
    <s v="South"/>
    <n v="14"/>
    <n v="6711"/>
    <n v="3758"/>
    <n v="0.44"/>
    <n v="3257"/>
    <n v="7014"/>
    <n v="0.13331559340074509"/>
    <n v="113"/>
    <n v="5432"/>
    <n v="0.10324640766365088"/>
    <x v="0"/>
    <x v="0"/>
    <n v="0"/>
    <n v="0"/>
    <n v="0.61599999999999999"/>
  </r>
  <r>
    <s v="ORD-10068"/>
    <s v="05-Dec-2024"/>
    <x v="10"/>
    <x v="7"/>
    <s v="Saree"/>
    <s v="Saree - Model 891"/>
    <s v="Pune"/>
    <s v="West"/>
    <n v="11"/>
    <n v="7487"/>
    <n v="5765"/>
    <n v="0.23"/>
    <n v="5145"/>
    <n v="6820"/>
    <n v="0.10754553339115351"/>
    <n v="72"/>
    <n v="6028"/>
    <n v="9.5056374674761496E-2"/>
    <x v="4"/>
    <x v="0"/>
    <n v="0"/>
    <n v="0"/>
    <n v="0.32200000000000001"/>
  </r>
  <r>
    <s v="ORD-10069"/>
    <s v="16-Nov-2024"/>
    <x v="0"/>
    <x v="6"/>
    <s v="Curtain"/>
    <s v="Curtain - Model 651"/>
    <s v="Ahmedabad"/>
    <s v="West"/>
    <n v="12"/>
    <n v="2793"/>
    <n v="1843"/>
    <n v="0.34"/>
    <n v="1486"/>
    <n v="4284"/>
    <n v="0.19370591427021161"/>
    <n v="170"/>
    <n v="2244"/>
    <n v="0.10146500271296799"/>
    <x v="1"/>
    <x v="0"/>
    <n v="0"/>
    <n v="1"/>
    <n v="0.82599999999999996"/>
  </r>
  <r>
    <s v="ORD-10070"/>
    <s v="08-Jul-2024"/>
    <x v="3"/>
    <x v="4"/>
    <s v="Action Figure"/>
    <s v="Action Figure - Model 425"/>
    <s v="Ahmedabad"/>
    <s v="West"/>
    <n v="13"/>
    <n v="3211"/>
    <n v="2248"/>
    <n v="0.3"/>
    <n v="2207"/>
    <n v="533"/>
    <n v="1.8238434163701068E-2"/>
    <n v="177"/>
    <n v="-1768"/>
    <n v="-6.0498220640569395E-2"/>
    <x v="0"/>
    <x v="0"/>
    <n v="0"/>
    <n v="0"/>
    <n v="0.42"/>
  </r>
  <r>
    <s v="ORD-10071"/>
    <s v="11-Oct-2024"/>
    <x v="11"/>
    <x v="7"/>
    <s v="Shoes"/>
    <s v="Shoes - Model 202"/>
    <s v="Jaipur"/>
    <s v="North"/>
    <n v="15"/>
    <n v="320"/>
    <n v="301"/>
    <n v="0.06"/>
    <n v="226"/>
    <n v="1125"/>
    <n v="0.24916943521594684"/>
    <n v="175"/>
    <n v="-1500"/>
    <n v="-0.33222591362126247"/>
    <x v="2"/>
    <x v="1"/>
    <n v="0"/>
    <n v="0"/>
    <n v="8.3999999999999991E-2"/>
  </r>
  <r>
    <s v="ORD-10072"/>
    <s v="20-Jun-2024"/>
    <x v="5"/>
    <x v="4"/>
    <s v="Action Figure"/>
    <s v="Action Figure - Model 972"/>
    <s v="Kolkata"/>
    <s v="East"/>
    <n v="18"/>
    <n v="3164"/>
    <n v="2721"/>
    <n v="0.14000000000000001"/>
    <n v="2062"/>
    <n v="11862"/>
    <n v="0.24219037118706357"/>
    <n v="144"/>
    <n v="9270"/>
    <n v="0.18926865123116501"/>
    <x v="3"/>
    <x v="0"/>
    <n v="0"/>
    <n v="0"/>
    <n v="0.19600000000000001"/>
  </r>
  <r>
    <s v="ORD-10073"/>
    <s v="22-Nov-2024"/>
    <x v="0"/>
    <x v="2"/>
    <s v="Cricket Bat"/>
    <s v="Cricket Bat - Model 864"/>
    <s v="Delhi"/>
    <s v="North"/>
    <n v="14"/>
    <n v="7831"/>
    <n v="5168"/>
    <n v="0.34"/>
    <n v="5062"/>
    <n v="1484"/>
    <n v="2.0510835913312694E-2"/>
    <n v="45"/>
    <n v="854"/>
    <n v="1.1803405572755417E-2"/>
    <x v="1"/>
    <x v="1"/>
    <n v="0"/>
    <n v="1"/>
    <n v="0.82599999999999996"/>
  </r>
  <r>
    <s v="ORD-10074"/>
    <s v="11-Jan-2024"/>
    <x v="9"/>
    <x v="0"/>
    <s v="Headphones"/>
    <s v="Headphones - Model 467"/>
    <s v="Kolkata"/>
    <s v="East"/>
    <n v="14"/>
    <n v="1335"/>
    <n v="1015"/>
    <n v="0.24"/>
    <n v="798"/>
    <n v="3038"/>
    <n v="0.21379310344827587"/>
    <n v="149"/>
    <n v="952"/>
    <n v="6.6995073891625609E-2"/>
    <x v="1"/>
    <x v="3"/>
    <n v="1"/>
    <n v="1"/>
    <n v="0.68599999999999994"/>
  </r>
  <r>
    <s v="ORD-10075"/>
    <s v="20-Jul-2024"/>
    <x v="3"/>
    <x v="5"/>
    <s v="Perfume"/>
    <s v="Perfume - Model 697"/>
    <s v="Bangalore"/>
    <s v="South"/>
    <n v="8"/>
    <n v="3797"/>
    <n v="3379"/>
    <n v="0.11"/>
    <n v="1858"/>
    <n v="12168"/>
    <n v="0.4501331754957088"/>
    <n v="31"/>
    <n v="11920"/>
    <n v="0.4409588635691033"/>
    <x v="0"/>
    <x v="0"/>
    <n v="0"/>
    <n v="0"/>
    <n v="0.154"/>
  </r>
  <r>
    <s v="ORD-10076"/>
    <s v="03-Mar-2024"/>
    <x v="2"/>
    <x v="3"/>
    <s v="Rice"/>
    <s v="Rice - Model 701"/>
    <s v="Chennai"/>
    <s v="South"/>
    <n v="14"/>
    <n v="5584"/>
    <n v="4411"/>
    <n v="0.21"/>
    <n v="2824"/>
    <n v="22218"/>
    <n v="0.35978236227612787"/>
    <n v="180"/>
    <n v="19698"/>
    <n v="0.31897528905010203"/>
    <x v="0"/>
    <x v="0"/>
    <n v="0"/>
    <n v="0"/>
    <n v="0.29399999999999998"/>
  </r>
  <r>
    <s v="ORD-10077"/>
    <s v="19-Jun-2024"/>
    <x v="5"/>
    <x v="2"/>
    <s v="Yoga Mat"/>
    <s v="Yoga Mat - Model 122"/>
    <s v="Pune"/>
    <s v="West"/>
    <n v="9"/>
    <n v="263"/>
    <n v="160"/>
    <n v="0.39"/>
    <n v="177"/>
    <n v="-153"/>
    <n v="-0.10625"/>
    <n v="176"/>
    <n v="-1737"/>
    <n v="-1.20625"/>
    <x v="3"/>
    <x v="2"/>
    <n v="0"/>
    <n v="0"/>
    <n v="0.54599999999999993"/>
  </r>
  <r>
    <s v="ORD-10078"/>
    <s v="25-May-2024"/>
    <x v="6"/>
    <x v="5"/>
    <s v="Sunscreen"/>
    <s v="Sunscreen - Model 921"/>
    <s v="Kolkata"/>
    <s v="East"/>
    <n v="8"/>
    <n v="5166"/>
    <n v="3720"/>
    <n v="0.28000000000000003"/>
    <n v="3292"/>
    <n v="3424"/>
    <n v="0.11505376344086021"/>
    <n v="138"/>
    <n v="2320"/>
    <n v="7.7956989247311828E-2"/>
    <x v="1"/>
    <x v="1"/>
    <n v="0"/>
    <n v="1"/>
    <n v="0.74199999999999999"/>
  </r>
  <r>
    <s v="ORD-10079"/>
    <s v="02-Nov-2024"/>
    <x v="0"/>
    <x v="2"/>
    <s v="Dumbbells"/>
    <s v="Dumbbells - Model 134"/>
    <s v="Lucknow"/>
    <s v="North"/>
    <n v="12"/>
    <n v="5912"/>
    <n v="5676"/>
    <n v="0.04"/>
    <n v="2975"/>
    <n v="32412"/>
    <n v="0.47586328400281891"/>
    <n v="142"/>
    <n v="30708"/>
    <n v="0.45084566596194503"/>
    <x v="1"/>
    <x v="2"/>
    <n v="0"/>
    <n v="1"/>
    <n v="0.40599999999999997"/>
  </r>
  <r>
    <s v="ORD-10080"/>
    <s v="17-Jun-2024"/>
    <x v="5"/>
    <x v="2"/>
    <s v="Cricket Bat"/>
    <s v="Cricket Bat - Model 363"/>
    <s v="Ahmedabad"/>
    <s v="West"/>
    <n v="10"/>
    <n v="6023"/>
    <n v="5120"/>
    <n v="0.15"/>
    <n v="2652"/>
    <n v="24680"/>
    <n v="0.48203125000000002"/>
    <n v="174"/>
    <n v="22940"/>
    <n v="0.44804687500000001"/>
    <x v="1"/>
    <x v="0"/>
    <n v="0"/>
    <n v="1"/>
    <n v="0.55999999999999994"/>
  </r>
  <r>
    <s v="ORD-10081"/>
    <s v="24-Nov-2024"/>
    <x v="0"/>
    <x v="4"/>
    <s v="Doll"/>
    <s v="Doll - Model 474"/>
    <s v="Delhi"/>
    <s v="North"/>
    <n v="13"/>
    <n v="309"/>
    <n v="235"/>
    <n v="0.24"/>
    <n v="173"/>
    <n v="806"/>
    <n v="0.26382978723404255"/>
    <n v="131"/>
    <n v="-897"/>
    <n v="-0.29361702127659572"/>
    <x v="4"/>
    <x v="3"/>
    <n v="1"/>
    <n v="0"/>
    <n v="0.33599999999999997"/>
  </r>
  <r>
    <s v="ORD-10082"/>
    <s v="04-Jun-2024"/>
    <x v="5"/>
    <x v="5"/>
    <s v="Perfume"/>
    <s v="Perfume - Model 125"/>
    <s v="Lucknow"/>
    <s v="North"/>
    <n v="18"/>
    <n v="2758"/>
    <n v="2013"/>
    <n v="0.27"/>
    <n v="1728"/>
    <n v="5130"/>
    <n v="0.14157973174366617"/>
    <n v="125"/>
    <n v="2880"/>
    <n v="7.9483358171882762E-2"/>
    <x v="0"/>
    <x v="0"/>
    <n v="0"/>
    <n v="0"/>
    <n v="0.378"/>
  </r>
  <r>
    <s v="ORD-10083"/>
    <s v="04-Jul-2024"/>
    <x v="3"/>
    <x v="6"/>
    <s v="Mixer"/>
    <s v="Mixer - Model 138"/>
    <s v="Chennai"/>
    <s v="South"/>
    <n v="16"/>
    <n v="1106"/>
    <n v="984"/>
    <n v="0.11"/>
    <n v="650"/>
    <n v="5344"/>
    <n v="0.33943089430894308"/>
    <n v="88"/>
    <n v="3936"/>
    <n v="0.25"/>
    <x v="4"/>
    <x v="0"/>
    <n v="0"/>
    <n v="0"/>
    <n v="0.154"/>
  </r>
  <r>
    <s v="ORD-10084"/>
    <s v="14-Sep-2024"/>
    <x v="7"/>
    <x v="6"/>
    <s v="Curtain"/>
    <s v="Curtain - Model 770"/>
    <s v="Delhi"/>
    <s v="North"/>
    <n v="16"/>
    <n v="5002"/>
    <n v="2901"/>
    <n v="0.42"/>
    <n v="2491"/>
    <n v="6560"/>
    <n v="0.1413305756635643"/>
    <n v="134"/>
    <n v="4416"/>
    <n v="9.5139607032057913E-2"/>
    <x v="1"/>
    <x v="1"/>
    <n v="0"/>
    <n v="1"/>
    <n v="0.93799999999999994"/>
  </r>
  <r>
    <s v="ORD-10085"/>
    <s v="04-Jun-2024"/>
    <x v="5"/>
    <x v="1"/>
    <s v="Comic"/>
    <s v="Comic - Model 760"/>
    <s v="Kolkata"/>
    <s v="East"/>
    <n v="2"/>
    <n v="3305"/>
    <n v="3008"/>
    <n v="0.09"/>
    <n v="1463"/>
    <n v="3090"/>
    <n v="0.5136303191489362"/>
    <n v="157"/>
    <n v="2776"/>
    <n v="0.46143617021276595"/>
    <x v="0"/>
    <x v="0"/>
    <n v="0"/>
    <n v="0"/>
    <n v="0.126"/>
  </r>
  <r>
    <s v="ORD-10086"/>
    <s v="20-Nov-2024"/>
    <x v="0"/>
    <x v="0"/>
    <s v="Mobile"/>
    <s v="Mobile - Model 905"/>
    <s v="Kolkata"/>
    <s v="East"/>
    <n v="8"/>
    <n v="7913"/>
    <n v="5143"/>
    <n v="0.35"/>
    <n v="3734"/>
    <n v="11272"/>
    <n v="0.2739646120941085"/>
    <n v="154"/>
    <n v="10040"/>
    <n v="0.24402099941668287"/>
    <x v="3"/>
    <x v="0"/>
    <n v="0"/>
    <n v="0"/>
    <n v="0.48999999999999994"/>
  </r>
  <r>
    <s v="ORD-10087"/>
    <s v="11-Apr-2024"/>
    <x v="1"/>
    <x v="6"/>
    <s v="Lamp"/>
    <s v="Lamp - Model 102"/>
    <s v="Chennai"/>
    <s v="South"/>
    <n v="5"/>
    <n v="7903"/>
    <n v="6006"/>
    <n v="0.24"/>
    <n v="5370"/>
    <n v="3180"/>
    <n v="0.10589410589410589"/>
    <n v="46"/>
    <n v="2950"/>
    <n v="9.8235098235098239E-2"/>
    <x v="2"/>
    <x v="0"/>
    <n v="0"/>
    <n v="0"/>
    <n v="0.33599999999999997"/>
  </r>
  <r>
    <s v="ORD-10088"/>
    <s v="19-Apr-2024"/>
    <x v="1"/>
    <x v="1"/>
    <s v="Fiction"/>
    <s v="Fiction - Model 278"/>
    <s v="Chennai"/>
    <s v="South"/>
    <n v="2"/>
    <n v="1189"/>
    <n v="963"/>
    <n v="0.19"/>
    <n v="523"/>
    <n v="880"/>
    <n v="0.45690550363447557"/>
    <n v="40"/>
    <n v="800"/>
    <n v="0.4153686396677051"/>
    <x v="0"/>
    <x v="0"/>
    <n v="0"/>
    <n v="0"/>
    <n v="0.26599999999999996"/>
  </r>
  <r>
    <s v="ORD-10089"/>
    <s v="15-Feb-2024"/>
    <x v="4"/>
    <x v="5"/>
    <s v="Sunscreen"/>
    <s v="Sunscreen - Model 144"/>
    <s v="Jaipur"/>
    <s v="North"/>
    <n v="10"/>
    <n v="3773"/>
    <n v="2151"/>
    <n v="0.43"/>
    <n v="1590"/>
    <n v="5610"/>
    <n v="0.26080892608089262"/>
    <n v="102"/>
    <n v="4590"/>
    <n v="0.21338912133891214"/>
    <x v="0"/>
    <x v="0"/>
    <n v="0"/>
    <n v="0"/>
    <n v="0.60199999999999998"/>
  </r>
  <r>
    <s v="ORD-10090"/>
    <s v="15-Dec-2024"/>
    <x v="10"/>
    <x v="7"/>
    <s v="Kurta"/>
    <s v="Kurta - Model 429"/>
    <s v="Lucknow"/>
    <s v="North"/>
    <n v="5"/>
    <n v="712"/>
    <n v="627"/>
    <n v="0.12"/>
    <n v="443"/>
    <n v="920"/>
    <n v="0.29346092503987242"/>
    <n v="112"/>
    <n v="360"/>
    <n v="0.11483253588516747"/>
    <x v="4"/>
    <x v="0"/>
    <n v="0"/>
    <n v="0"/>
    <n v="0.16799999999999998"/>
  </r>
  <r>
    <s v="ORD-10091"/>
    <s v="15-May-2024"/>
    <x v="6"/>
    <x v="4"/>
    <s v="Action Figure"/>
    <s v="Action Figure - Model 912"/>
    <s v="Delhi"/>
    <s v="North"/>
    <n v="18"/>
    <n v="5823"/>
    <n v="5241"/>
    <n v="0.1"/>
    <n v="3249"/>
    <n v="35856"/>
    <n v="0.38008013737836288"/>
    <n v="64"/>
    <n v="34704"/>
    <n v="0.36786872734211029"/>
    <x v="4"/>
    <x v="0"/>
    <n v="0"/>
    <n v="0"/>
    <n v="0.13999999999999999"/>
  </r>
  <r>
    <s v="ORD-10092"/>
    <s v="04-Dec-2024"/>
    <x v="10"/>
    <x v="1"/>
    <s v="Children"/>
    <s v="Children - Model 420"/>
    <s v="Chennai"/>
    <s v="South"/>
    <n v="12"/>
    <n v="7638"/>
    <n v="5270"/>
    <n v="0.31"/>
    <n v="4323"/>
    <n v="11364"/>
    <n v="0.17969639468690701"/>
    <n v="44"/>
    <n v="10836"/>
    <n v="0.1713472485768501"/>
    <x v="2"/>
    <x v="0"/>
    <n v="0"/>
    <n v="0"/>
    <n v="0.434"/>
  </r>
  <r>
    <s v="ORD-10093"/>
    <s v="12-Dec-2024"/>
    <x v="10"/>
    <x v="6"/>
    <s v="Lamp"/>
    <s v="Lamp - Model 161"/>
    <s v="Lucknow"/>
    <s v="North"/>
    <n v="18"/>
    <n v="4581"/>
    <n v="3207"/>
    <n v="0.3"/>
    <n v="2491"/>
    <n v="12888"/>
    <n v="0.22326161521671345"/>
    <n v="161"/>
    <n v="9990"/>
    <n v="0.17305893358278765"/>
    <x v="0"/>
    <x v="0"/>
    <n v="0"/>
    <n v="0"/>
    <n v="0.42"/>
  </r>
  <r>
    <s v="ORD-10094"/>
    <s v="20-May-2024"/>
    <x v="6"/>
    <x v="2"/>
    <s v="Yoga Mat"/>
    <s v="Yoga Mat - Model 206"/>
    <s v="Lucknow"/>
    <s v="North"/>
    <n v="17"/>
    <n v="1859"/>
    <n v="1301"/>
    <n v="0.3"/>
    <n v="890"/>
    <n v="6987"/>
    <n v="0.31591083781706381"/>
    <n v="46"/>
    <n v="6205"/>
    <n v="0.28055342044581094"/>
    <x v="3"/>
    <x v="3"/>
    <n v="1"/>
    <n v="0"/>
    <n v="0.42"/>
  </r>
  <r>
    <s v="ORD-10095"/>
    <s v="08-Oct-2024"/>
    <x v="11"/>
    <x v="4"/>
    <s v="Doll"/>
    <s v="Doll - Model 885"/>
    <s v="Lucknow"/>
    <s v="North"/>
    <n v="20"/>
    <n v="5465"/>
    <n v="4099"/>
    <n v="0.25"/>
    <n v="3351"/>
    <n v="14960"/>
    <n v="0.18248353256891925"/>
    <n v="129"/>
    <n v="12380"/>
    <n v="0.1510124420590388"/>
    <x v="4"/>
    <x v="0"/>
    <n v="0"/>
    <n v="0"/>
    <n v="0.35"/>
  </r>
  <r>
    <s v="ORD-10096"/>
    <s v="11-May-2024"/>
    <x v="6"/>
    <x v="1"/>
    <s v="Fiction"/>
    <s v="Fiction - Model 285"/>
    <s v="Bangalore"/>
    <s v="South"/>
    <n v="19"/>
    <n v="5327"/>
    <n v="5167"/>
    <n v="0.03"/>
    <n v="3512"/>
    <n v="31445"/>
    <n v="0.32030191600541902"/>
    <n v="176"/>
    <n v="28101"/>
    <n v="0.28623959744532612"/>
    <x v="2"/>
    <x v="0"/>
    <n v="0"/>
    <n v="0"/>
    <n v="4.1999999999999996E-2"/>
  </r>
  <r>
    <s v="ORD-10097"/>
    <s v="15-Jul-2024"/>
    <x v="3"/>
    <x v="1"/>
    <s v="Self-Help"/>
    <s v="Self-Help - Model 478"/>
    <s v="Chennai"/>
    <s v="South"/>
    <n v="11"/>
    <n v="6259"/>
    <n v="4632"/>
    <n v="0.26"/>
    <n v="2690"/>
    <n v="21362"/>
    <n v="0.41925734024179623"/>
    <n v="38"/>
    <n v="20944"/>
    <n v="0.41105354058721932"/>
    <x v="1"/>
    <x v="0"/>
    <n v="0"/>
    <n v="1"/>
    <n v="0.71399999999999997"/>
  </r>
  <r>
    <s v="ORD-10098"/>
    <s v="09-Feb-2024"/>
    <x v="4"/>
    <x v="3"/>
    <s v="Pulses"/>
    <s v="Pulses - Model 597"/>
    <s v="Lucknow"/>
    <s v="North"/>
    <n v="15"/>
    <n v="3431"/>
    <n v="3088"/>
    <n v="0.1"/>
    <n v="1988"/>
    <n v="16500"/>
    <n v="0.35621761658031087"/>
    <n v="82"/>
    <n v="15270"/>
    <n v="0.32966321243523317"/>
    <x v="2"/>
    <x v="0"/>
    <n v="0"/>
    <n v="0"/>
    <n v="0.13999999999999999"/>
  </r>
  <r>
    <s v="ORD-10099"/>
    <s v="17-Aug-2024"/>
    <x v="8"/>
    <x v="2"/>
    <s v="Shoes"/>
    <s v="Shoes - Model 325"/>
    <s v="Pune"/>
    <s v="West"/>
    <n v="20"/>
    <n v="627"/>
    <n v="571"/>
    <n v="0.09"/>
    <n v="458"/>
    <n v="2260"/>
    <n v="0.19789842381786341"/>
    <n v="145"/>
    <n v="-640"/>
    <n v="-5.6042031523642732E-2"/>
    <x v="4"/>
    <x v="0"/>
    <n v="0"/>
    <n v="0"/>
    <n v="0.126"/>
  </r>
  <r>
    <s v="ORD-10100"/>
    <s v="24-Aug-2024"/>
    <x v="8"/>
    <x v="4"/>
    <s v="Board Game"/>
    <s v="Board Game - Model 232"/>
    <s v="Pune"/>
    <s v="West"/>
    <n v="18"/>
    <n v="5689"/>
    <n v="4381"/>
    <n v="0.23"/>
    <n v="3935"/>
    <n v="8028"/>
    <n v="0.10180324126911663"/>
    <n v="151"/>
    <n v="5310"/>
    <n v="6.7336224606254283E-2"/>
    <x v="2"/>
    <x v="0"/>
    <n v="0"/>
    <n v="0"/>
    <n v="0.32200000000000001"/>
  </r>
  <r>
    <s v="ORD-10101"/>
    <s v="01-Jul-2024"/>
    <x v="3"/>
    <x v="3"/>
    <s v="Atta"/>
    <s v="Atta - Model 982"/>
    <s v="Kolkata"/>
    <s v="East"/>
    <n v="19"/>
    <n v="3548"/>
    <n v="2909"/>
    <n v="0.18"/>
    <n v="2214"/>
    <n v="13205"/>
    <n v="0.23891371605362668"/>
    <n v="73"/>
    <n v="11818"/>
    <n v="0.2138191818494328"/>
    <x v="0"/>
    <x v="0"/>
    <n v="0"/>
    <n v="0"/>
    <n v="0.252"/>
  </r>
  <r>
    <s v="ORD-10102"/>
    <s v="15-Oct-2024"/>
    <x v="11"/>
    <x v="1"/>
    <s v="Fiction"/>
    <s v="Fiction - Model 547"/>
    <s v="Delhi"/>
    <s v="North"/>
    <n v="8"/>
    <n v="3598"/>
    <n v="2950"/>
    <n v="0.18"/>
    <n v="1538"/>
    <n v="11296"/>
    <n v="0.47864406779661017"/>
    <n v="161"/>
    <n v="10008"/>
    <n v="0.42406779661016947"/>
    <x v="4"/>
    <x v="3"/>
    <n v="1"/>
    <n v="0"/>
    <n v="0.252"/>
  </r>
  <r>
    <s v="ORD-10103"/>
    <s v="17-Feb-2024"/>
    <x v="4"/>
    <x v="7"/>
    <s v="Jacket"/>
    <s v="Jacket - Model 622"/>
    <s v="Hyderabad"/>
    <s v="South"/>
    <n v="12"/>
    <n v="2939"/>
    <n v="1675"/>
    <n v="0.43"/>
    <n v="1840"/>
    <n v="-1980"/>
    <n v="-9.8507462686567168E-2"/>
    <n v="52"/>
    <n v="-2604"/>
    <n v="-0.12955223880597014"/>
    <x v="2"/>
    <x v="0"/>
    <n v="0"/>
    <n v="0"/>
    <n v="0.60199999999999998"/>
  </r>
  <r>
    <s v="ORD-10104"/>
    <s v="05-Oct-2024"/>
    <x v="11"/>
    <x v="7"/>
    <s v="Jeans"/>
    <s v="Jeans - Model 891"/>
    <s v="Ahmedabad"/>
    <s v="West"/>
    <n v="15"/>
    <n v="6085"/>
    <n v="4016"/>
    <n v="0.34"/>
    <n v="3390"/>
    <n v="9390"/>
    <n v="0.15587649402390438"/>
    <n v="169"/>
    <n v="6855"/>
    <n v="0.11379482071713147"/>
    <x v="3"/>
    <x v="1"/>
    <n v="0"/>
    <n v="0"/>
    <n v="0.47599999999999998"/>
  </r>
  <r>
    <s v="ORD-10105"/>
    <s v="28-Jun-2024"/>
    <x v="5"/>
    <x v="1"/>
    <s v="Self-Help"/>
    <s v="Self-Help - Model 550"/>
    <s v="Delhi"/>
    <s v="North"/>
    <n v="16"/>
    <n v="3649"/>
    <n v="3138"/>
    <n v="0.14000000000000001"/>
    <n v="1810"/>
    <n v="21248"/>
    <n v="0.42319949012109626"/>
    <n v="38"/>
    <n v="20640"/>
    <n v="0.41108986615678778"/>
    <x v="3"/>
    <x v="0"/>
    <n v="0"/>
    <n v="0"/>
    <n v="0.19600000000000001"/>
  </r>
  <r>
    <s v="ORD-10106"/>
    <s v="02-Jan-2024"/>
    <x v="9"/>
    <x v="1"/>
    <s v="Textbook"/>
    <s v="Textbook - Model 178"/>
    <s v="Delhi"/>
    <s v="North"/>
    <n v="20"/>
    <n v="4834"/>
    <n v="4012"/>
    <n v="0.17"/>
    <n v="2915"/>
    <n v="21940"/>
    <n v="0.27342971086739781"/>
    <n v="173"/>
    <n v="18480"/>
    <n v="0.23030907278165502"/>
    <x v="2"/>
    <x v="3"/>
    <n v="1"/>
    <n v="0"/>
    <n v="0.23799999999999999"/>
  </r>
  <r>
    <s v="ORD-10107"/>
    <s v="07-Nov-2024"/>
    <x v="0"/>
    <x v="1"/>
    <s v="Comic"/>
    <s v="Comic - Model 587"/>
    <s v="Jaipur"/>
    <s v="North"/>
    <n v="5"/>
    <n v="7670"/>
    <n v="6136"/>
    <n v="0.2"/>
    <n v="5245"/>
    <n v="4455"/>
    <n v="0.14520860495436766"/>
    <n v="156"/>
    <n v="3675"/>
    <n v="0.11978487614080835"/>
    <x v="2"/>
    <x v="0"/>
    <n v="0"/>
    <n v="0"/>
    <n v="0.27999999999999997"/>
  </r>
  <r>
    <s v="ORD-10108"/>
    <s v="23-Apr-2024"/>
    <x v="1"/>
    <x v="3"/>
    <s v="Pulses"/>
    <s v="Pulses - Model 636"/>
    <s v="Jaipur"/>
    <s v="North"/>
    <n v="20"/>
    <n v="1438"/>
    <n v="1194"/>
    <n v="0.17"/>
    <n v="718"/>
    <n v="9520"/>
    <n v="0.39865996649916247"/>
    <n v="91"/>
    <n v="7700"/>
    <n v="0.3224455611390285"/>
    <x v="4"/>
    <x v="0"/>
    <n v="0"/>
    <n v="0"/>
    <n v="0.23799999999999999"/>
  </r>
  <r>
    <s v="ORD-10109"/>
    <s v="21-Nov-2024"/>
    <x v="0"/>
    <x v="1"/>
    <s v="Fiction"/>
    <s v="Fiction - Model 437"/>
    <s v="Delhi"/>
    <s v="North"/>
    <n v="18"/>
    <n v="5491"/>
    <n v="4777"/>
    <n v="0.13"/>
    <n v="3587"/>
    <n v="21420"/>
    <n v="0.24911032028469751"/>
    <n v="128"/>
    <n v="19116"/>
    <n v="0.22231526062382248"/>
    <x v="3"/>
    <x v="0"/>
    <n v="0"/>
    <n v="0"/>
    <n v="0.182"/>
  </r>
  <r>
    <s v="ORD-10110"/>
    <s v="22-Oct-2024"/>
    <x v="11"/>
    <x v="6"/>
    <s v="Bedsheet"/>
    <s v="Bedsheet - Model 417"/>
    <s v="Pune"/>
    <s v="West"/>
    <n v="5"/>
    <n v="4841"/>
    <n v="2808"/>
    <n v="0.42"/>
    <n v="2461"/>
    <n v="1735"/>
    <n v="0.12357549857549857"/>
    <n v="87"/>
    <n v="1300"/>
    <n v="9.2592592592592587E-2"/>
    <x v="4"/>
    <x v="0"/>
    <n v="0"/>
    <n v="0"/>
    <n v="0.58799999999999997"/>
  </r>
  <r>
    <s v="ORD-10111"/>
    <s v="22-Dec-2024"/>
    <x v="10"/>
    <x v="7"/>
    <s v="Shoes"/>
    <s v="Shoes - Model 620"/>
    <s v="Kolkata"/>
    <s v="East"/>
    <n v="1"/>
    <n v="3028"/>
    <n v="2786"/>
    <n v="0.08"/>
    <n v="1438"/>
    <n v="1348"/>
    <n v="0.4838478104809763"/>
    <n v="172"/>
    <n v="1176"/>
    <n v="0.42211055276381909"/>
    <x v="0"/>
    <x v="1"/>
    <n v="0"/>
    <n v="0"/>
    <n v="0.11199999999999999"/>
  </r>
  <r>
    <s v="ORD-10112"/>
    <s v="03-Mar-2024"/>
    <x v="2"/>
    <x v="2"/>
    <s v="Shoes"/>
    <s v="Shoes - Model 619"/>
    <s v="Jaipur"/>
    <s v="North"/>
    <n v="17"/>
    <n v="494"/>
    <n v="420"/>
    <n v="0.15"/>
    <n v="330"/>
    <n v="1530"/>
    <n v="0.21428571428571427"/>
    <n v="50"/>
    <n v="680"/>
    <n v="9.5238095238095233E-2"/>
    <x v="0"/>
    <x v="0"/>
    <n v="0"/>
    <n v="0"/>
    <n v="0.21"/>
  </r>
  <r>
    <s v="ORD-10113"/>
    <s v="25-Dec-2024"/>
    <x v="10"/>
    <x v="6"/>
    <s v="Curtain"/>
    <s v="Curtain - Model 144"/>
    <s v="Pune"/>
    <s v="West"/>
    <n v="12"/>
    <n v="5476"/>
    <n v="4874"/>
    <n v="0.11"/>
    <n v="3042"/>
    <n v="21984"/>
    <n v="0.37587197373820269"/>
    <n v="73"/>
    <n v="21108"/>
    <n v="0.36089454247025032"/>
    <x v="0"/>
    <x v="0"/>
    <n v="0"/>
    <n v="0"/>
    <n v="0.154"/>
  </r>
  <r>
    <s v="ORD-10114"/>
    <s v="27-Aug-2024"/>
    <x v="8"/>
    <x v="5"/>
    <s v="Lipstick"/>
    <s v="Lipstick - Model 794"/>
    <s v="Lucknow"/>
    <s v="North"/>
    <n v="15"/>
    <n v="3801"/>
    <n v="3307"/>
    <n v="0.13"/>
    <n v="2028"/>
    <n v="19185"/>
    <n v="0.38675536740247957"/>
    <n v="109"/>
    <n v="17550"/>
    <n v="0.35379498034472329"/>
    <x v="1"/>
    <x v="2"/>
    <n v="0"/>
    <n v="1"/>
    <n v="0.53200000000000003"/>
  </r>
  <r>
    <s v="ORD-10115"/>
    <s v="28-Mar-2024"/>
    <x v="2"/>
    <x v="2"/>
    <s v="Shoes"/>
    <s v="Shoes - Model 756"/>
    <s v="Ahmedabad"/>
    <s v="West"/>
    <n v="12"/>
    <n v="4525"/>
    <n v="4299"/>
    <n v="0.05"/>
    <n v="3150"/>
    <n v="13788"/>
    <n v="0.26727145847871597"/>
    <n v="158"/>
    <n v="11892"/>
    <n v="0.23051872528494999"/>
    <x v="4"/>
    <x v="0"/>
    <n v="0"/>
    <n v="0"/>
    <n v="6.9999999999999993E-2"/>
  </r>
  <r>
    <s v="ORD-10116"/>
    <s v="17-Aug-2024"/>
    <x v="8"/>
    <x v="6"/>
    <s v="Curtain"/>
    <s v="Curtain - Model 193"/>
    <s v="Hyderabad"/>
    <s v="South"/>
    <n v="15"/>
    <n v="7100"/>
    <n v="4118"/>
    <n v="0.42"/>
    <n v="3871"/>
    <n v="3705"/>
    <n v="5.9980573093734821E-2"/>
    <n v="89"/>
    <n v="2370"/>
    <n v="3.8368139873725109E-2"/>
    <x v="4"/>
    <x v="1"/>
    <n v="0"/>
    <n v="0"/>
    <n v="0.58799999999999997"/>
  </r>
  <r>
    <s v="ORD-10117"/>
    <s v="08-Jun-2024"/>
    <x v="5"/>
    <x v="0"/>
    <s v="Headphones"/>
    <s v="Headphones - Model 201"/>
    <s v="Kolkata"/>
    <s v="East"/>
    <n v="5"/>
    <n v="1273"/>
    <n v="1108"/>
    <n v="0.13"/>
    <n v="879"/>
    <n v="1145"/>
    <n v="0.20667870036101083"/>
    <n v="134"/>
    <n v="475"/>
    <n v="8.5740072202166062E-2"/>
    <x v="1"/>
    <x v="0"/>
    <n v="0"/>
    <n v="1"/>
    <n v="0.53200000000000003"/>
  </r>
  <r>
    <s v="ORD-10118"/>
    <s v="01-Oct-2024"/>
    <x v="11"/>
    <x v="7"/>
    <s v="Kurta"/>
    <s v="Kurta - Model 362"/>
    <s v="Hyderabad"/>
    <s v="South"/>
    <n v="5"/>
    <n v="4481"/>
    <n v="3002"/>
    <n v="0.33"/>
    <n v="2620"/>
    <n v="1910"/>
    <n v="0.12724850099933377"/>
    <n v="47"/>
    <n v="1675"/>
    <n v="0.11159227181878748"/>
    <x v="4"/>
    <x v="0"/>
    <n v="0"/>
    <n v="0"/>
    <n v="0.46199999999999997"/>
  </r>
  <r>
    <s v="ORD-10119"/>
    <s v="14-Apr-2024"/>
    <x v="1"/>
    <x v="3"/>
    <s v="Atta"/>
    <s v="Atta - Model 213"/>
    <s v="Ahmedabad"/>
    <s v="West"/>
    <n v="20"/>
    <n v="4381"/>
    <n v="3154"/>
    <n v="0.28000000000000003"/>
    <n v="2634"/>
    <n v="10400"/>
    <n v="0.16487000634115409"/>
    <n v="138"/>
    <n v="7640"/>
    <n v="0.12111604311984782"/>
    <x v="4"/>
    <x v="0"/>
    <n v="0"/>
    <n v="0"/>
    <n v="0.39200000000000002"/>
  </r>
  <r>
    <s v="ORD-10120"/>
    <s v="19-Apr-2024"/>
    <x v="1"/>
    <x v="4"/>
    <s v="Board Game"/>
    <s v="Board Game - Model 780"/>
    <s v="Delhi"/>
    <s v="North"/>
    <n v="17"/>
    <n v="7802"/>
    <n v="7568"/>
    <n v="0.03"/>
    <n v="4557"/>
    <n v="51187"/>
    <n v="0.39785940803382663"/>
    <n v="106"/>
    <n v="49385"/>
    <n v="0.38385306553911203"/>
    <x v="3"/>
    <x v="0"/>
    <n v="0"/>
    <n v="0"/>
    <n v="4.1999999999999996E-2"/>
  </r>
  <r>
    <s v="ORD-10121"/>
    <s v="02-Aug-2024"/>
    <x v="8"/>
    <x v="4"/>
    <s v="Puzzle"/>
    <s v="Puzzle - Model 359"/>
    <s v="Mumbai"/>
    <s v="West"/>
    <n v="12"/>
    <n v="6350"/>
    <n v="5334"/>
    <n v="0.16"/>
    <n v="4169"/>
    <n v="13980"/>
    <n v="0.21841019872515935"/>
    <n v="124"/>
    <n v="12492"/>
    <n v="0.19516310461192352"/>
    <x v="3"/>
    <x v="0"/>
    <n v="0"/>
    <n v="0"/>
    <n v="0.22399999999999998"/>
  </r>
  <r>
    <s v="ORD-10122"/>
    <s v="12-Jan-2024"/>
    <x v="9"/>
    <x v="1"/>
    <s v="Self-Help"/>
    <s v="Self-Help - Model 950"/>
    <s v="Ahmedabad"/>
    <s v="West"/>
    <n v="16"/>
    <n v="5128"/>
    <n v="3231"/>
    <n v="0.37"/>
    <n v="2164"/>
    <n v="17072"/>
    <n v="0.33023831631073969"/>
    <n v="146"/>
    <n v="14736"/>
    <n v="0.2850510677808728"/>
    <x v="0"/>
    <x v="0"/>
    <n v="0"/>
    <n v="0"/>
    <n v="0.51800000000000002"/>
  </r>
  <r>
    <s v="ORD-10123"/>
    <s v="02-Apr-2024"/>
    <x v="1"/>
    <x v="1"/>
    <s v="Textbook"/>
    <s v="Textbook - Model 627"/>
    <s v="Pune"/>
    <s v="West"/>
    <n v="18"/>
    <n v="3893"/>
    <n v="3815"/>
    <n v="0.02"/>
    <n v="2439"/>
    <n v="24768"/>
    <n v="0.36068152031454781"/>
    <n v="73"/>
    <n v="23454"/>
    <n v="0.34154652686762776"/>
    <x v="2"/>
    <x v="0"/>
    <n v="0"/>
    <n v="0"/>
    <n v="2.7999999999999997E-2"/>
  </r>
  <r>
    <s v="ORD-10124"/>
    <s v="26-Feb-2024"/>
    <x v="4"/>
    <x v="1"/>
    <s v="Children"/>
    <s v="Children - Model 509"/>
    <s v="Ahmedabad"/>
    <s v="West"/>
    <n v="13"/>
    <n v="2844"/>
    <n v="2616"/>
    <n v="0.08"/>
    <n v="1826"/>
    <n v="10270"/>
    <n v="0.30198776758409784"/>
    <n v="85"/>
    <n v="9165"/>
    <n v="0.26949541284403672"/>
    <x v="3"/>
    <x v="0"/>
    <n v="0"/>
    <n v="0"/>
    <n v="0.11199999999999999"/>
  </r>
  <r>
    <s v="ORD-10125"/>
    <s v="03-Jul-2024"/>
    <x v="3"/>
    <x v="4"/>
    <s v="Doll"/>
    <s v="Doll - Model 942"/>
    <s v="Bangalore"/>
    <s v="South"/>
    <n v="18"/>
    <n v="2491"/>
    <n v="2366"/>
    <n v="0.05"/>
    <n v="1282"/>
    <n v="19512"/>
    <n v="0.45815722738799664"/>
    <n v="74"/>
    <n v="18180"/>
    <n v="0.42688081149619611"/>
    <x v="0"/>
    <x v="0"/>
    <n v="0"/>
    <n v="0"/>
    <n v="6.9999999999999993E-2"/>
  </r>
  <r>
    <s v="ORD-10126"/>
    <s v="15-Dec-2024"/>
    <x v="10"/>
    <x v="1"/>
    <s v="Children"/>
    <s v="Children - Model 143"/>
    <s v="Kolkata"/>
    <s v="East"/>
    <n v="20"/>
    <n v="7986"/>
    <n v="7028"/>
    <n v="0.12"/>
    <n v="5934"/>
    <n v="21880"/>
    <n v="0.15566306203756403"/>
    <n v="172"/>
    <n v="18440"/>
    <n v="0.13118952760387023"/>
    <x v="2"/>
    <x v="0"/>
    <n v="0"/>
    <n v="0"/>
    <n v="0.16799999999999998"/>
  </r>
  <r>
    <s v="ORD-10127"/>
    <s v="26-Sep-2024"/>
    <x v="7"/>
    <x v="6"/>
    <s v="Mixer"/>
    <s v="Mixer - Model 246"/>
    <s v="Lucknow"/>
    <s v="North"/>
    <n v="15"/>
    <n v="471"/>
    <n v="457"/>
    <n v="0.03"/>
    <n v="317"/>
    <n v="2100"/>
    <n v="0.30634573304157547"/>
    <n v="85"/>
    <n v="825"/>
    <n v="0.12035010940919037"/>
    <x v="0"/>
    <x v="0"/>
    <n v="0"/>
    <n v="0"/>
    <n v="4.1999999999999996E-2"/>
  </r>
  <r>
    <s v="ORD-10128"/>
    <s v="22-Mar-2024"/>
    <x v="2"/>
    <x v="3"/>
    <s v="Rice"/>
    <s v="Rice - Model 480"/>
    <s v="Ahmedabad"/>
    <s v="West"/>
    <n v="3"/>
    <n v="4677"/>
    <n v="3555"/>
    <n v="0.24"/>
    <n v="2522"/>
    <n v="3099"/>
    <n v="0.29057665260196908"/>
    <n v="127"/>
    <n v="2718"/>
    <n v="0.25485232067510549"/>
    <x v="1"/>
    <x v="0"/>
    <n v="0"/>
    <n v="1"/>
    <n v="0.68599999999999994"/>
  </r>
  <r>
    <s v="ORD-10129"/>
    <s v="16-Mar-2024"/>
    <x v="2"/>
    <x v="4"/>
    <s v="Doll"/>
    <s v="Doll - Model 220"/>
    <s v="Chennai"/>
    <s v="South"/>
    <n v="9"/>
    <n v="5691"/>
    <n v="5122"/>
    <n v="0.1"/>
    <n v="3495"/>
    <n v="14643"/>
    <n v="0.31764935572042169"/>
    <n v="134"/>
    <n v="13437"/>
    <n v="0.29148770011714176"/>
    <x v="0"/>
    <x v="0"/>
    <n v="0"/>
    <n v="0"/>
    <n v="0.13999999999999999"/>
  </r>
  <r>
    <s v="ORD-10130"/>
    <s v="15-Feb-2024"/>
    <x v="4"/>
    <x v="6"/>
    <s v="Curtain"/>
    <s v="Curtain - Model 189"/>
    <s v="Kolkata"/>
    <s v="East"/>
    <n v="12"/>
    <n v="5734"/>
    <n v="4300"/>
    <n v="0.25"/>
    <n v="2876"/>
    <n v="17088"/>
    <n v="0.3311627906976744"/>
    <n v="75"/>
    <n v="16188"/>
    <n v="0.31372093023255815"/>
    <x v="1"/>
    <x v="1"/>
    <n v="0"/>
    <n v="1"/>
    <n v="0.7"/>
  </r>
  <r>
    <s v="ORD-10131"/>
    <s v="06-Nov-2024"/>
    <x v="0"/>
    <x v="1"/>
    <s v="Comic"/>
    <s v="Comic - Model 329"/>
    <s v="Delhi"/>
    <s v="North"/>
    <n v="7"/>
    <n v="6378"/>
    <n v="5676"/>
    <n v="0.11"/>
    <n v="3654"/>
    <n v="14154"/>
    <n v="0.35623678646934459"/>
    <n v="84"/>
    <n v="13566"/>
    <n v="0.34143763213530653"/>
    <x v="3"/>
    <x v="3"/>
    <n v="1"/>
    <n v="0"/>
    <n v="0.154"/>
  </r>
  <r>
    <s v="ORD-10132"/>
    <s v="05-Sep-2024"/>
    <x v="7"/>
    <x v="7"/>
    <s v="Kurta"/>
    <s v="Kurta - Model 416"/>
    <s v="Pune"/>
    <s v="West"/>
    <n v="16"/>
    <n v="4300"/>
    <n v="2795"/>
    <n v="0.35"/>
    <n v="2959"/>
    <n v="-2624"/>
    <n v="-5.8676207513416817E-2"/>
    <n v="41"/>
    <n v="-3280"/>
    <n v="-7.3345259391771014E-2"/>
    <x v="4"/>
    <x v="0"/>
    <n v="0"/>
    <n v="0"/>
    <n v="0.48999999999999994"/>
  </r>
  <r>
    <s v="ORD-10133"/>
    <s v="17-Nov-2024"/>
    <x v="0"/>
    <x v="1"/>
    <s v="Self-Help"/>
    <s v="Self-Help - Model 999"/>
    <s v="Jaipur"/>
    <s v="North"/>
    <n v="19"/>
    <n v="1619"/>
    <n v="923"/>
    <n v="0.43"/>
    <n v="893"/>
    <n v="570"/>
    <n v="3.2502708559046585E-2"/>
    <n v="167"/>
    <n v="-2603"/>
    <n v="-0.14842903575297942"/>
    <x v="2"/>
    <x v="0"/>
    <n v="0"/>
    <n v="0"/>
    <n v="0.60199999999999998"/>
  </r>
  <r>
    <s v="ORD-10134"/>
    <s v="06-May-2024"/>
    <x v="6"/>
    <x v="6"/>
    <s v="Bedsheet"/>
    <s v="Bedsheet - Model 826"/>
    <s v="Hyderabad"/>
    <s v="South"/>
    <n v="12"/>
    <n v="7590"/>
    <n v="5844"/>
    <n v="0.23"/>
    <n v="3791"/>
    <n v="24636"/>
    <n v="0.35130047912388773"/>
    <n v="42"/>
    <n v="24132"/>
    <n v="0.344113620807666"/>
    <x v="1"/>
    <x v="0"/>
    <n v="0"/>
    <n v="1"/>
    <n v="0.67199999999999993"/>
  </r>
  <r>
    <s v="ORD-10135"/>
    <s v="21-Mar-2024"/>
    <x v="2"/>
    <x v="2"/>
    <s v="Cycle"/>
    <s v="Cycle - Model 646"/>
    <s v="Delhi"/>
    <s v="North"/>
    <n v="17"/>
    <n v="5200"/>
    <n v="3796"/>
    <n v="0.27"/>
    <n v="3137"/>
    <n v="11203"/>
    <n v="0.17360379346680715"/>
    <n v="56"/>
    <n v="10251"/>
    <n v="0.15885142255005269"/>
    <x v="3"/>
    <x v="0"/>
    <n v="0"/>
    <n v="0"/>
    <n v="0.378"/>
  </r>
  <r>
    <s v="ORD-10136"/>
    <s v="02-Oct-2024"/>
    <x v="11"/>
    <x v="0"/>
    <s v="Mobile"/>
    <s v="Mobile - Model 146"/>
    <s v="Lucknow"/>
    <s v="North"/>
    <n v="9"/>
    <n v="5279"/>
    <n v="3431"/>
    <n v="0.35"/>
    <n v="2881"/>
    <n v="4950"/>
    <n v="0.16030311862430779"/>
    <n v="126"/>
    <n v="3816"/>
    <n v="0.12357913144855727"/>
    <x v="0"/>
    <x v="0"/>
    <n v="0"/>
    <n v="0"/>
    <n v="0.48999999999999994"/>
  </r>
  <r>
    <s v="ORD-10137"/>
    <s v="10-Nov-2024"/>
    <x v="0"/>
    <x v="3"/>
    <s v="Oil"/>
    <s v="Oil - Model 924"/>
    <s v="Pune"/>
    <s v="West"/>
    <n v="10"/>
    <n v="3738"/>
    <n v="2579"/>
    <n v="0.31"/>
    <n v="1702"/>
    <n v="8770"/>
    <n v="0.34005428460643661"/>
    <n v="92"/>
    <n v="7850"/>
    <n v="0.30438154323381156"/>
    <x v="0"/>
    <x v="0"/>
    <n v="0"/>
    <n v="0"/>
    <n v="0.434"/>
  </r>
  <r>
    <s v="ORD-10138"/>
    <s v="28-Jun-2024"/>
    <x v="5"/>
    <x v="1"/>
    <s v="Textbook"/>
    <s v="Textbook - Model 508"/>
    <s v="Bangalore"/>
    <s v="South"/>
    <n v="12"/>
    <n v="4217"/>
    <n v="4006"/>
    <n v="0.05"/>
    <n v="2044"/>
    <n v="23544"/>
    <n v="0.48976535197204196"/>
    <n v="48"/>
    <n v="22968"/>
    <n v="0.47778332501248127"/>
    <x v="0"/>
    <x v="0"/>
    <n v="0"/>
    <n v="0"/>
    <n v="6.9999999999999993E-2"/>
  </r>
  <r>
    <s v="ORD-10139"/>
    <s v="13-May-2024"/>
    <x v="6"/>
    <x v="4"/>
    <s v="Board Game"/>
    <s v="Board Game - Model 986"/>
    <s v="Bangalore"/>
    <s v="South"/>
    <n v="11"/>
    <n v="7483"/>
    <n v="5088"/>
    <n v="0.32"/>
    <n v="3490"/>
    <n v="17578"/>
    <n v="0.31407232704402516"/>
    <n v="54"/>
    <n v="16984"/>
    <n v="0.30345911949685533"/>
    <x v="3"/>
    <x v="2"/>
    <n v="0"/>
    <n v="0"/>
    <n v="0.44799999999999995"/>
  </r>
  <r>
    <s v="ORD-10140"/>
    <s v="01-Aug-2024"/>
    <x v="8"/>
    <x v="7"/>
    <s v="Shoes"/>
    <s v="Shoes - Model 617"/>
    <s v="Ahmedabad"/>
    <s v="West"/>
    <n v="8"/>
    <n v="1878"/>
    <n v="1578"/>
    <n v="0.16"/>
    <n v="784"/>
    <n v="6352"/>
    <n v="0.50316856780735109"/>
    <n v="104"/>
    <n v="5520"/>
    <n v="0.43726235741444869"/>
    <x v="0"/>
    <x v="0"/>
    <n v="0"/>
    <n v="0"/>
    <n v="0.22399999999999998"/>
  </r>
  <r>
    <s v="ORD-10141"/>
    <s v="14-Feb-2024"/>
    <x v="4"/>
    <x v="6"/>
    <s v="Bedsheet"/>
    <s v="Bedsheet - Model 844"/>
    <s v="Kolkata"/>
    <s v="East"/>
    <n v="13"/>
    <n v="3054"/>
    <n v="2504"/>
    <n v="0.18"/>
    <n v="1831"/>
    <n v="8749"/>
    <n v="0.26876996805111819"/>
    <n v="59"/>
    <n v="7982"/>
    <n v="0.24520766773162939"/>
    <x v="3"/>
    <x v="0"/>
    <n v="0"/>
    <n v="0"/>
    <n v="0.252"/>
  </r>
  <r>
    <s v="ORD-10142"/>
    <s v="25-Aug-2024"/>
    <x v="8"/>
    <x v="2"/>
    <s v="Cycle"/>
    <s v="Cycle - Model 796"/>
    <s v="Lucknow"/>
    <s v="North"/>
    <n v="4"/>
    <n v="1204"/>
    <n v="1156"/>
    <n v="0.04"/>
    <n v="639"/>
    <n v="2068"/>
    <n v="0.44723183391003463"/>
    <n v="178"/>
    <n v="1356"/>
    <n v="0.29325259515570934"/>
    <x v="3"/>
    <x v="3"/>
    <n v="1"/>
    <n v="0"/>
    <n v="5.5999999999999994E-2"/>
  </r>
  <r>
    <s v="ORD-10143"/>
    <s v="20-Apr-2024"/>
    <x v="1"/>
    <x v="4"/>
    <s v="Doll"/>
    <s v="Doll - Model 141"/>
    <s v="Mumbai"/>
    <s v="West"/>
    <n v="2"/>
    <n v="1269"/>
    <n v="1079"/>
    <n v="0.15"/>
    <n v="718"/>
    <n v="722"/>
    <n v="0.33456904541241889"/>
    <n v="99"/>
    <n v="524"/>
    <n v="0.2428174235403151"/>
    <x v="3"/>
    <x v="0"/>
    <n v="0"/>
    <n v="0"/>
    <n v="0.21"/>
  </r>
  <r>
    <s v="ORD-10144"/>
    <s v="11-Oct-2024"/>
    <x v="11"/>
    <x v="6"/>
    <s v="Curtain"/>
    <s v="Curtain - Model 731"/>
    <s v="Chennai"/>
    <s v="South"/>
    <n v="19"/>
    <n v="2824"/>
    <n v="1779"/>
    <n v="0.37"/>
    <n v="1656"/>
    <n v="2337"/>
    <n v="6.9139966273187178E-2"/>
    <n v="136"/>
    <n v="-247"/>
    <n v="-7.3074761101742554E-3"/>
    <x v="4"/>
    <x v="0"/>
    <n v="0"/>
    <n v="0"/>
    <n v="0.51800000000000002"/>
  </r>
  <r>
    <s v="ORD-10145"/>
    <s v="22-Jun-2024"/>
    <x v="5"/>
    <x v="7"/>
    <s v="Shoes"/>
    <s v="Shoes - Model 697"/>
    <s v="Chennai"/>
    <s v="South"/>
    <n v="1"/>
    <n v="4856"/>
    <n v="4273"/>
    <n v="0.12"/>
    <n v="3057"/>
    <n v="1216"/>
    <n v="0.28457758015445822"/>
    <n v="176"/>
    <n v="1040"/>
    <n v="0.24338871986894453"/>
    <x v="3"/>
    <x v="0"/>
    <n v="0"/>
    <n v="0"/>
    <n v="0.16799999999999998"/>
  </r>
  <r>
    <s v="ORD-10146"/>
    <s v="16-Oct-2024"/>
    <x v="11"/>
    <x v="6"/>
    <s v="Lamp"/>
    <s v="Lamp - Model 744"/>
    <s v="Lucknow"/>
    <s v="North"/>
    <n v="13"/>
    <n v="1353"/>
    <n v="934"/>
    <n v="0.31"/>
    <n v="556"/>
    <n v="4914"/>
    <n v="0.40471092077087795"/>
    <n v="172"/>
    <n v="2678"/>
    <n v="0.22055674518201285"/>
    <x v="2"/>
    <x v="0"/>
    <n v="0"/>
    <n v="0"/>
    <n v="0.434"/>
  </r>
  <r>
    <s v="ORD-10147"/>
    <s v="05-Jul-2024"/>
    <x v="3"/>
    <x v="4"/>
    <s v="Board Game"/>
    <s v="Board Game - Model 520"/>
    <s v="Jaipur"/>
    <s v="North"/>
    <n v="20"/>
    <n v="7380"/>
    <n v="4502"/>
    <n v="0.39"/>
    <n v="4853"/>
    <n v="-7020"/>
    <n v="-7.7965348733896045E-2"/>
    <n v="39"/>
    <n v="-7800"/>
    <n v="-8.6628165259884496E-2"/>
    <x v="1"/>
    <x v="0"/>
    <n v="0"/>
    <n v="1"/>
    <n v="0.89599999999999991"/>
  </r>
  <r>
    <s v="ORD-10148"/>
    <s v="16-Nov-2024"/>
    <x v="0"/>
    <x v="4"/>
    <s v="Puzzle"/>
    <s v="Puzzle - Model 277"/>
    <s v="Ahmedabad"/>
    <s v="West"/>
    <n v="18"/>
    <n v="2870"/>
    <n v="2411"/>
    <n v="0.16"/>
    <n v="1923"/>
    <n v="8784"/>
    <n v="0.20240564081294068"/>
    <n v="138"/>
    <n v="6300"/>
    <n v="0.14516798009124846"/>
    <x v="4"/>
    <x v="0"/>
    <n v="0"/>
    <n v="0"/>
    <n v="0.22399999999999998"/>
  </r>
  <r>
    <s v="ORD-10149"/>
    <s v="09-Apr-2024"/>
    <x v="1"/>
    <x v="2"/>
    <s v="Cricket Bat"/>
    <s v="Cricket Bat - Model 404"/>
    <s v="Chennai"/>
    <s v="South"/>
    <n v="7"/>
    <n v="5584"/>
    <n v="4356"/>
    <n v="0.22"/>
    <n v="3171"/>
    <n v="8295"/>
    <n v="0.27203856749311295"/>
    <n v="114"/>
    <n v="7497"/>
    <n v="0.24586776859504134"/>
    <x v="4"/>
    <x v="0"/>
    <n v="0"/>
    <n v="0"/>
    <n v="0.308"/>
  </r>
  <r>
    <s v="ORD-10150"/>
    <s v="13-Sep-2024"/>
    <x v="7"/>
    <x v="4"/>
    <s v="Puzzle"/>
    <s v="Puzzle - Model 891"/>
    <s v="Bangalore"/>
    <s v="South"/>
    <n v="10"/>
    <n v="528"/>
    <n v="301"/>
    <n v="0.43"/>
    <n v="226"/>
    <n v="750"/>
    <n v="0.24916943521594684"/>
    <n v="169"/>
    <n v="-940"/>
    <n v="-0.3122923588039867"/>
    <x v="4"/>
    <x v="0"/>
    <n v="0"/>
    <n v="0"/>
    <n v="0.60199999999999998"/>
  </r>
  <r>
    <s v="ORD-10151"/>
    <s v="09-Sep-2024"/>
    <x v="7"/>
    <x v="2"/>
    <s v="Cricket Bat"/>
    <s v="Cricket Bat - Model 211"/>
    <s v="Lucknow"/>
    <s v="North"/>
    <n v="19"/>
    <n v="2066"/>
    <n v="2025"/>
    <n v="0.02"/>
    <n v="1481"/>
    <n v="10336"/>
    <n v="0.26864197530864198"/>
    <n v="64"/>
    <n v="9120"/>
    <n v="0.23703703703703705"/>
    <x v="1"/>
    <x v="0"/>
    <n v="0"/>
    <n v="1"/>
    <n v="0.378"/>
  </r>
  <r>
    <s v="ORD-10152"/>
    <s v="16-Dec-2024"/>
    <x v="10"/>
    <x v="7"/>
    <s v="Jeans"/>
    <s v="Jeans - Model 105"/>
    <s v="Jaipur"/>
    <s v="North"/>
    <n v="6"/>
    <n v="3374"/>
    <n v="1957"/>
    <n v="0.42"/>
    <n v="2387"/>
    <n v="-2580"/>
    <n v="-0.21972406745017883"/>
    <n v="102"/>
    <n v="-3192"/>
    <n v="-0.27184466019417475"/>
    <x v="1"/>
    <x v="0"/>
    <n v="0"/>
    <n v="1"/>
    <n v="0.93799999999999994"/>
  </r>
  <r>
    <s v="ORD-10153"/>
    <s v="21-May-2024"/>
    <x v="6"/>
    <x v="0"/>
    <s v="Mobile"/>
    <s v="Mobile - Model 767"/>
    <s v="Lucknow"/>
    <s v="North"/>
    <n v="8"/>
    <n v="4374"/>
    <n v="2931"/>
    <n v="0.33"/>
    <n v="3184"/>
    <n v="-2024"/>
    <n v="-8.6318662572500857E-2"/>
    <n v="167"/>
    <n v="-3360"/>
    <n v="-0.14329580348004095"/>
    <x v="1"/>
    <x v="1"/>
    <n v="0"/>
    <n v="1"/>
    <n v="0.81199999999999994"/>
  </r>
  <r>
    <s v="ORD-10154"/>
    <s v="27-Jan-2024"/>
    <x v="9"/>
    <x v="4"/>
    <s v="Remote Car"/>
    <s v="Remote Car - Model 290"/>
    <s v="Chennai"/>
    <s v="South"/>
    <n v="2"/>
    <n v="272"/>
    <n v="201"/>
    <n v="0.26"/>
    <n v="119"/>
    <n v="164"/>
    <n v="0.4079601990049751"/>
    <n v="177"/>
    <n v="-190"/>
    <n v="-0.47263681592039802"/>
    <x v="4"/>
    <x v="0"/>
    <n v="0"/>
    <n v="0"/>
    <n v="0.36399999999999999"/>
  </r>
  <r>
    <s v="ORD-10155"/>
    <s v="16-Sep-2024"/>
    <x v="7"/>
    <x v="6"/>
    <s v="Lamp"/>
    <s v="Lamp - Model 579"/>
    <s v="Chennai"/>
    <s v="South"/>
    <n v="7"/>
    <n v="6509"/>
    <n v="5533"/>
    <n v="0.15"/>
    <n v="4269"/>
    <n v="8848"/>
    <n v="0.22844749683715887"/>
    <n v="127"/>
    <n v="7959"/>
    <n v="0.20549430688595699"/>
    <x v="1"/>
    <x v="0"/>
    <n v="0"/>
    <n v="1"/>
    <n v="0.55999999999999994"/>
  </r>
  <r>
    <s v="ORD-10156"/>
    <s v="19-May-2024"/>
    <x v="6"/>
    <x v="5"/>
    <s v="Serum"/>
    <s v="Serum - Model 725"/>
    <s v="Pune"/>
    <s v="West"/>
    <n v="14"/>
    <n v="4219"/>
    <n v="4050"/>
    <n v="0.04"/>
    <n v="2676"/>
    <n v="19236"/>
    <n v="0.33925925925925926"/>
    <n v="58"/>
    <n v="18424"/>
    <n v="0.32493827160493827"/>
    <x v="1"/>
    <x v="1"/>
    <n v="0"/>
    <n v="1"/>
    <n v="0.40599999999999997"/>
  </r>
  <r>
    <s v="ORD-10157"/>
    <s v="09-Jan-2024"/>
    <x v="9"/>
    <x v="4"/>
    <s v="Board Game"/>
    <s v="Board Game - Model 557"/>
    <s v="Chennai"/>
    <s v="South"/>
    <n v="11"/>
    <n v="2555"/>
    <n v="1712"/>
    <n v="0.33"/>
    <n v="1032"/>
    <n v="7480"/>
    <n v="0.39719626168224298"/>
    <n v="128"/>
    <n v="6072"/>
    <n v="0.32242990654205606"/>
    <x v="1"/>
    <x v="0"/>
    <n v="0"/>
    <n v="1"/>
    <n v="0.81199999999999994"/>
  </r>
  <r>
    <s v="ORD-10158"/>
    <s v="06-May-2024"/>
    <x v="6"/>
    <x v="4"/>
    <s v="Doll"/>
    <s v="Doll - Model 820"/>
    <s v="Chennai"/>
    <s v="South"/>
    <n v="4"/>
    <n v="5182"/>
    <n v="3006"/>
    <n v="0.42"/>
    <n v="2739"/>
    <n v="1068"/>
    <n v="8.8822355289421159E-2"/>
    <n v="63"/>
    <n v="816"/>
    <n v="6.7864271457085831E-2"/>
    <x v="1"/>
    <x v="0"/>
    <n v="0"/>
    <n v="1"/>
    <n v="0.93799999999999994"/>
  </r>
  <r>
    <s v="ORD-10159"/>
    <s v="12-Oct-2024"/>
    <x v="11"/>
    <x v="4"/>
    <s v="Doll"/>
    <s v="Doll - Model 582"/>
    <s v="Jaipur"/>
    <s v="North"/>
    <n v="7"/>
    <n v="6143"/>
    <n v="4239"/>
    <n v="0.31"/>
    <n v="3738"/>
    <n v="3507"/>
    <n v="0.11818825194621373"/>
    <n v="148"/>
    <n v="2471"/>
    <n v="8.3274357159707477E-2"/>
    <x v="3"/>
    <x v="0"/>
    <n v="0"/>
    <n v="0"/>
    <n v="0.434"/>
  </r>
  <r>
    <s v="ORD-10160"/>
    <s v="19-Feb-2024"/>
    <x v="4"/>
    <x v="7"/>
    <s v="Kurta"/>
    <s v="Kurta - Model 948"/>
    <s v="Jaipur"/>
    <s v="North"/>
    <n v="17"/>
    <n v="1777"/>
    <n v="1351"/>
    <n v="0.24"/>
    <n v="813"/>
    <n v="9146"/>
    <n v="0.39822353811991118"/>
    <n v="158"/>
    <n v="6460"/>
    <n v="0.28127313101406365"/>
    <x v="0"/>
    <x v="0"/>
    <n v="0"/>
    <n v="0"/>
    <n v="0.33599999999999997"/>
  </r>
  <r>
    <s v="ORD-10161"/>
    <s v="16-Oct-2024"/>
    <x v="11"/>
    <x v="7"/>
    <s v="Jacket"/>
    <s v="Jacket - Model 556"/>
    <s v="Mumbai"/>
    <s v="West"/>
    <n v="15"/>
    <n v="1229"/>
    <n v="995"/>
    <n v="0.19"/>
    <n v="734"/>
    <n v="3915"/>
    <n v="0.26231155778894472"/>
    <n v="114"/>
    <n v="2205"/>
    <n v="0.14773869346733667"/>
    <x v="4"/>
    <x v="0"/>
    <n v="0"/>
    <n v="0"/>
    <n v="0.26599999999999996"/>
  </r>
  <r>
    <s v="ORD-10162"/>
    <s v="24-Jan-2024"/>
    <x v="9"/>
    <x v="5"/>
    <s v="Sunscreen"/>
    <s v="Sunscreen - Model 174"/>
    <s v="Mumbai"/>
    <s v="West"/>
    <n v="14"/>
    <n v="2887"/>
    <n v="2800"/>
    <n v="0.03"/>
    <n v="2159"/>
    <n v="8974"/>
    <n v="0.22892857142857143"/>
    <n v="170"/>
    <n v="6594"/>
    <n v="0.16821428571428571"/>
    <x v="2"/>
    <x v="0"/>
    <n v="0"/>
    <n v="0"/>
    <n v="4.1999999999999996E-2"/>
  </r>
  <r>
    <s v="ORD-10163"/>
    <s v="14-May-2024"/>
    <x v="6"/>
    <x v="6"/>
    <s v="Pressure Cooker"/>
    <s v="Pressure Cooker - Model 884"/>
    <s v="Pune"/>
    <s v="West"/>
    <n v="12"/>
    <n v="7944"/>
    <n v="6594"/>
    <n v="0.17"/>
    <n v="5595"/>
    <n v="11988"/>
    <n v="0.15150136487716107"/>
    <n v="166"/>
    <n v="9996"/>
    <n v="0.12632696390658174"/>
    <x v="0"/>
    <x v="1"/>
    <n v="0"/>
    <n v="0"/>
    <n v="0.23799999999999999"/>
  </r>
  <r>
    <s v="ORD-10164"/>
    <s v="05-Sep-2024"/>
    <x v="7"/>
    <x v="1"/>
    <s v="Fiction"/>
    <s v="Fiction - Model 282"/>
    <s v="Jaipur"/>
    <s v="North"/>
    <n v="13"/>
    <n v="4325"/>
    <n v="2898"/>
    <n v="0.33"/>
    <n v="2067"/>
    <n v="10803"/>
    <n v="0.28674948240165632"/>
    <n v="31"/>
    <n v="10400"/>
    <n v="0.27605244996549344"/>
    <x v="2"/>
    <x v="0"/>
    <n v="0"/>
    <n v="0"/>
    <n v="0.46199999999999997"/>
  </r>
  <r>
    <s v="ORD-10165"/>
    <s v="18-Dec-2024"/>
    <x v="10"/>
    <x v="4"/>
    <s v="Doll"/>
    <s v="Doll - Model 488"/>
    <s v="Hyderabad"/>
    <s v="South"/>
    <n v="8"/>
    <n v="3793"/>
    <n v="3527"/>
    <n v="7.0000000000000007E-2"/>
    <n v="1767"/>
    <n v="14080"/>
    <n v="0.49900765523107454"/>
    <n v="161"/>
    <n v="12792"/>
    <n v="0.45335979586050468"/>
    <x v="2"/>
    <x v="0"/>
    <n v="0"/>
    <n v="0"/>
    <n v="9.8000000000000004E-2"/>
  </r>
  <r>
    <s v="ORD-10166"/>
    <s v="25-Oct-2024"/>
    <x v="11"/>
    <x v="0"/>
    <s v="Laptop"/>
    <s v="Laptop - Model 311"/>
    <s v="Delhi"/>
    <s v="North"/>
    <n v="4"/>
    <n v="4833"/>
    <n v="3866"/>
    <n v="0.2"/>
    <n v="3070"/>
    <n v="3184"/>
    <n v="0.20589756854630109"/>
    <n v="161"/>
    <n v="2540"/>
    <n v="0.16425245732022761"/>
    <x v="1"/>
    <x v="0"/>
    <n v="0"/>
    <n v="1"/>
    <n v="0.62999999999999989"/>
  </r>
  <r>
    <s v="ORD-10167"/>
    <s v="18-Apr-2024"/>
    <x v="1"/>
    <x v="5"/>
    <s v="Moisturizer"/>
    <s v="Moisturizer - Model 243"/>
    <s v="Jaipur"/>
    <s v="North"/>
    <n v="10"/>
    <n v="2026"/>
    <n v="1195"/>
    <n v="0.41"/>
    <n v="1219"/>
    <n v="-240"/>
    <n v="-2.0083682008368201E-2"/>
    <n v="117"/>
    <n v="-1410"/>
    <n v="-0.11799163179916318"/>
    <x v="4"/>
    <x v="2"/>
    <n v="0"/>
    <n v="0"/>
    <n v="0.57399999999999995"/>
  </r>
  <r>
    <s v="ORD-10168"/>
    <s v="17-Nov-2024"/>
    <x v="0"/>
    <x v="5"/>
    <s v="Perfume"/>
    <s v="Perfume - Model 407"/>
    <s v="Chennai"/>
    <s v="South"/>
    <n v="2"/>
    <n v="4542"/>
    <n v="3316"/>
    <n v="0.27"/>
    <n v="2986"/>
    <n v="660"/>
    <n v="9.9517490952955368E-2"/>
    <n v="56"/>
    <n v="548"/>
    <n v="8.2629674306393244E-2"/>
    <x v="0"/>
    <x v="0"/>
    <n v="0"/>
    <n v="0"/>
    <n v="0.378"/>
  </r>
  <r>
    <s v="ORD-10169"/>
    <s v="21-Jun-2024"/>
    <x v="5"/>
    <x v="4"/>
    <s v="Doll"/>
    <s v="Doll - Model 426"/>
    <s v="Pune"/>
    <s v="West"/>
    <n v="14"/>
    <n v="1364"/>
    <n v="1132"/>
    <n v="0.17"/>
    <n v="906"/>
    <n v="3164"/>
    <n v="0.19964664310954064"/>
    <n v="101"/>
    <n v="1750"/>
    <n v="0.11042402826855123"/>
    <x v="1"/>
    <x v="3"/>
    <n v="1"/>
    <n v="1"/>
    <n v="0.58799999999999997"/>
  </r>
  <r>
    <s v="ORD-10170"/>
    <s v="02-Aug-2024"/>
    <x v="8"/>
    <x v="4"/>
    <s v="Remote Car"/>
    <s v="Remote Car - Model 670"/>
    <s v="Jaipur"/>
    <s v="North"/>
    <n v="5"/>
    <n v="3230"/>
    <n v="2875"/>
    <n v="0.11"/>
    <n v="1665"/>
    <n v="6050"/>
    <n v="0.42086956521739133"/>
    <n v="42"/>
    <n v="5840"/>
    <n v="0.4062608695652174"/>
    <x v="0"/>
    <x v="0"/>
    <n v="0"/>
    <n v="0"/>
    <n v="0.154"/>
  </r>
  <r>
    <s v="ORD-10171"/>
    <s v="27-Dec-2024"/>
    <x v="10"/>
    <x v="5"/>
    <s v="Moisturizer"/>
    <s v="Moisturizer - Model 374"/>
    <s v="Pune"/>
    <s v="West"/>
    <n v="20"/>
    <n v="4903"/>
    <n v="2991"/>
    <n v="0.39"/>
    <n v="2284"/>
    <n v="14140"/>
    <n v="0.23637579404881309"/>
    <n v="144"/>
    <n v="11260"/>
    <n v="0.18823136074891342"/>
    <x v="3"/>
    <x v="0"/>
    <n v="0"/>
    <n v="0"/>
    <n v="0.54599999999999993"/>
  </r>
  <r>
    <s v="ORD-10172"/>
    <s v="10-Jun-2024"/>
    <x v="5"/>
    <x v="0"/>
    <s v="Laptop"/>
    <s v="Laptop - Model 294"/>
    <s v="Delhi"/>
    <s v="North"/>
    <n v="16"/>
    <n v="7333"/>
    <n v="5060"/>
    <n v="0.31"/>
    <n v="4739"/>
    <n v="5136"/>
    <n v="6.3438735177865607E-2"/>
    <n v="89"/>
    <n v="3712"/>
    <n v="4.5849802371541501E-2"/>
    <x v="1"/>
    <x v="2"/>
    <n v="0"/>
    <n v="1"/>
    <n v="0.78400000000000003"/>
  </r>
  <r>
    <s v="ORD-10173"/>
    <s v="15-Jul-2024"/>
    <x v="3"/>
    <x v="1"/>
    <s v="Textbook"/>
    <s v="Textbook - Model 367"/>
    <s v="Kolkata"/>
    <s v="East"/>
    <n v="17"/>
    <n v="7086"/>
    <n v="5598"/>
    <n v="0.21"/>
    <n v="4825"/>
    <n v="13141"/>
    <n v="0.13808503036798855"/>
    <n v="138"/>
    <n v="10795"/>
    <n v="0.11343336906037871"/>
    <x v="4"/>
    <x v="0"/>
    <n v="0"/>
    <n v="0"/>
    <n v="0.29399999999999998"/>
  </r>
  <r>
    <s v="ORD-10174"/>
    <s v="02-Jul-2024"/>
    <x v="3"/>
    <x v="5"/>
    <s v="Serum"/>
    <s v="Serum - Model 116"/>
    <s v="Chennai"/>
    <s v="South"/>
    <n v="18"/>
    <n v="7491"/>
    <n v="5543"/>
    <n v="0.26"/>
    <n v="4091"/>
    <n v="26136"/>
    <n v="0.26195201154609415"/>
    <n v="53"/>
    <n v="25182"/>
    <n v="0.25239040230921883"/>
    <x v="4"/>
    <x v="0"/>
    <n v="0"/>
    <n v="0"/>
    <n v="0.36399999999999999"/>
  </r>
  <r>
    <s v="ORD-10175"/>
    <s v="16-Apr-2024"/>
    <x v="1"/>
    <x v="1"/>
    <s v="Textbook"/>
    <s v="Textbook - Model 881"/>
    <s v="Ahmedabad"/>
    <s v="West"/>
    <n v="16"/>
    <n v="3794"/>
    <n v="2542"/>
    <n v="0.33"/>
    <n v="1985"/>
    <n v="8912"/>
    <n v="0.21911880409126672"/>
    <n v="51"/>
    <n v="8096"/>
    <n v="0.19905586152635721"/>
    <x v="3"/>
    <x v="1"/>
    <n v="0"/>
    <n v="0"/>
    <n v="0.46199999999999997"/>
  </r>
  <r>
    <s v="ORD-10176"/>
    <s v="21-Sep-2024"/>
    <x v="7"/>
    <x v="0"/>
    <s v="Tablet"/>
    <s v="Tablet - Model 134"/>
    <s v="Delhi"/>
    <s v="North"/>
    <n v="2"/>
    <n v="6162"/>
    <n v="4991"/>
    <n v="0.19"/>
    <n v="4282"/>
    <n v="1418"/>
    <n v="0.14205570026046885"/>
    <n v="65"/>
    <n v="1288"/>
    <n v="0.12903225806451613"/>
    <x v="1"/>
    <x v="0"/>
    <n v="0"/>
    <n v="1"/>
    <n v="0.61599999999999988"/>
  </r>
  <r>
    <s v="ORD-10177"/>
    <s v="02-Jun-2024"/>
    <x v="5"/>
    <x v="3"/>
    <s v="Pulses"/>
    <s v="Pulses - Model 116"/>
    <s v="Mumbai"/>
    <s v="West"/>
    <n v="18"/>
    <n v="4503"/>
    <n v="4458"/>
    <n v="0.01"/>
    <n v="2636"/>
    <n v="32796"/>
    <n v="0.40870345446388517"/>
    <n v="71"/>
    <n v="31518"/>
    <n v="0.3927770300583221"/>
    <x v="4"/>
    <x v="3"/>
    <n v="1"/>
    <n v="0"/>
    <n v="1.3999999999999999E-2"/>
  </r>
  <r>
    <s v="ORD-10178"/>
    <s v="14-Nov-2024"/>
    <x v="0"/>
    <x v="6"/>
    <s v="Mixer"/>
    <s v="Mixer - Model 198"/>
    <s v="Jaipur"/>
    <s v="North"/>
    <n v="5"/>
    <n v="2080"/>
    <n v="1498"/>
    <n v="0.28000000000000003"/>
    <n v="1016"/>
    <n v="2410"/>
    <n v="0.32176234979973295"/>
    <n v="83"/>
    <n v="1995"/>
    <n v="0.26635514018691586"/>
    <x v="0"/>
    <x v="1"/>
    <n v="0"/>
    <n v="0"/>
    <n v="0.39200000000000002"/>
  </r>
  <r>
    <s v="ORD-10179"/>
    <s v="19-Aug-2024"/>
    <x v="8"/>
    <x v="5"/>
    <s v="Serum"/>
    <s v="Serum - Model 407"/>
    <s v="Delhi"/>
    <s v="North"/>
    <n v="2"/>
    <n v="929"/>
    <n v="771"/>
    <n v="0.17"/>
    <n v="551"/>
    <n v="440"/>
    <n v="0.28534370946822307"/>
    <n v="38"/>
    <n v="364"/>
    <n v="0.23605706874189364"/>
    <x v="2"/>
    <x v="0"/>
    <n v="0"/>
    <n v="0"/>
    <n v="0.23799999999999999"/>
  </r>
  <r>
    <s v="ORD-10180"/>
    <s v="21-Jul-2024"/>
    <x v="3"/>
    <x v="1"/>
    <s v="Comic"/>
    <s v="Comic - Model 978"/>
    <s v="Delhi"/>
    <s v="North"/>
    <n v="17"/>
    <n v="7369"/>
    <n v="6632"/>
    <n v="0.1"/>
    <n v="5272"/>
    <n v="23120"/>
    <n v="0.20506634499396864"/>
    <n v="134"/>
    <n v="20842"/>
    <n v="0.18486127864897467"/>
    <x v="3"/>
    <x v="0"/>
    <n v="0"/>
    <n v="0"/>
    <n v="0.13999999999999999"/>
  </r>
  <r>
    <s v="ORD-10181"/>
    <s v="22-Feb-2024"/>
    <x v="4"/>
    <x v="2"/>
    <s v="Cycle"/>
    <s v="Cycle - Model 677"/>
    <s v="Mumbai"/>
    <s v="West"/>
    <n v="6"/>
    <n v="7444"/>
    <n v="6402"/>
    <n v="0.14000000000000001"/>
    <n v="5483"/>
    <n v="5514"/>
    <n v="0.14354889097157139"/>
    <n v="118"/>
    <n v="4806"/>
    <n v="0.12511715089034678"/>
    <x v="0"/>
    <x v="0"/>
    <n v="0"/>
    <n v="0"/>
    <n v="0.19600000000000001"/>
  </r>
  <r>
    <s v="ORD-10182"/>
    <s v="08-Oct-2024"/>
    <x v="11"/>
    <x v="4"/>
    <s v="Doll"/>
    <s v="Doll - Model 439"/>
    <s v="Pune"/>
    <s v="West"/>
    <n v="5"/>
    <n v="6366"/>
    <n v="4393"/>
    <n v="0.31"/>
    <n v="2721"/>
    <n v="8360"/>
    <n v="0.38060550876394261"/>
    <n v="142"/>
    <n v="7650"/>
    <n v="0.34828135670384702"/>
    <x v="4"/>
    <x v="0"/>
    <n v="0"/>
    <n v="0"/>
    <n v="0.434"/>
  </r>
  <r>
    <s v="ORD-10183"/>
    <s v="11-Feb-2024"/>
    <x v="4"/>
    <x v="4"/>
    <s v="Puzzle"/>
    <s v="Puzzle - Model 130"/>
    <s v="Chennai"/>
    <s v="South"/>
    <n v="15"/>
    <n v="4027"/>
    <n v="3383"/>
    <n v="0.16"/>
    <n v="2937"/>
    <n v="6690"/>
    <n v="0.13183564883239729"/>
    <n v="95"/>
    <n v="5265"/>
    <n v="0.10375406443984629"/>
    <x v="3"/>
    <x v="0"/>
    <n v="0"/>
    <n v="0"/>
    <n v="0.22399999999999998"/>
  </r>
  <r>
    <s v="ORD-10184"/>
    <s v="10-Oct-2024"/>
    <x v="11"/>
    <x v="5"/>
    <s v="Moisturizer"/>
    <s v="Moisturizer - Model 184"/>
    <s v="Chennai"/>
    <s v="South"/>
    <n v="5"/>
    <n v="3164"/>
    <n v="2057"/>
    <n v="0.35"/>
    <n v="1436"/>
    <n v="3105"/>
    <n v="0.30189596499756927"/>
    <n v="88"/>
    <n v="2665"/>
    <n v="0.25911521633446766"/>
    <x v="4"/>
    <x v="0"/>
    <n v="0"/>
    <n v="0"/>
    <n v="0.48999999999999994"/>
  </r>
  <r>
    <s v="ORD-10185"/>
    <s v="15-May-2024"/>
    <x v="6"/>
    <x v="1"/>
    <s v="Textbook"/>
    <s v="Textbook - Model 204"/>
    <s v="Bangalore"/>
    <s v="South"/>
    <n v="3"/>
    <n v="1662"/>
    <n v="1330"/>
    <n v="0.2"/>
    <n v="987"/>
    <n v="1029"/>
    <n v="0.25789473684210529"/>
    <n v="91"/>
    <n v="756"/>
    <n v="0.18947368421052632"/>
    <x v="2"/>
    <x v="0"/>
    <n v="0"/>
    <n v="0"/>
    <n v="0.27999999999999997"/>
  </r>
  <r>
    <s v="ORD-10186"/>
    <s v="20-Oct-2024"/>
    <x v="11"/>
    <x v="1"/>
    <s v="Children"/>
    <s v="Children - Model 112"/>
    <s v="Chennai"/>
    <s v="South"/>
    <n v="14"/>
    <n v="3225"/>
    <n v="3096"/>
    <n v="0.04"/>
    <n v="2307"/>
    <n v="11046"/>
    <n v="0.25484496124031009"/>
    <n v="166"/>
    <n v="8722"/>
    <n v="0.20122739018087854"/>
    <x v="1"/>
    <x v="0"/>
    <n v="0"/>
    <n v="1"/>
    <n v="0.40599999999999997"/>
  </r>
  <r>
    <s v="ORD-10187"/>
    <s v="06-Jul-2024"/>
    <x v="3"/>
    <x v="6"/>
    <s v="Bedsheet"/>
    <s v="Bedsheet - Model 408"/>
    <s v="Chennai"/>
    <s v="South"/>
    <n v="16"/>
    <n v="1338"/>
    <n v="1231"/>
    <n v="0.08"/>
    <n v="664"/>
    <n v="9072"/>
    <n v="0.46060113728675872"/>
    <n v="75"/>
    <n v="7872"/>
    <n v="0.39967506092607635"/>
    <x v="2"/>
    <x v="1"/>
    <n v="0"/>
    <n v="0"/>
    <n v="0.11199999999999999"/>
  </r>
  <r>
    <s v="ORD-10188"/>
    <s v="21-Dec-2024"/>
    <x v="10"/>
    <x v="3"/>
    <s v="Spices"/>
    <s v="Spices - Model 731"/>
    <s v="Hyderabad"/>
    <s v="South"/>
    <n v="15"/>
    <n v="1034"/>
    <n v="889"/>
    <n v="0.14000000000000001"/>
    <n v="757"/>
    <n v="1980"/>
    <n v="0.14848143982002249"/>
    <n v="80"/>
    <n v="780"/>
    <n v="5.8492688413948259E-2"/>
    <x v="3"/>
    <x v="2"/>
    <n v="0"/>
    <n v="0"/>
    <n v="0.19600000000000001"/>
  </r>
  <r>
    <s v="ORD-10189"/>
    <s v="11-Aug-2024"/>
    <x v="8"/>
    <x v="4"/>
    <s v="Doll"/>
    <s v="Doll - Model 239"/>
    <s v="Chennai"/>
    <s v="South"/>
    <n v="11"/>
    <n v="4905"/>
    <n v="3384"/>
    <n v="0.31"/>
    <n v="2784"/>
    <n v="6600"/>
    <n v="0.1773049645390071"/>
    <n v="57"/>
    <n v="5973"/>
    <n v="0.16046099290780141"/>
    <x v="0"/>
    <x v="0"/>
    <n v="0"/>
    <n v="0"/>
    <n v="0.434"/>
  </r>
  <r>
    <s v="ORD-10190"/>
    <s v="21-Dec-2024"/>
    <x v="10"/>
    <x v="3"/>
    <s v="Spices"/>
    <s v="Spices - Model 900"/>
    <s v="Hyderabad"/>
    <s v="South"/>
    <n v="11"/>
    <n v="3133"/>
    <n v="1974"/>
    <n v="0.37"/>
    <n v="1684"/>
    <n v="3190"/>
    <n v="0.14690982776089159"/>
    <n v="47"/>
    <n v="2673"/>
    <n v="0.12310030395136778"/>
    <x v="3"/>
    <x v="1"/>
    <n v="0"/>
    <n v="0"/>
    <n v="0.51800000000000002"/>
  </r>
  <r>
    <s v="ORD-10191"/>
    <s v="22-Mar-2024"/>
    <x v="2"/>
    <x v="0"/>
    <s v="Smartwatch"/>
    <s v="Smartwatch - Model 825"/>
    <s v="Hyderabad"/>
    <s v="South"/>
    <n v="15"/>
    <n v="6422"/>
    <n v="4046"/>
    <n v="0.37"/>
    <n v="2724"/>
    <n v="19830"/>
    <n v="0.32674246169055859"/>
    <n v="157"/>
    <n v="17475"/>
    <n v="0.2879387048937222"/>
    <x v="0"/>
    <x v="0"/>
    <n v="0"/>
    <n v="0"/>
    <n v="0.51800000000000002"/>
  </r>
  <r>
    <s v="ORD-10192"/>
    <s v="08-May-2024"/>
    <x v="6"/>
    <x v="2"/>
    <s v="Cricket Bat"/>
    <s v="Cricket Bat - Model 832"/>
    <s v="Pune"/>
    <s v="West"/>
    <n v="13"/>
    <n v="777"/>
    <n v="427"/>
    <n v="0.45"/>
    <n v="441"/>
    <n v="-182"/>
    <n v="-3.2786885245901641E-2"/>
    <n v="90"/>
    <n v="-1352"/>
    <n v="-0.24355971896955503"/>
    <x v="3"/>
    <x v="2"/>
    <n v="0"/>
    <n v="0"/>
    <n v="0.63"/>
  </r>
  <r>
    <s v="ORD-10193"/>
    <s v="18-Jul-2024"/>
    <x v="3"/>
    <x v="0"/>
    <s v="Headphones"/>
    <s v="Headphones - Model 818"/>
    <s v="Jaipur"/>
    <s v="North"/>
    <n v="20"/>
    <n v="5178"/>
    <n v="4971"/>
    <n v="0.04"/>
    <n v="3465"/>
    <n v="30120"/>
    <n v="0.30295715147857571"/>
    <n v="129"/>
    <n v="27540"/>
    <n v="0.27700663850331925"/>
    <x v="4"/>
    <x v="0"/>
    <n v="0"/>
    <n v="0"/>
    <n v="5.5999999999999994E-2"/>
  </r>
  <r>
    <s v="ORD-10194"/>
    <s v="21-Oct-2024"/>
    <x v="11"/>
    <x v="4"/>
    <s v="Puzzle"/>
    <s v="Puzzle - Model 915"/>
    <s v="Pune"/>
    <s v="West"/>
    <n v="4"/>
    <n v="282"/>
    <n v="248"/>
    <n v="0.12"/>
    <n v="163"/>
    <n v="340"/>
    <n v="0.34274193548387094"/>
    <n v="108"/>
    <n v="-92"/>
    <n v="-9.2741935483870969E-2"/>
    <x v="3"/>
    <x v="0"/>
    <n v="0"/>
    <n v="0"/>
    <n v="0.16799999999999998"/>
  </r>
  <r>
    <s v="ORD-10195"/>
    <s v="13-Jun-2024"/>
    <x v="5"/>
    <x v="3"/>
    <s v="Spices"/>
    <s v="Spices - Model 807"/>
    <s v="Jaipur"/>
    <s v="North"/>
    <n v="5"/>
    <n v="2891"/>
    <n v="2862"/>
    <n v="0.01"/>
    <n v="1262"/>
    <n v="8000"/>
    <n v="0.55904961565338929"/>
    <n v="92"/>
    <n v="7540"/>
    <n v="0.52690426275331936"/>
    <x v="2"/>
    <x v="1"/>
    <n v="0"/>
    <n v="0"/>
    <n v="1.3999999999999999E-2"/>
  </r>
  <r>
    <s v="ORD-10196"/>
    <s v="12-Mar-2024"/>
    <x v="2"/>
    <x v="2"/>
    <s v="Yoga Mat"/>
    <s v="Yoga Mat - Model 566"/>
    <s v="Hyderabad"/>
    <s v="South"/>
    <n v="17"/>
    <n v="3967"/>
    <n v="3134"/>
    <n v="0.21"/>
    <n v="2195"/>
    <n v="15963"/>
    <n v="0.29961710274409697"/>
    <n v="135"/>
    <n v="13668"/>
    <n v="0.25654116145500955"/>
    <x v="4"/>
    <x v="0"/>
    <n v="0"/>
    <n v="0"/>
    <n v="0.29399999999999998"/>
  </r>
  <r>
    <s v="ORD-10197"/>
    <s v="04-Dec-2024"/>
    <x v="10"/>
    <x v="0"/>
    <s v="Headphones"/>
    <s v="Headphones - Model 763"/>
    <s v="Delhi"/>
    <s v="North"/>
    <n v="6"/>
    <n v="7453"/>
    <n v="4994"/>
    <n v="0.33"/>
    <n v="4327"/>
    <n v="4002"/>
    <n v="0.13356027232679216"/>
    <n v="113"/>
    <n v="3324"/>
    <n v="0.11093311974369244"/>
    <x v="4"/>
    <x v="1"/>
    <n v="0"/>
    <n v="0"/>
    <n v="0.46199999999999997"/>
  </r>
  <r>
    <s v="ORD-10198"/>
    <s v="26-Apr-2024"/>
    <x v="1"/>
    <x v="4"/>
    <s v="Board Game"/>
    <s v="Board Game - Model 290"/>
    <s v="Pune"/>
    <s v="West"/>
    <n v="13"/>
    <n v="428"/>
    <n v="308"/>
    <n v="0.28000000000000003"/>
    <n v="201"/>
    <n v="1391"/>
    <n v="0.34740259740259738"/>
    <n v="119"/>
    <n v="-156"/>
    <n v="-3.896103896103896E-2"/>
    <x v="0"/>
    <x v="0"/>
    <n v="0"/>
    <n v="0"/>
    <n v="0.39200000000000002"/>
  </r>
  <r>
    <s v="ORD-10199"/>
    <s v="25-May-2024"/>
    <x v="6"/>
    <x v="7"/>
    <s v="Jacket"/>
    <s v="Jacket - Model 204"/>
    <s v="Jaipur"/>
    <s v="North"/>
    <n v="6"/>
    <n v="3053"/>
    <n v="2778"/>
    <n v="0.09"/>
    <n v="1343"/>
    <n v="8610"/>
    <n v="0.51655867530597555"/>
    <n v="131"/>
    <n v="7824"/>
    <n v="0.46940244780417567"/>
    <x v="0"/>
    <x v="0"/>
    <n v="0"/>
    <n v="0"/>
    <n v="0.126"/>
  </r>
  <r>
    <s v="ORD-10200"/>
    <s v="13-Oct-2024"/>
    <x v="11"/>
    <x v="4"/>
    <s v="Doll"/>
    <s v="Doll - Model 216"/>
    <s v="Kolkata"/>
    <s v="East"/>
    <n v="12"/>
    <n v="6795"/>
    <n v="4892"/>
    <n v="0.28000000000000003"/>
    <n v="4653"/>
    <n v="2868"/>
    <n v="4.8855273916598531E-2"/>
    <n v="136"/>
    <n v="1236"/>
    <n v="2.1054783319705641E-2"/>
    <x v="4"/>
    <x v="0"/>
    <n v="0"/>
    <n v="0"/>
    <n v="0.39200000000000002"/>
  </r>
  <r>
    <s v="ORD-10201"/>
    <s v="05-Nov-2024"/>
    <x v="0"/>
    <x v="1"/>
    <s v="Fiction"/>
    <s v="Fiction - Model 344"/>
    <s v="Chennai"/>
    <s v="South"/>
    <n v="4"/>
    <n v="1628"/>
    <n v="1123"/>
    <n v="0.31"/>
    <n v="942"/>
    <n v="724"/>
    <n v="0.16117542297417631"/>
    <n v="93"/>
    <n v="352"/>
    <n v="7.8361531611754229E-2"/>
    <x v="1"/>
    <x v="0"/>
    <n v="0"/>
    <n v="1"/>
    <n v="0.78400000000000003"/>
  </r>
  <r>
    <s v="ORD-10202"/>
    <s v="21-Aug-2024"/>
    <x v="8"/>
    <x v="6"/>
    <s v="Lamp"/>
    <s v="Lamp - Model 270"/>
    <s v="Ahmedabad"/>
    <s v="West"/>
    <n v="10"/>
    <n v="1294"/>
    <n v="1113"/>
    <n v="0.14000000000000001"/>
    <n v="722"/>
    <n v="3910"/>
    <n v="0.35130278526504943"/>
    <n v="38"/>
    <n v="3530"/>
    <n v="0.31716082659478884"/>
    <x v="4"/>
    <x v="0"/>
    <n v="0"/>
    <n v="0"/>
    <n v="0.19600000000000001"/>
  </r>
  <r>
    <s v="ORD-10203"/>
    <s v="27-Apr-2024"/>
    <x v="1"/>
    <x v="4"/>
    <s v="Doll"/>
    <s v="Doll - Model 617"/>
    <s v="Ahmedabad"/>
    <s v="West"/>
    <n v="14"/>
    <n v="5541"/>
    <n v="4488"/>
    <n v="0.19"/>
    <n v="3845"/>
    <n v="9002"/>
    <n v="0.14327094474153299"/>
    <n v="103"/>
    <n v="7560"/>
    <n v="0.12032085561497326"/>
    <x v="2"/>
    <x v="3"/>
    <n v="1"/>
    <n v="0"/>
    <n v="0.26599999999999996"/>
  </r>
  <r>
    <s v="ORD-10204"/>
    <s v="10-Apr-2024"/>
    <x v="1"/>
    <x v="0"/>
    <s v="Headphones"/>
    <s v="Headphones - Model 330"/>
    <s v="Jaipur"/>
    <s v="North"/>
    <n v="10"/>
    <n v="1512"/>
    <n v="1194"/>
    <n v="0.21"/>
    <n v="998"/>
    <n v="1960"/>
    <n v="0.16415410385259632"/>
    <n v="145"/>
    <n v="510"/>
    <n v="4.2713567839195977E-2"/>
    <x v="3"/>
    <x v="0"/>
    <n v="0"/>
    <n v="0"/>
    <n v="0.29399999999999998"/>
  </r>
  <r>
    <s v="ORD-10205"/>
    <s v="25-May-2024"/>
    <x v="6"/>
    <x v="1"/>
    <s v="Comic"/>
    <s v="Comic - Model 942"/>
    <s v="Mumbai"/>
    <s v="West"/>
    <n v="15"/>
    <n v="4462"/>
    <n v="2454"/>
    <n v="0.45"/>
    <n v="1945"/>
    <n v="7635"/>
    <n v="0.20741646291768542"/>
    <n v="155"/>
    <n v="5310"/>
    <n v="0.14425427872860636"/>
    <x v="1"/>
    <x v="1"/>
    <n v="0"/>
    <n v="1"/>
    <n v="0.98"/>
  </r>
  <r>
    <s v="ORD-10206"/>
    <s v="09-Aug-2024"/>
    <x v="8"/>
    <x v="1"/>
    <s v="Fiction"/>
    <s v="Fiction - Model 549"/>
    <s v="Delhi"/>
    <s v="North"/>
    <n v="8"/>
    <n v="1837"/>
    <n v="1231"/>
    <n v="0.33"/>
    <n v="1178"/>
    <n v="424"/>
    <n v="4.3054427294882208E-2"/>
    <n v="159"/>
    <n v="-848"/>
    <n v="-8.6108854589764416E-2"/>
    <x v="3"/>
    <x v="0"/>
    <n v="0"/>
    <n v="0"/>
    <n v="0.46199999999999997"/>
  </r>
  <r>
    <s v="ORD-10207"/>
    <s v="26-Mar-2024"/>
    <x v="2"/>
    <x v="5"/>
    <s v="Serum"/>
    <s v="Serum - Model 924"/>
    <s v="Mumbai"/>
    <s v="West"/>
    <n v="19"/>
    <n v="2936"/>
    <n v="2554"/>
    <n v="0.13"/>
    <n v="1728"/>
    <n v="15694"/>
    <n v="0.32341425215348474"/>
    <n v="79"/>
    <n v="14193"/>
    <n v="0.29248238057948317"/>
    <x v="4"/>
    <x v="0"/>
    <n v="0"/>
    <n v="0"/>
    <n v="0.182"/>
  </r>
  <r>
    <s v="ORD-10208"/>
    <s v="22-Sep-2024"/>
    <x v="7"/>
    <x v="7"/>
    <s v="Jeans"/>
    <s v="Jeans - Model 868"/>
    <s v="Pune"/>
    <s v="West"/>
    <n v="2"/>
    <n v="7941"/>
    <n v="4844"/>
    <n v="0.39"/>
    <n v="3529"/>
    <n v="2630"/>
    <n v="0.27146985962014863"/>
    <n v="160"/>
    <n v="2310"/>
    <n v="0.23843930635838151"/>
    <x v="1"/>
    <x v="0"/>
    <n v="0"/>
    <n v="1"/>
    <n v="0.89599999999999991"/>
  </r>
  <r>
    <s v="ORD-10209"/>
    <s v="25-Apr-2024"/>
    <x v="1"/>
    <x v="4"/>
    <s v="Remote Car"/>
    <s v="Remote Car - Model 245"/>
    <s v="Lucknow"/>
    <s v="North"/>
    <n v="9"/>
    <n v="5097"/>
    <n v="4231"/>
    <n v="0.17"/>
    <n v="2174"/>
    <n v="18513"/>
    <n v="0.48617348144646655"/>
    <n v="149"/>
    <n v="17172"/>
    <n v="0.45095722051524462"/>
    <x v="2"/>
    <x v="0"/>
    <n v="0"/>
    <n v="0"/>
    <n v="0.23799999999999999"/>
  </r>
  <r>
    <s v="ORD-10210"/>
    <s v="12-Dec-2024"/>
    <x v="10"/>
    <x v="3"/>
    <s v="Pulses"/>
    <s v="Pulses - Model 435"/>
    <s v="Lucknow"/>
    <s v="North"/>
    <n v="1"/>
    <n v="6977"/>
    <n v="4326"/>
    <n v="0.38"/>
    <n v="3018"/>
    <n v="1308"/>
    <n v="0.30235783633841884"/>
    <n v="176"/>
    <n v="1132"/>
    <n v="0.2616736014794267"/>
    <x v="4"/>
    <x v="3"/>
    <n v="1"/>
    <n v="0"/>
    <n v="0.53199999999999992"/>
  </r>
  <r>
    <s v="ORD-10211"/>
    <s v="07-Jul-2024"/>
    <x v="3"/>
    <x v="4"/>
    <s v="Board Game"/>
    <s v="Board Game - Model 606"/>
    <s v="Chennai"/>
    <s v="South"/>
    <n v="11"/>
    <n v="6661"/>
    <n v="5662"/>
    <n v="0.15"/>
    <n v="4012"/>
    <n v="18150"/>
    <n v="0.29141646061462378"/>
    <n v="115"/>
    <n v="16885"/>
    <n v="0.27110561638996822"/>
    <x v="0"/>
    <x v="1"/>
    <n v="0"/>
    <n v="0"/>
    <n v="0.21"/>
  </r>
  <r>
    <s v="ORD-10212"/>
    <s v="02-Jan-2024"/>
    <x v="9"/>
    <x v="7"/>
    <s v="Shoes"/>
    <s v="Shoes - Model 116"/>
    <s v="Delhi"/>
    <s v="North"/>
    <n v="6"/>
    <n v="3642"/>
    <n v="3642"/>
    <n v="0"/>
    <n v="2678"/>
    <n v="5784"/>
    <n v="0.26468973091707854"/>
    <n v="60"/>
    <n v="5424"/>
    <n v="0.24821526633717739"/>
    <x v="1"/>
    <x v="0"/>
    <n v="0"/>
    <n v="1"/>
    <n v="0.35"/>
  </r>
  <r>
    <s v="ORD-10213"/>
    <s v="03-May-2024"/>
    <x v="6"/>
    <x v="1"/>
    <s v="Textbook"/>
    <s v="Textbook - Model 184"/>
    <s v="Kolkata"/>
    <s v="East"/>
    <n v="6"/>
    <n v="604"/>
    <n v="435"/>
    <n v="0.28000000000000003"/>
    <n v="395"/>
    <n v="240"/>
    <n v="9.1954022988505746E-2"/>
    <n v="143"/>
    <n v="-618"/>
    <n v="-0.23678160919540231"/>
    <x v="0"/>
    <x v="0"/>
    <n v="0"/>
    <n v="0"/>
    <n v="0.39200000000000002"/>
  </r>
  <r>
    <s v="ORD-10214"/>
    <s v="07-Jan-2024"/>
    <x v="9"/>
    <x v="3"/>
    <s v="Atta"/>
    <s v="Atta - Model 235"/>
    <s v="Lucknow"/>
    <s v="North"/>
    <n v="8"/>
    <n v="4252"/>
    <n v="3402"/>
    <n v="0.2"/>
    <n v="1713"/>
    <n v="13512"/>
    <n v="0.49647266313932981"/>
    <n v="82"/>
    <n v="12856"/>
    <n v="0.4723691945914168"/>
    <x v="2"/>
    <x v="0"/>
    <n v="0"/>
    <n v="0"/>
    <n v="0.27999999999999997"/>
  </r>
  <r>
    <s v="ORD-10215"/>
    <s v="16-Mar-2024"/>
    <x v="2"/>
    <x v="7"/>
    <s v="Jeans"/>
    <s v="Jeans - Model 492"/>
    <s v="Delhi"/>
    <s v="North"/>
    <n v="4"/>
    <n v="1005"/>
    <n v="834"/>
    <n v="0.17"/>
    <n v="507"/>
    <n v="1308"/>
    <n v="0.3920863309352518"/>
    <n v="87"/>
    <n v="960"/>
    <n v="0.28776978417266186"/>
    <x v="1"/>
    <x v="3"/>
    <n v="1"/>
    <n v="1"/>
    <n v="0.58799999999999997"/>
  </r>
  <r>
    <s v="ORD-10216"/>
    <s v="17-Feb-2024"/>
    <x v="4"/>
    <x v="0"/>
    <s v="Tablet"/>
    <s v="Tablet - Model 765"/>
    <s v="Bangalore"/>
    <s v="South"/>
    <n v="15"/>
    <n v="2939"/>
    <n v="2645"/>
    <n v="0.1"/>
    <n v="1945"/>
    <n v="10500"/>
    <n v="0.26465028355387521"/>
    <n v="168"/>
    <n v="7980"/>
    <n v="0.20113421550094518"/>
    <x v="3"/>
    <x v="2"/>
    <n v="0"/>
    <n v="0"/>
    <n v="0.13999999999999999"/>
  </r>
  <r>
    <s v="ORD-10217"/>
    <s v="04-Feb-2024"/>
    <x v="4"/>
    <x v="6"/>
    <s v="Mixer"/>
    <s v="Mixer - Model 703"/>
    <s v="Pune"/>
    <s v="West"/>
    <n v="12"/>
    <n v="7713"/>
    <n v="6633"/>
    <n v="0.14000000000000001"/>
    <n v="3463"/>
    <n v="38040"/>
    <n v="0.47791346298808984"/>
    <n v="72"/>
    <n v="37176"/>
    <n v="0.46705864616312376"/>
    <x v="2"/>
    <x v="0"/>
    <n v="0"/>
    <n v="0"/>
    <n v="0.19600000000000001"/>
  </r>
  <r>
    <s v="ORD-10218"/>
    <s v="20-Dec-2024"/>
    <x v="10"/>
    <x v="2"/>
    <s v="Shoes"/>
    <s v="Shoes - Model 968"/>
    <s v="Chennai"/>
    <s v="South"/>
    <n v="7"/>
    <n v="4238"/>
    <n v="3263"/>
    <n v="0.23"/>
    <n v="2804"/>
    <n v="3213"/>
    <n v="0.14066809684339565"/>
    <n v="74"/>
    <n v="2695"/>
    <n v="0.11798958014097456"/>
    <x v="2"/>
    <x v="3"/>
    <n v="1"/>
    <n v="0"/>
    <n v="0.32200000000000001"/>
  </r>
  <r>
    <s v="ORD-10219"/>
    <s v="16-Apr-2024"/>
    <x v="1"/>
    <x v="4"/>
    <s v="Action Figure"/>
    <s v="Action Figure - Model 346"/>
    <s v="Ahmedabad"/>
    <s v="West"/>
    <n v="20"/>
    <n v="754"/>
    <n v="452"/>
    <n v="0.4"/>
    <n v="305"/>
    <n v="2940"/>
    <n v="0.3252212389380531"/>
    <n v="84"/>
    <n v="1260"/>
    <n v="0.13938053097345132"/>
    <x v="4"/>
    <x v="2"/>
    <n v="0"/>
    <n v="0"/>
    <n v="0.55999999999999994"/>
  </r>
  <r>
    <s v="ORD-10220"/>
    <s v="14-Oct-2024"/>
    <x v="11"/>
    <x v="1"/>
    <s v="Comic"/>
    <s v="Comic - Model 799"/>
    <s v="Bangalore"/>
    <s v="South"/>
    <n v="16"/>
    <n v="7645"/>
    <n v="4969"/>
    <n v="0.35"/>
    <n v="3103"/>
    <n v="29856"/>
    <n v="0.3755282753069028"/>
    <n v="40"/>
    <n v="29216"/>
    <n v="0.367478365868384"/>
    <x v="4"/>
    <x v="1"/>
    <n v="0"/>
    <n v="0"/>
    <n v="0.48999999999999994"/>
  </r>
  <r>
    <s v="ORD-10221"/>
    <s v="17-Jul-2024"/>
    <x v="3"/>
    <x v="2"/>
    <s v="Cycle"/>
    <s v="Cycle - Model 885"/>
    <s v="Pune"/>
    <s v="West"/>
    <n v="14"/>
    <n v="5674"/>
    <n v="5447"/>
    <n v="0.04"/>
    <n v="3335"/>
    <n v="29568"/>
    <n v="0.38773636864328986"/>
    <n v="122"/>
    <n v="27860"/>
    <n v="0.36533871856067562"/>
    <x v="4"/>
    <x v="0"/>
    <n v="0"/>
    <n v="0"/>
    <n v="5.5999999999999994E-2"/>
  </r>
  <r>
    <s v="ORD-10222"/>
    <s v="26-Apr-2024"/>
    <x v="1"/>
    <x v="6"/>
    <s v="Lamp"/>
    <s v="Lamp - Model 434"/>
    <s v="Pune"/>
    <s v="West"/>
    <n v="19"/>
    <n v="5147"/>
    <n v="3191"/>
    <n v="0.38"/>
    <n v="3286"/>
    <n v="-1805"/>
    <n v="-2.9771231588843622E-2"/>
    <n v="40"/>
    <n v="-2565"/>
    <n v="-4.2306486994672515E-2"/>
    <x v="0"/>
    <x v="2"/>
    <n v="0"/>
    <n v="0"/>
    <n v="0.53199999999999992"/>
  </r>
  <r>
    <s v="ORD-10223"/>
    <s v="08-Jan-2024"/>
    <x v="9"/>
    <x v="7"/>
    <s v="Shoes"/>
    <s v="Shoes - Model 218"/>
    <s v="Ahmedabad"/>
    <s v="West"/>
    <n v="20"/>
    <n v="4949"/>
    <n v="4256"/>
    <n v="0.14000000000000001"/>
    <n v="3264"/>
    <n v="19840"/>
    <n v="0.23308270676691728"/>
    <n v="141"/>
    <n v="17020"/>
    <n v="0.19995300751879699"/>
    <x v="2"/>
    <x v="0"/>
    <n v="0"/>
    <n v="0"/>
    <n v="0.19600000000000001"/>
  </r>
  <r>
    <s v="ORD-10224"/>
    <s v="06-Jan-2024"/>
    <x v="9"/>
    <x v="3"/>
    <s v="Rice"/>
    <s v="Rice - Model 635"/>
    <s v="Jaipur"/>
    <s v="North"/>
    <n v="9"/>
    <n v="1502"/>
    <n v="1412"/>
    <n v="0.06"/>
    <n v="1011"/>
    <n v="3609"/>
    <n v="0.28399433427762039"/>
    <n v="70"/>
    <n v="2979"/>
    <n v="0.23441926345609065"/>
    <x v="2"/>
    <x v="0"/>
    <n v="0"/>
    <n v="0"/>
    <n v="8.3999999999999991E-2"/>
  </r>
  <r>
    <s v="ORD-10225"/>
    <s v="09-Jul-2024"/>
    <x v="3"/>
    <x v="7"/>
    <s v="Saree"/>
    <s v="Saree - Model 829"/>
    <s v="Lucknow"/>
    <s v="North"/>
    <n v="3"/>
    <n v="4070"/>
    <n v="3134"/>
    <n v="0.23"/>
    <n v="1707"/>
    <n v="4281"/>
    <n v="0.4553286534779834"/>
    <n v="159"/>
    <n v="3804"/>
    <n v="0.40459476707083597"/>
    <x v="1"/>
    <x v="0"/>
    <n v="0"/>
    <n v="1"/>
    <n v="0.67199999999999993"/>
  </r>
  <r>
    <s v="ORD-10226"/>
    <s v="19-Feb-2024"/>
    <x v="4"/>
    <x v="7"/>
    <s v="Jeans"/>
    <s v="Jeans - Model 858"/>
    <s v="Jaipur"/>
    <s v="North"/>
    <n v="1"/>
    <n v="543"/>
    <n v="331"/>
    <n v="0.39"/>
    <n v="264"/>
    <n v="67"/>
    <n v="0.20241691842900303"/>
    <n v="101"/>
    <n v="-34"/>
    <n v="-0.1027190332326284"/>
    <x v="0"/>
    <x v="0"/>
    <n v="0"/>
    <n v="0"/>
    <n v="0.54599999999999993"/>
  </r>
  <r>
    <s v="ORD-10227"/>
    <s v="18-Jan-2024"/>
    <x v="9"/>
    <x v="4"/>
    <s v="Board Game"/>
    <s v="Board Game - Model 429"/>
    <s v="Hyderabad"/>
    <s v="South"/>
    <n v="14"/>
    <n v="7344"/>
    <n v="6316"/>
    <n v="0.14000000000000001"/>
    <n v="5061"/>
    <n v="17570"/>
    <n v="0.1987017099430019"/>
    <n v="116"/>
    <n v="15946"/>
    <n v="0.18033565547815072"/>
    <x v="2"/>
    <x v="1"/>
    <n v="0"/>
    <n v="0"/>
    <n v="0.19600000000000001"/>
  </r>
  <r>
    <s v="ORD-10228"/>
    <s v="08-Mar-2024"/>
    <x v="2"/>
    <x v="0"/>
    <s v="Smartwatch"/>
    <s v="Smartwatch - Model 170"/>
    <s v="Ahmedabad"/>
    <s v="West"/>
    <n v="10"/>
    <n v="6234"/>
    <n v="5361"/>
    <n v="0.14000000000000001"/>
    <n v="2682"/>
    <n v="26790"/>
    <n v="0.49972020145495244"/>
    <n v="99"/>
    <n v="25800"/>
    <n v="0.48125349748181312"/>
    <x v="4"/>
    <x v="0"/>
    <n v="0"/>
    <n v="0"/>
    <n v="0.19600000000000001"/>
  </r>
  <r>
    <s v="ORD-10229"/>
    <s v="24-May-2024"/>
    <x v="6"/>
    <x v="5"/>
    <s v="Perfume"/>
    <s v="Perfume - Model 477"/>
    <s v="Lucknow"/>
    <s v="North"/>
    <n v="16"/>
    <n v="7983"/>
    <n v="5189"/>
    <n v="0.35"/>
    <n v="5240"/>
    <n v="-816"/>
    <n v="-9.8284833301214101E-3"/>
    <n v="112"/>
    <n v="-2608"/>
    <n v="-3.1412603584505684E-2"/>
    <x v="1"/>
    <x v="1"/>
    <n v="0"/>
    <n v="1"/>
    <n v="0.83999999999999986"/>
  </r>
  <r>
    <s v="ORD-10230"/>
    <s v="08-Jan-2024"/>
    <x v="9"/>
    <x v="1"/>
    <s v="Fiction"/>
    <s v="Fiction - Model 443"/>
    <s v="Mumbai"/>
    <s v="West"/>
    <n v="13"/>
    <n v="6822"/>
    <n v="4571"/>
    <n v="0.33"/>
    <n v="2977"/>
    <n v="20722"/>
    <n v="0.34872019251804859"/>
    <n v="109"/>
    <n v="19305"/>
    <n v="0.32487420695690222"/>
    <x v="1"/>
    <x v="1"/>
    <n v="0"/>
    <n v="1"/>
    <n v="0.81199999999999994"/>
  </r>
  <r>
    <s v="ORD-10231"/>
    <s v="23-Mar-2024"/>
    <x v="2"/>
    <x v="2"/>
    <s v="Shoes"/>
    <s v="Shoes - Model 144"/>
    <s v="Hyderabad"/>
    <s v="South"/>
    <n v="17"/>
    <n v="3422"/>
    <n v="2053"/>
    <n v="0.4"/>
    <n v="1918"/>
    <n v="2295"/>
    <n v="6.5757428153921091E-2"/>
    <n v="142"/>
    <n v="-119"/>
    <n v="-3.4096444227959084E-3"/>
    <x v="3"/>
    <x v="0"/>
    <n v="0"/>
    <n v="0"/>
    <n v="0.55999999999999994"/>
  </r>
  <r>
    <s v="ORD-10232"/>
    <s v="03-Jul-2024"/>
    <x v="3"/>
    <x v="0"/>
    <s v="Smartwatch"/>
    <s v="Smartwatch - Model 778"/>
    <s v="Bangalore"/>
    <s v="South"/>
    <n v="8"/>
    <n v="2475"/>
    <n v="1534"/>
    <n v="0.38"/>
    <n v="1792"/>
    <n v="-2064"/>
    <n v="-0.16818774445893089"/>
    <n v="89"/>
    <n v="-2776"/>
    <n v="-0.22620599739243807"/>
    <x v="4"/>
    <x v="0"/>
    <n v="0"/>
    <n v="0"/>
    <n v="0.53199999999999992"/>
  </r>
  <r>
    <s v="ORD-10233"/>
    <s v="07-Feb-2024"/>
    <x v="4"/>
    <x v="6"/>
    <s v="Lamp"/>
    <s v="Lamp - Model 211"/>
    <s v="Bangalore"/>
    <s v="South"/>
    <n v="4"/>
    <n v="1482"/>
    <n v="1171"/>
    <n v="0.21"/>
    <n v="804"/>
    <n v="1468"/>
    <n v="0.31340734415029892"/>
    <n v="110"/>
    <n v="1028"/>
    <n v="0.21947053800170793"/>
    <x v="1"/>
    <x v="0"/>
    <n v="0"/>
    <n v="1"/>
    <n v="0.64399999999999991"/>
  </r>
  <r>
    <s v="ORD-10234"/>
    <s v="03-Feb-2024"/>
    <x v="4"/>
    <x v="6"/>
    <s v="Bedsheet"/>
    <s v="Bedsheet - Model 946"/>
    <s v="Lucknow"/>
    <s v="North"/>
    <n v="2"/>
    <n v="1877"/>
    <n v="1145"/>
    <n v="0.39"/>
    <n v="848"/>
    <n v="594"/>
    <n v="0.25938864628820962"/>
    <n v="137"/>
    <n v="320"/>
    <n v="0.13973799126637554"/>
    <x v="4"/>
    <x v="0"/>
    <n v="0"/>
    <n v="0"/>
    <n v="0.54599999999999993"/>
  </r>
  <r>
    <s v="ORD-10235"/>
    <s v="09-May-2024"/>
    <x v="6"/>
    <x v="6"/>
    <s v="Mixer"/>
    <s v="Mixer - Model 514"/>
    <s v="Ahmedabad"/>
    <s v="West"/>
    <n v="18"/>
    <n v="6035"/>
    <n v="5371"/>
    <n v="0.11"/>
    <n v="3390"/>
    <n v="35658"/>
    <n v="0.36883261962390618"/>
    <n v="151"/>
    <n v="32940"/>
    <n v="0.34071867436231612"/>
    <x v="1"/>
    <x v="0"/>
    <n v="0"/>
    <n v="1"/>
    <n v="0.504"/>
  </r>
  <r>
    <s v="ORD-10236"/>
    <s v="05-Apr-2024"/>
    <x v="1"/>
    <x v="5"/>
    <s v="Perfume"/>
    <s v="Perfume - Model 481"/>
    <s v="Delhi"/>
    <s v="North"/>
    <n v="19"/>
    <n v="4772"/>
    <n v="2815"/>
    <n v="0.41"/>
    <n v="2034"/>
    <n v="14839"/>
    <n v="0.27744227353463585"/>
    <n v="180"/>
    <n v="11419"/>
    <n v="0.21349911190053286"/>
    <x v="1"/>
    <x v="0"/>
    <n v="0"/>
    <n v="1"/>
    <n v="0.92399999999999993"/>
  </r>
  <r>
    <s v="ORD-10237"/>
    <s v="03-Mar-2024"/>
    <x v="2"/>
    <x v="1"/>
    <s v="Fiction"/>
    <s v="Fiction - Model 143"/>
    <s v="Ahmedabad"/>
    <s v="West"/>
    <n v="2"/>
    <n v="1510"/>
    <n v="1117"/>
    <n v="0.26"/>
    <n v="1038"/>
    <n v="158"/>
    <n v="7.0725156669650846E-2"/>
    <n v="89"/>
    <n v="-20"/>
    <n v="-8.9525514771709933E-3"/>
    <x v="2"/>
    <x v="0"/>
    <n v="0"/>
    <n v="0"/>
    <n v="0.36399999999999999"/>
  </r>
  <r>
    <s v="ORD-10238"/>
    <s v="07-Jun-2024"/>
    <x v="5"/>
    <x v="6"/>
    <s v="Bedsheet"/>
    <s v="Bedsheet - Model 386"/>
    <s v="Ahmedabad"/>
    <s v="West"/>
    <n v="5"/>
    <n v="470"/>
    <n v="338"/>
    <n v="0.28000000000000003"/>
    <n v="228"/>
    <n v="550"/>
    <n v="0.32544378698224852"/>
    <n v="74"/>
    <n v="180"/>
    <n v="0.10650887573964497"/>
    <x v="0"/>
    <x v="0"/>
    <n v="0"/>
    <n v="0"/>
    <n v="0.39200000000000002"/>
  </r>
  <r>
    <s v="ORD-10239"/>
    <s v="09-Feb-2024"/>
    <x v="4"/>
    <x v="4"/>
    <s v="Board Game"/>
    <s v="Board Game - Model 529"/>
    <s v="Hyderabad"/>
    <s v="South"/>
    <n v="17"/>
    <n v="2143"/>
    <n v="1179"/>
    <n v="0.45"/>
    <n v="1265"/>
    <n v="-1462"/>
    <n v="-7.2943172179813401E-2"/>
    <n v="33"/>
    <n v="-2023"/>
    <n v="-0.10093299406276506"/>
    <x v="0"/>
    <x v="0"/>
    <n v="0"/>
    <n v="0"/>
    <n v="0.63"/>
  </r>
  <r>
    <s v="ORD-10240"/>
    <s v="26-Sep-2024"/>
    <x v="7"/>
    <x v="3"/>
    <s v="Rice"/>
    <s v="Rice - Model 679"/>
    <s v="Jaipur"/>
    <s v="North"/>
    <n v="11"/>
    <n v="3229"/>
    <n v="2971"/>
    <n v="0.08"/>
    <n v="1652"/>
    <n v="14509"/>
    <n v="0.44395826321104004"/>
    <n v="63"/>
    <n v="13816"/>
    <n v="0.42275328172332549"/>
    <x v="4"/>
    <x v="1"/>
    <n v="0"/>
    <n v="0"/>
    <n v="0.11199999999999999"/>
  </r>
  <r>
    <s v="ORD-10241"/>
    <s v="12-Sep-2024"/>
    <x v="7"/>
    <x v="5"/>
    <s v="Serum"/>
    <s v="Serum - Model 202"/>
    <s v="Hyderabad"/>
    <s v="South"/>
    <n v="8"/>
    <n v="2279"/>
    <n v="1436"/>
    <n v="0.37"/>
    <n v="1643"/>
    <n v="-1656"/>
    <n v="-0.14415041782729804"/>
    <n v="38"/>
    <n v="-1960"/>
    <n v="-0.17061281337047354"/>
    <x v="1"/>
    <x v="1"/>
    <n v="0"/>
    <n v="1"/>
    <n v="0.86799999999999999"/>
  </r>
  <r>
    <s v="ORD-10242"/>
    <s v="12-Jul-2024"/>
    <x v="3"/>
    <x v="6"/>
    <s v="Pressure Cooker"/>
    <s v="Pressure Cooker - Model 342"/>
    <s v="Lucknow"/>
    <s v="North"/>
    <n v="11"/>
    <n v="6488"/>
    <n v="4477"/>
    <n v="0.31"/>
    <n v="4671"/>
    <n v="-2134"/>
    <n v="-4.3332588787134245E-2"/>
    <n v="34"/>
    <n v="-2508"/>
    <n v="-5.0926960017869109E-2"/>
    <x v="4"/>
    <x v="0"/>
    <n v="0"/>
    <n v="0"/>
    <n v="0.434"/>
  </r>
  <r>
    <s v="ORD-10243"/>
    <s v="07-Oct-2024"/>
    <x v="11"/>
    <x v="3"/>
    <s v="Spices"/>
    <s v="Spices - Model 416"/>
    <s v="Bangalore"/>
    <s v="South"/>
    <n v="16"/>
    <n v="496"/>
    <n v="481"/>
    <n v="0.03"/>
    <n v="303"/>
    <n v="2848"/>
    <n v="0.37006237006237008"/>
    <n v="33"/>
    <n v="2320"/>
    <n v="0.30145530145530147"/>
    <x v="0"/>
    <x v="1"/>
    <n v="0"/>
    <n v="0"/>
    <n v="4.1999999999999996E-2"/>
  </r>
  <r>
    <s v="ORD-10244"/>
    <s v="26-Apr-2024"/>
    <x v="1"/>
    <x v="6"/>
    <s v="Bedsheet"/>
    <s v="Bedsheet - Model 834"/>
    <s v="Bangalore"/>
    <s v="South"/>
    <n v="11"/>
    <n v="665"/>
    <n v="618"/>
    <n v="7.0000000000000007E-2"/>
    <n v="430"/>
    <n v="2068"/>
    <n v="0.30420711974110032"/>
    <n v="51"/>
    <n v="1507"/>
    <n v="0.22168284789644013"/>
    <x v="2"/>
    <x v="2"/>
    <n v="0"/>
    <n v="0"/>
    <n v="9.8000000000000004E-2"/>
  </r>
  <r>
    <s v="ORD-10245"/>
    <s v="12-Feb-2024"/>
    <x v="4"/>
    <x v="4"/>
    <s v="Doll"/>
    <s v="Doll - Model 203"/>
    <s v="Kolkata"/>
    <s v="East"/>
    <n v="10"/>
    <n v="2716"/>
    <n v="1521"/>
    <n v="0.44"/>
    <n v="1783"/>
    <n v="-2620"/>
    <n v="-0.17225509533201841"/>
    <n v="96"/>
    <n v="-3580"/>
    <n v="-0.2353714661406969"/>
    <x v="0"/>
    <x v="0"/>
    <n v="0"/>
    <n v="0"/>
    <n v="0.61599999999999999"/>
  </r>
  <r>
    <s v="ORD-10246"/>
    <s v="23-Sep-2024"/>
    <x v="7"/>
    <x v="1"/>
    <s v="Self-Help"/>
    <s v="Self-Help - Model 781"/>
    <s v="Lucknow"/>
    <s v="North"/>
    <n v="6"/>
    <n v="3151"/>
    <n v="2111"/>
    <n v="0.33"/>
    <n v="1585"/>
    <n v="3156"/>
    <n v="0.2491710090004737"/>
    <n v="57"/>
    <n v="2814"/>
    <n v="0.22216958787304594"/>
    <x v="2"/>
    <x v="1"/>
    <n v="0"/>
    <n v="0"/>
    <n v="0.46199999999999997"/>
  </r>
  <r>
    <s v="ORD-10247"/>
    <s v="28-Jul-2024"/>
    <x v="3"/>
    <x v="0"/>
    <s v="Laptop"/>
    <s v="Laptop - Model 716"/>
    <s v="Kolkata"/>
    <s v="East"/>
    <n v="20"/>
    <n v="1923"/>
    <n v="1442"/>
    <n v="0.25"/>
    <n v="1400"/>
    <n v="840"/>
    <n v="2.9126213592233011E-2"/>
    <n v="51"/>
    <n v="-180"/>
    <n v="-6.2413314840499305E-3"/>
    <x v="2"/>
    <x v="1"/>
    <n v="0"/>
    <n v="0"/>
    <n v="0.35"/>
  </r>
  <r>
    <s v="ORD-10248"/>
    <s v="21-Mar-2024"/>
    <x v="2"/>
    <x v="7"/>
    <s v="Saree"/>
    <s v="Saree - Model 557"/>
    <s v="Mumbai"/>
    <s v="West"/>
    <n v="9"/>
    <n v="1836"/>
    <n v="1267"/>
    <n v="0.31"/>
    <n v="960"/>
    <n v="2763"/>
    <n v="0.24230465666929754"/>
    <n v="148"/>
    <n v="1431"/>
    <n v="0.1254932912391476"/>
    <x v="2"/>
    <x v="0"/>
    <n v="0"/>
    <n v="0"/>
    <n v="0.434"/>
  </r>
  <r>
    <s v="ORD-10249"/>
    <s v="06-Jul-2024"/>
    <x v="3"/>
    <x v="4"/>
    <s v="Remote Car"/>
    <s v="Remote Car - Model 487"/>
    <s v="Kolkata"/>
    <s v="East"/>
    <n v="18"/>
    <n v="3128"/>
    <n v="1971"/>
    <n v="0.37"/>
    <n v="2115"/>
    <n v="-2592"/>
    <n v="-7.3059360730593603E-2"/>
    <n v="117"/>
    <n v="-4698"/>
    <n v="-0.13242009132420091"/>
    <x v="1"/>
    <x v="0"/>
    <n v="0"/>
    <n v="1"/>
    <n v="0.86799999999999999"/>
  </r>
  <r>
    <s v="ORD-10250"/>
    <s v="10-Jan-2024"/>
    <x v="9"/>
    <x v="0"/>
    <s v="Headphones"/>
    <s v="Headphones - Model 367"/>
    <s v="Delhi"/>
    <s v="North"/>
    <n v="3"/>
    <n v="2866"/>
    <n v="1720"/>
    <n v="0.4"/>
    <n v="1308"/>
    <n v="1236"/>
    <n v="0.23953488372093024"/>
    <n v="41"/>
    <n v="1113"/>
    <n v="0.21569767441860466"/>
    <x v="2"/>
    <x v="1"/>
    <n v="0"/>
    <n v="0"/>
    <n v="0.55999999999999994"/>
  </r>
  <r>
    <s v="ORD-10251"/>
    <s v="23-Aug-2024"/>
    <x v="8"/>
    <x v="0"/>
    <s v="Smartwatch"/>
    <s v="Smartwatch - Model 769"/>
    <s v="Bangalore"/>
    <s v="South"/>
    <n v="20"/>
    <n v="7140"/>
    <n v="6640"/>
    <n v="7.0000000000000007E-2"/>
    <n v="3109"/>
    <n v="70620"/>
    <n v="0.53177710843373494"/>
    <n v="61"/>
    <n v="69400"/>
    <n v="0.52259036144578308"/>
    <x v="1"/>
    <x v="0"/>
    <n v="0"/>
    <n v="1"/>
    <n v="0.44799999999999995"/>
  </r>
  <r>
    <s v="ORD-10252"/>
    <s v="18-Dec-2024"/>
    <x v="10"/>
    <x v="2"/>
    <s v="Yoga Mat"/>
    <s v="Yoga Mat - Model 404"/>
    <s v="Hyderabad"/>
    <s v="South"/>
    <n v="4"/>
    <n v="587"/>
    <n v="434"/>
    <n v="0.26"/>
    <n v="407"/>
    <n v="108"/>
    <n v="6.2211981566820278E-2"/>
    <n v="53"/>
    <n v="-104"/>
    <n v="-5.9907834101382486E-2"/>
    <x v="4"/>
    <x v="0"/>
    <n v="0"/>
    <n v="0"/>
    <n v="0.36399999999999999"/>
  </r>
  <r>
    <s v="ORD-10253"/>
    <s v="21-Nov-2024"/>
    <x v="0"/>
    <x v="3"/>
    <s v="Oil"/>
    <s v="Oil - Model 199"/>
    <s v="Mumbai"/>
    <s v="West"/>
    <n v="7"/>
    <n v="1532"/>
    <n v="1333"/>
    <n v="0.13"/>
    <n v="657"/>
    <n v="4732"/>
    <n v="0.5071267816954238"/>
    <n v="157"/>
    <n v="3633"/>
    <n v="0.38934733683420858"/>
    <x v="4"/>
    <x v="0"/>
    <n v="0"/>
    <n v="0"/>
    <n v="0.182"/>
  </r>
  <r>
    <s v="ORD-10254"/>
    <s v="09-Nov-2024"/>
    <x v="0"/>
    <x v="7"/>
    <s v="Jacket"/>
    <s v="Jacket - Model 496"/>
    <s v="Bangalore"/>
    <s v="South"/>
    <n v="12"/>
    <n v="7107"/>
    <n v="5899"/>
    <n v="0.17"/>
    <n v="3952"/>
    <n v="23364"/>
    <n v="0.33005594168503138"/>
    <n v="69"/>
    <n v="22536"/>
    <n v="0.31835904390574676"/>
    <x v="0"/>
    <x v="2"/>
    <n v="0"/>
    <n v="0"/>
    <n v="0.23799999999999999"/>
  </r>
  <r>
    <s v="ORD-10255"/>
    <s v="02-Oct-2024"/>
    <x v="11"/>
    <x v="6"/>
    <s v="Mixer"/>
    <s v="Mixer - Model 187"/>
    <s v="Kolkata"/>
    <s v="East"/>
    <n v="18"/>
    <n v="3429"/>
    <n v="2263"/>
    <n v="0.34"/>
    <n v="1645"/>
    <n v="11124"/>
    <n v="0.27308882015024305"/>
    <n v="39"/>
    <n v="10422"/>
    <n v="0.25585505965532479"/>
    <x v="0"/>
    <x v="0"/>
    <n v="0"/>
    <n v="0"/>
    <n v="0.47599999999999998"/>
  </r>
  <r>
    <s v="ORD-10256"/>
    <s v="22-Sep-2024"/>
    <x v="7"/>
    <x v="3"/>
    <s v="Spices"/>
    <s v="Spices - Model 341"/>
    <s v="Ahmedabad"/>
    <s v="West"/>
    <n v="10"/>
    <n v="816"/>
    <n v="481"/>
    <n v="0.41"/>
    <n v="530"/>
    <n v="-490"/>
    <n v="-0.10187110187110188"/>
    <n v="105"/>
    <n v="-1540"/>
    <n v="-0.32016632016632018"/>
    <x v="3"/>
    <x v="0"/>
    <n v="0"/>
    <n v="0"/>
    <n v="0.57399999999999995"/>
  </r>
  <r>
    <s v="ORD-10257"/>
    <s v="05-Oct-2024"/>
    <x v="11"/>
    <x v="7"/>
    <s v="Shoes"/>
    <s v="Shoes - Model 277"/>
    <s v="Bangalore"/>
    <s v="South"/>
    <n v="7"/>
    <n v="6506"/>
    <n v="6116"/>
    <n v="0.06"/>
    <n v="3566"/>
    <n v="17850"/>
    <n v="0.41693917593198171"/>
    <n v="178"/>
    <n v="16604"/>
    <n v="0.38783518639633746"/>
    <x v="0"/>
    <x v="3"/>
    <n v="1"/>
    <n v="0"/>
    <n v="8.3999999999999991E-2"/>
  </r>
  <r>
    <s v="ORD-10258"/>
    <s v="27-Mar-2024"/>
    <x v="2"/>
    <x v="2"/>
    <s v="Yoga Mat"/>
    <s v="Yoga Mat - Model 844"/>
    <s v="Delhi"/>
    <s v="North"/>
    <n v="3"/>
    <n v="3227"/>
    <n v="2646"/>
    <n v="0.18"/>
    <n v="1659"/>
    <n v="2961"/>
    <n v="0.37301587301587302"/>
    <n v="71"/>
    <n v="2748"/>
    <n v="0.34618291761148906"/>
    <x v="0"/>
    <x v="0"/>
    <n v="0"/>
    <n v="0"/>
    <n v="0.252"/>
  </r>
  <r>
    <s v="ORD-10259"/>
    <s v="20-Dec-2024"/>
    <x v="10"/>
    <x v="4"/>
    <s v="Action Figure"/>
    <s v="Action Figure - Model 524"/>
    <s v="Bangalore"/>
    <s v="South"/>
    <n v="5"/>
    <n v="4619"/>
    <n v="3418"/>
    <n v="0.26"/>
    <n v="3407"/>
    <n v="55"/>
    <n v="3.2182562902282035E-3"/>
    <n v="45"/>
    <n v="-170"/>
    <n v="-9.9473376243417195E-3"/>
    <x v="2"/>
    <x v="0"/>
    <n v="0"/>
    <n v="0"/>
    <n v="0.36399999999999999"/>
  </r>
  <r>
    <s v="ORD-10260"/>
    <s v="28-May-2024"/>
    <x v="6"/>
    <x v="1"/>
    <s v="Children"/>
    <s v="Children - Model 370"/>
    <s v="Pune"/>
    <s v="West"/>
    <n v="16"/>
    <n v="4662"/>
    <n v="3683"/>
    <n v="0.21"/>
    <n v="2146"/>
    <n v="24592"/>
    <n v="0.41732283464566927"/>
    <n v="90"/>
    <n v="23152"/>
    <n v="0.39288623404833017"/>
    <x v="3"/>
    <x v="0"/>
    <n v="0"/>
    <n v="0"/>
    <n v="0.29399999999999998"/>
  </r>
  <r>
    <s v="ORD-10261"/>
    <s v="13-Jan-2024"/>
    <x v="9"/>
    <x v="1"/>
    <s v="Self-Help"/>
    <s v="Self-Help - Model 150"/>
    <s v="Ahmedabad"/>
    <s v="West"/>
    <n v="9"/>
    <n v="7197"/>
    <n v="7125"/>
    <n v="0.01"/>
    <n v="4938"/>
    <n v="19683"/>
    <n v="0.30694736842105264"/>
    <n v="75"/>
    <n v="19008"/>
    <n v="0.29642105263157897"/>
    <x v="4"/>
    <x v="2"/>
    <n v="0"/>
    <n v="0"/>
    <n v="1.3999999999999999E-2"/>
  </r>
  <r>
    <s v="ORD-10262"/>
    <s v="04-Nov-2024"/>
    <x v="0"/>
    <x v="5"/>
    <s v="Serum"/>
    <s v="Serum - Model 407"/>
    <s v="Ahmedabad"/>
    <s v="West"/>
    <n v="11"/>
    <n v="2301"/>
    <n v="1864"/>
    <n v="0.19"/>
    <n v="1440"/>
    <n v="4664"/>
    <n v="0.22746781115879827"/>
    <n v="58"/>
    <n v="4026"/>
    <n v="0.1963519313304721"/>
    <x v="1"/>
    <x v="0"/>
    <n v="0"/>
    <n v="1"/>
    <n v="0.61599999999999988"/>
  </r>
  <r>
    <s v="ORD-10263"/>
    <s v="25-Aug-2024"/>
    <x v="8"/>
    <x v="1"/>
    <s v="Fiction"/>
    <s v="Fiction - Model 627"/>
    <s v="Bangalore"/>
    <s v="South"/>
    <n v="3"/>
    <n v="2627"/>
    <n v="2023"/>
    <n v="0.23"/>
    <n v="1176"/>
    <n v="2541"/>
    <n v="0.41868512110726641"/>
    <n v="158"/>
    <n v="2067"/>
    <n v="0.34058329214038557"/>
    <x v="3"/>
    <x v="0"/>
    <n v="0"/>
    <n v="0"/>
    <n v="0.32200000000000001"/>
  </r>
  <r>
    <s v="ORD-10264"/>
    <s v="27-Apr-2024"/>
    <x v="1"/>
    <x v="0"/>
    <s v="Laptop"/>
    <s v="Laptop - Model 133"/>
    <s v="Ahmedabad"/>
    <s v="West"/>
    <n v="2"/>
    <n v="7361"/>
    <n v="5005"/>
    <n v="0.32"/>
    <n v="3650"/>
    <n v="2710"/>
    <n v="0.27072927072927072"/>
    <n v="154"/>
    <n v="2402"/>
    <n v="0.23996003996003995"/>
    <x v="3"/>
    <x v="1"/>
    <n v="0"/>
    <n v="0"/>
    <n v="0.44799999999999995"/>
  </r>
  <r>
    <s v="ORD-10265"/>
    <s v="01-Nov-2024"/>
    <x v="0"/>
    <x v="5"/>
    <s v="Lipstick"/>
    <s v="Lipstick - Model 600"/>
    <s v="Lucknow"/>
    <s v="North"/>
    <n v="15"/>
    <n v="1585"/>
    <n v="967"/>
    <n v="0.39"/>
    <n v="960"/>
    <n v="105"/>
    <n v="7.2388831437435368E-3"/>
    <n v="82"/>
    <n v="-1125"/>
    <n v="-7.7559462254395042E-2"/>
    <x v="1"/>
    <x v="0"/>
    <n v="0"/>
    <n v="1"/>
    <n v="0.89599999999999991"/>
  </r>
  <r>
    <s v="ORD-10266"/>
    <s v="03-Dec-2024"/>
    <x v="10"/>
    <x v="2"/>
    <s v="Shoes"/>
    <s v="Shoes - Model 495"/>
    <s v="Mumbai"/>
    <s v="West"/>
    <n v="6"/>
    <n v="6860"/>
    <n v="4459"/>
    <n v="0.35"/>
    <n v="3259"/>
    <n v="7200"/>
    <n v="0.26911863646557527"/>
    <n v="63"/>
    <n v="6822"/>
    <n v="0.25498990805113253"/>
    <x v="1"/>
    <x v="0"/>
    <n v="0"/>
    <n v="1"/>
    <n v="0.83999999999999986"/>
  </r>
  <r>
    <s v="ORD-10267"/>
    <s v="17-Jul-2024"/>
    <x v="3"/>
    <x v="0"/>
    <s v="Mobile"/>
    <s v="Mobile - Model 585"/>
    <s v="Bangalore"/>
    <s v="South"/>
    <n v="6"/>
    <n v="4889"/>
    <n v="4889"/>
    <n v="0"/>
    <n v="2387"/>
    <n v="15012"/>
    <n v="0.51176109633871958"/>
    <n v="151"/>
    <n v="14106"/>
    <n v="0.48087543464921251"/>
    <x v="4"/>
    <x v="0"/>
    <n v="0"/>
    <n v="0"/>
    <n v="0"/>
  </r>
  <r>
    <s v="ORD-10268"/>
    <s v="14-May-2024"/>
    <x v="6"/>
    <x v="4"/>
    <s v="Puzzle"/>
    <s v="Puzzle - Model 570"/>
    <s v="Chennai"/>
    <s v="South"/>
    <n v="7"/>
    <n v="3840"/>
    <n v="2688"/>
    <n v="0.3"/>
    <n v="2644"/>
    <n v="308"/>
    <n v="1.636904761904762E-2"/>
    <n v="90"/>
    <n v="-322"/>
    <n v="-1.711309523809524E-2"/>
    <x v="2"/>
    <x v="1"/>
    <n v="0"/>
    <n v="0"/>
    <n v="0.42"/>
  </r>
  <r>
    <s v="ORD-10269"/>
    <s v="18-Jun-2024"/>
    <x v="5"/>
    <x v="2"/>
    <s v="Yoga Mat"/>
    <s v="Yoga Mat - Model 800"/>
    <s v="Delhi"/>
    <s v="North"/>
    <n v="16"/>
    <n v="698"/>
    <n v="391"/>
    <n v="0.44"/>
    <n v="436"/>
    <n v="-720"/>
    <n v="-0.11508951406649616"/>
    <n v="159"/>
    <n v="-3264"/>
    <n v="-0.52173913043478259"/>
    <x v="4"/>
    <x v="1"/>
    <n v="0"/>
    <n v="0"/>
    <n v="0.61599999999999999"/>
  </r>
  <r>
    <s v="ORD-10270"/>
    <s v="10-Nov-2024"/>
    <x v="0"/>
    <x v="5"/>
    <s v="Serum"/>
    <s v="Serum - Model 629"/>
    <s v="Hyderabad"/>
    <s v="South"/>
    <n v="2"/>
    <n v="6482"/>
    <n v="4148"/>
    <n v="0.36"/>
    <n v="3954"/>
    <n v="388"/>
    <n v="4.67695274831244E-2"/>
    <n v="129"/>
    <n v="130"/>
    <n v="1.56702025072324E-2"/>
    <x v="1"/>
    <x v="3"/>
    <n v="1"/>
    <n v="1"/>
    <n v="0.85399999999999998"/>
  </r>
  <r>
    <s v="ORD-10271"/>
    <s v="09-May-2024"/>
    <x v="6"/>
    <x v="4"/>
    <s v="Remote Car"/>
    <s v="Remote Car - Model 497"/>
    <s v="Mumbai"/>
    <s v="West"/>
    <n v="19"/>
    <n v="5723"/>
    <n v="4235"/>
    <n v="0.26"/>
    <n v="2670"/>
    <n v="29735"/>
    <n v="0.3695395513577332"/>
    <n v="139"/>
    <n v="27094"/>
    <n v="0.33671782762691854"/>
    <x v="1"/>
    <x v="3"/>
    <n v="1"/>
    <n v="1"/>
    <n v="0.71399999999999997"/>
  </r>
  <r>
    <s v="ORD-10272"/>
    <s v="22-Aug-2024"/>
    <x v="8"/>
    <x v="1"/>
    <s v="Comic"/>
    <s v="Comic - Model 407"/>
    <s v="Bangalore"/>
    <s v="South"/>
    <n v="18"/>
    <n v="1613"/>
    <n v="1548"/>
    <n v="0.04"/>
    <n v="717"/>
    <n v="14958"/>
    <n v="0.53682170542635654"/>
    <n v="69"/>
    <n v="13716"/>
    <n v="0.49224806201550386"/>
    <x v="3"/>
    <x v="0"/>
    <n v="0"/>
    <n v="0"/>
    <n v="5.5999999999999994E-2"/>
  </r>
  <r>
    <s v="ORD-10273"/>
    <s v="11-Nov-2024"/>
    <x v="0"/>
    <x v="7"/>
    <s v="Jeans"/>
    <s v="Jeans - Model 463"/>
    <s v="Hyderabad"/>
    <s v="South"/>
    <n v="10"/>
    <n v="3480"/>
    <n v="2088"/>
    <n v="0.4"/>
    <n v="1845"/>
    <n v="2430"/>
    <n v="0.11637931034482758"/>
    <n v="118"/>
    <n v="1250"/>
    <n v="5.9865900383141761E-2"/>
    <x v="0"/>
    <x v="0"/>
    <n v="0"/>
    <n v="0"/>
    <n v="0.55999999999999994"/>
  </r>
  <r>
    <s v="ORD-10274"/>
    <s v="19-Nov-2024"/>
    <x v="0"/>
    <x v="7"/>
    <s v="Shoes"/>
    <s v="Shoes - Model 299"/>
    <s v="Jaipur"/>
    <s v="North"/>
    <n v="4"/>
    <n v="6966"/>
    <n v="5782"/>
    <n v="0.17"/>
    <n v="3514"/>
    <n v="9072"/>
    <n v="0.39225181598062953"/>
    <n v="38"/>
    <n v="8920"/>
    <n v="0.38567969560705639"/>
    <x v="1"/>
    <x v="0"/>
    <n v="0"/>
    <n v="1"/>
    <n v="0.58799999999999997"/>
  </r>
  <r>
    <s v="ORD-10275"/>
    <s v="19-Jul-2024"/>
    <x v="3"/>
    <x v="3"/>
    <s v="Oil"/>
    <s v="Oil - Model 423"/>
    <s v="Bangalore"/>
    <s v="South"/>
    <n v="3"/>
    <n v="4003"/>
    <n v="2882"/>
    <n v="0.28000000000000003"/>
    <n v="1849"/>
    <n v="3099"/>
    <n v="0.35843164469118666"/>
    <n v="125"/>
    <n v="2724"/>
    <n v="0.31505898681471201"/>
    <x v="2"/>
    <x v="0"/>
    <n v="0"/>
    <n v="0"/>
    <n v="0.39200000000000002"/>
  </r>
  <r>
    <s v="ORD-10276"/>
    <s v="19-Mar-2024"/>
    <x v="2"/>
    <x v="6"/>
    <s v="Curtain"/>
    <s v="Curtain - Model 904"/>
    <s v="Delhi"/>
    <s v="North"/>
    <n v="5"/>
    <n v="4993"/>
    <n v="3545"/>
    <n v="0.28999999999999998"/>
    <n v="2702"/>
    <n v="4215"/>
    <n v="0.23779971791255289"/>
    <n v="175"/>
    <n v="3340"/>
    <n v="0.18843441466854724"/>
    <x v="0"/>
    <x v="0"/>
    <n v="0"/>
    <n v="0"/>
    <n v="0.40599999999999997"/>
  </r>
  <r>
    <s v="ORD-10277"/>
    <s v="12-Dec-2024"/>
    <x v="10"/>
    <x v="0"/>
    <s v="Headphones"/>
    <s v="Headphones - Model 875"/>
    <s v="Jaipur"/>
    <s v="North"/>
    <n v="7"/>
    <n v="340"/>
    <n v="340"/>
    <n v="0"/>
    <n v="223"/>
    <n v="819"/>
    <n v="0.34411764705882353"/>
    <n v="64"/>
    <n v="371"/>
    <n v="0.15588235294117647"/>
    <x v="4"/>
    <x v="0"/>
    <n v="0"/>
    <n v="0"/>
    <n v="0"/>
  </r>
  <r>
    <s v="ORD-10278"/>
    <s v="19-Sep-2024"/>
    <x v="7"/>
    <x v="2"/>
    <s v="Cricket Bat"/>
    <s v="Cricket Bat - Model 166"/>
    <s v="Mumbai"/>
    <s v="West"/>
    <n v="10"/>
    <n v="7598"/>
    <n v="6002"/>
    <n v="0.21"/>
    <n v="4423"/>
    <n v="15790"/>
    <n v="0.26307897367544153"/>
    <n v="109"/>
    <n v="14700"/>
    <n v="0.2449183605464845"/>
    <x v="0"/>
    <x v="1"/>
    <n v="0"/>
    <n v="0"/>
    <n v="0.29399999999999998"/>
  </r>
  <r>
    <s v="ORD-10279"/>
    <s v="16-Jun-2024"/>
    <x v="5"/>
    <x v="1"/>
    <s v="Self-Help"/>
    <s v="Self-Help - Model 268"/>
    <s v="Pune"/>
    <s v="West"/>
    <n v="1"/>
    <n v="1982"/>
    <n v="1328"/>
    <n v="0.33"/>
    <n v="884"/>
    <n v="444"/>
    <n v="0.33433734939759036"/>
    <n v="140"/>
    <n v="304"/>
    <n v="0.2289156626506024"/>
    <x v="3"/>
    <x v="0"/>
    <n v="0"/>
    <n v="0"/>
    <n v="0.46199999999999997"/>
  </r>
  <r>
    <s v="ORD-10280"/>
    <s v="21-Dec-2024"/>
    <x v="10"/>
    <x v="0"/>
    <s v="Smartwatch"/>
    <s v="Smartwatch - Model 997"/>
    <s v="Chennai"/>
    <s v="South"/>
    <n v="18"/>
    <n v="5060"/>
    <n v="3694"/>
    <n v="0.27"/>
    <n v="2109"/>
    <n v="28530"/>
    <n v="0.42907417433676232"/>
    <n v="46"/>
    <n v="27702"/>
    <n v="0.4166215484569572"/>
    <x v="2"/>
    <x v="0"/>
    <n v="0"/>
    <n v="0"/>
    <n v="0.378"/>
  </r>
  <r>
    <s v="ORD-10281"/>
    <s v="13-Aug-2024"/>
    <x v="8"/>
    <x v="7"/>
    <s v="Jacket"/>
    <s v="Jacket - Model 358"/>
    <s v="Ahmedabad"/>
    <s v="West"/>
    <n v="5"/>
    <n v="1803"/>
    <n v="1244"/>
    <n v="0.31"/>
    <n v="727"/>
    <n v="2585"/>
    <n v="0.41559485530546625"/>
    <n v="93"/>
    <n v="2120"/>
    <n v="0.34083601286173631"/>
    <x v="2"/>
    <x v="0"/>
    <n v="0"/>
    <n v="0"/>
    <n v="0.434"/>
  </r>
  <r>
    <s v="ORD-10282"/>
    <s v="23-Oct-2024"/>
    <x v="11"/>
    <x v="6"/>
    <s v="Curtain"/>
    <s v="Curtain - Model 950"/>
    <s v="Delhi"/>
    <s v="North"/>
    <n v="17"/>
    <n v="5806"/>
    <n v="5516"/>
    <n v="0.05"/>
    <n v="2554"/>
    <n v="50354"/>
    <n v="0.53698332124728065"/>
    <n v="46"/>
    <n v="49572"/>
    <n v="0.52864394488759969"/>
    <x v="1"/>
    <x v="2"/>
    <n v="0"/>
    <n v="1"/>
    <n v="0.42"/>
  </r>
  <r>
    <s v="ORD-10283"/>
    <s v="07-Sep-2024"/>
    <x v="7"/>
    <x v="1"/>
    <s v="Children"/>
    <s v="Children - Model 402"/>
    <s v="Bangalore"/>
    <s v="South"/>
    <n v="2"/>
    <n v="4475"/>
    <n v="2640"/>
    <n v="0.41"/>
    <n v="2868"/>
    <n v="-456"/>
    <n v="-8.6363636363636365E-2"/>
    <n v="102"/>
    <n v="-660"/>
    <n v="-0.125"/>
    <x v="1"/>
    <x v="3"/>
    <n v="1"/>
    <n v="1"/>
    <n v="0.92399999999999993"/>
  </r>
  <r>
    <s v="ORD-10284"/>
    <s v="27-Feb-2024"/>
    <x v="4"/>
    <x v="3"/>
    <s v="Oil"/>
    <s v="Oil - Model 192"/>
    <s v="Jaipur"/>
    <s v="North"/>
    <n v="3"/>
    <n v="5844"/>
    <n v="5552"/>
    <n v="0.05"/>
    <n v="2861"/>
    <n v="8073"/>
    <n v="0.48469020172910665"/>
    <n v="65"/>
    <n v="7878"/>
    <n v="0.47298270893371758"/>
    <x v="4"/>
    <x v="0"/>
    <n v="0"/>
    <n v="0"/>
    <n v="6.9999999999999993E-2"/>
  </r>
  <r>
    <s v="ORD-10285"/>
    <s v="28-Mar-2024"/>
    <x v="2"/>
    <x v="0"/>
    <s v="Headphones"/>
    <s v="Headphones - Model 468"/>
    <s v="Kolkata"/>
    <s v="East"/>
    <n v="14"/>
    <n v="5961"/>
    <n v="5723"/>
    <n v="0.04"/>
    <n v="3966"/>
    <n v="24598"/>
    <n v="0.30700681460772322"/>
    <n v="37"/>
    <n v="24080"/>
    <n v="0.30054167394723047"/>
    <x v="1"/>
    <x v="0"/>
    <n v="0"/>
    <n v="1"/>
    <n v="0.40599999999999997"/>
  </r>
  <r>
    <s v="ORD-10286"/>
    <s v="15-Jun-2024"/>
    <x v="5"/>
    <x v="2"/>
    <s v="Shoes"/>
    <s v="Shoes - Model 481"/>
    <s v="Kolkata"/>
    <s v="East"/>
    <n v="6"/>
    <n v="1088"/>
    <n v="892"/>
    <n v="0.18"/>
    <n v="609"/>
    <n v="1698"/>
    <n v="0.31726457399103142"/>
    <n v="155"/>
    <n v="768"/>
    <n v="0.14349775784753363"/>
    <x v="0"/>
    <x v="0"/>
    <n v="0"/>
    <n v="0"/>
    <n v="0.252"/>
  </r>
  <r>
    <s v="ORD-10287"/>
    <s v="04-Mar-2024"/>
    <x v="2"/>
    <x v="6"/>
    <s v="Mixer"/>
    <s v="Mixer - Model 964"/>
    <s v="Bangalore"/>
    <s v="South"/>
    <n v="4"/>
    <n v="3445"/>
    <n v="2515"/>
    <n v="0.27"/>
    <n v="2345"/>
    <n v="680"/>
    <n v="6.7594433399602388E-2"/>
    <n v="132"/>
    <n v="152"/>
    <n v="1.5109343936381709E-2"/>
    <x v="1"/>
    <x v="2"/>
    <n v="0"/>
    <n v="1"/>
    <n v="0.72799999999999998"/>
  </r>
  <r>
    <s v="ORD-10288"/>
    <s v="01-Oct-2024"/>
    <x v="11"/>
    <x v="6"/>
    <s v="Curtain"/>
    <s v="Curtain - Model 599"/>
    <s v="Delhi"/>
    <s v="North"/>
    <n v="14"/>
    <n v="3637"/>
    <n v="3528"/>
    <n v="0.03"/>
    <n v="2289"/>
    <n v="17346"/>
    <n v="0.35119047619047616"/>
    <n v="32"/>
    <n v="16898"/>
    <n v="0.34212018140589567"/>
    <x v="3"/>
    <x v="0"/>
    <n v="0"/>
    <n v="0"/>
    <n v="4.1999999999999996E-2"/>
  </r>
  <r>
    <s v="ORD-10289"/>
    <s v="08-Oct-2024"/>
    <x v="11"/>
    <x v="1"/>
    <s v="Comic"/>
    <s v="Comic - Model 635"/>
    <s v="Lucknow"/>
    <s v="North"/>
    <n v="4"/>
    <n v="3576"/>
    <n v="2396"/>
    <n v="0.33"/>
    <n v="2034"/>
    <n v="1448"/>
    <n v="0.15108514190317196"/>
    <n v="130"/>
    <n v="928"/>
    <n v="9.6828046744574292E-2"/>
    <x v="0"/>
    <x v="3"/>
    <n v="1"/>
    <n v="0"/>
    <n v="0.46199999999999997"/>
  </r>
  <r>
    <s v="ORD-10290"/>
    <s v="02-Oct-2024"/>
    <x v="11"/>
    <x v="0"/>
    <s v="Laptop"/>
    <s v="Laptop - Model 617"/>
    <s v="Ahmedabad"/>
    <s v="West"/>
    <n v="16"/>
    <n v="6981"/>
    <n v="6772"/>
    <n v="0.03"/>
    <n v="3994"/>
    <n v="44448"/>
    <n v="0.41021854695806259"/>
    <n v="66"/>
    <n v="43392"/>
    <n v="0.40047253396337862"/>
    <x v="4"/>
    <x v="0"/>
    <n v="0"/>
    <n v="0"/>
    <n v="4.1999999999999996E-2"/>
  </r>
  <r>
    <s v="ORD-10291"/>
    <s v="13-Nov-2024"/>
    <x v="0"/>
    <x v="4"/>
    <s v="Board Game"/>
    <s v="Board Game - Model 180"/>
    <s v="Ahmedabad"/>
    <s v="West"/>
    <n v="15"/>
    <n v="6450"/>
    <n v="5160"/>
    <n v="0.2"/>
    <n v="4514"/>
    <n v="9690"/>
    <n v="0.1251937984496124"/>
    <n v="97"/>
    <n v="8235"/>
    <n v="0.1063953488372093"/>
    <x v="2"/>
    <x v="0"/>
    <n v="0"/>
    <n v="0"/>
    <n v="0.27999999999999997"/>
  </r>
  <r>
    <s v="ORD-10292"/>
    <s v="04-Jan-2024"/>
    <x v="9"/>
    <x v="4"/>
    <s v="Remote Car"/>
    <s v="Remote Car - Model 136"/>
    <s v="Jaipur"/>
    <s v="North"/>
    <n v="18"/>
    <n v="201"/>
    <n v="193"/>
    <n v="0.04"/>
    <n v="123"/>
    <n v="1260"/>
    <n v="0.36269430051813473"/>
    <n v="123"/>
    <n v="-954"/>
    <n v="-0.27461139896373055"/>
    <x v="4"/>
    <x v="0"/>
    <n v="0"/>
    <n v="0"/>
    <n v="5.5999999999999994E-2"/>
  </r>
  <r>
    <s v="ORD-10293"/>
    <s v="22-Nov-2024"/>
    <x v="0"/>
    <x v="3"/>
    <s v="Rice"/>
    <s v="Rice - Model 472"/>
    <s v="Mumbai"/>
    <s v="West"/>
    <n v="8"/>
    <n v="6786"/>
    <n v="5768"/>
    <n v="0.15"/>
    <n v="4537"/>
    <n v="9848"/>
    <n v="0.21341886269070734"/>
    <n v="120"/>
    <n v="8888"/>
    <n v="0.19261442441054091"/>
    <x v="4"/>
    <x v="0"/>
    <n v="0"/>
    <n v="0"/>
    <n v="0.21"/>
  </r>
  <r>
    <s v="ORD-10294"/>
    <s v="08-Nov-2024"/>
    <x v="0"/>
    <x v="0"/>
    <s v="Headphones"/>
    <s v="Headphones - Model 463"/>
    <s v="Chennai"/>
    <s v="South"/>
    <n v="18"/>
    <n v="4271"/>
    <n v="2904"/>
    <n v="0.32"/>
    <n v="1777"/>
    <n v="20286"/>
    <n v="0.38808539944903581"/>
    <n v="55"/>
    <n v="19296"/>
    <n v="0.36914600550964188"/>
    <x v="1"/>
    <x v="3"/>
    <n v="1"/>
    <n v="1"/>
    <n v="0.79799999999999993"/>
  </r>
  <r>
    <s v="ORD-10295"/>
    <s v="04-Jul-2024"/>
    <x v="3"/>
    <x v="2"/>
    <s v="Cycle"/>
    <s v="Cycle - Model 300"/>
    <s v="Hyderabad"/>
    <s v="South"/>
    <n v="4"/>
    <n v="7456"/>
    <n v="6114"/>
    <n v="0.18"/>
    <n v="4175"/>
    <n v="7756"/>
    <n v="0.3171409878966307"/>
    <n v="147"/>
    <n v="7168"/>
    <n v="0.2930978083087995"/>
    <x v="4"/>
    <x v="0"/>
    <n v="0"/>
    <n v="0"/>
    <n v="0.252"/>
  </r>
  <r>
    <s v="ORD-10296"/>
    <s v="27-Nov-2024"/>
    <x v="0"/>
    <x v="7"/>
    <s v="Shoes"/>
    <s v="Shoes - Model 568"/>
    <s v="Lucknow"/>
    <s v="North"/>
    <n v="17"/>
    <n v="1250"/>
    <n v="975"/>
    <n v="0.22"/>
    <n v="732"/>
    <n v="4131"/>
    <n v="0.24923076923076923"/>
    <n v="37"/>
    <n v="3502"/>
    <n v="0.21128205128205127"/>
    <x v="0"/>
    <x v="0"/>
    <n v="0"/>
    <n v="0"/>
    <n v="0.308"/>
  </r>
  <r>
    <s v="ORD-10297"/>
    <s v="25-Sep-2024"/>
    <x v="7"/>
    <x v="6"/>
    <s v="Lamp"/>
    <s v="Lamp - Model 277"/>
    <s v="Bangalore"/>
    <s v="South"/>
    <n v="4"/>
    <n v="3222"/>
    <n v="2352"/>
    <n v="0.27"/>
    <n v="2284"/>
    <n v="272"/>
    <n v="2.8911564625850341E-2"/>
    <n v="106"/>
    <n v="-152"/>
    <n v="-1.6156462585034014E-2"/>
    <x v="0"/>
    <x v="0"/>
    <n v="0"/>
    <n v="0"/>
    <n v="0.378"/>
  </r>
  <r>
    <s v="ORD-10298"/>
    <s v="25-Dec-2024"/>
    <x v="10"/>
    <x v="5"/>
    <s v="Lipstick"/>
    <s v="Lipstick - Model 507"/>
    <s v="Kolkata"/>
    <s v="East"/>
    <n v="10"/>
    <n v="3732"/>
    <n v="3508"/>
    <n v="0.06"/>
    <n v="2032"/>
    <n v="14760"/>
    <n v="0.4207525655644242"/>
    <n v="135"/>
    <n v="13410"/>
    <n v="0.38226909920182439"/>
    <x v="3"/>
    <x v="0"/>
    <n v="0"/>
    <n v="0"/>
    <n v="8.3999999999999991E-2"/>
  </r>
  <r>
    <s v="ORD-10299"/>
    <s v="23-Jun-2024"/>
    <x v="5"/>
    <x v="5"/>
    <s v="Serum"/>
    <s v="Serum - Model 314"/>
    <s v="Lucknow"/>
    <s v="North"/>
    <n v="10"/>
    <n v="5556"/>
    <n v="3278"/>
    <n v="0.41"/>
    <n v="2480"/>
    <n v="7980"/>
    <n v="0.24344112263575352"/>
    <n v="137"/>
    <n v="6610"/>
    <n v="0.20164734594264797"/>
    <x v="1"/>
    <x v="3"/>
    <n v="1"/>
    <n v="1"/>
    <n v="0.92399999999999993"/>
  </r>
  <r>
    <s v="ORD-10300"/>
    <s v="23-Jun-2024"/>
    <x v="5"/>
    <x v="7"/>
    <s v="Saree"/>
    <s v="Saree - Model 675"/>
    <s v="Ahmedabad"/>
    <s v="West"/>
    <n v="19"/>
    <n v="4651"/>
    <n v="3256"/>
    <n v="0.3"/>
    <n v="2540"/>
    <n v="13604"/>
    <n v="0.21990171990171989"/>
    <n v="142"/>
    <n v="10906"/>
    <n v="0.17628992628992629"/>
    <x v="3"/>
    <x v="2"/>
    <n v="0"/>
    <n v="0"/>
    <n v="0.42"/>
  </r>
  <r>
    <s v="ORD-10301"/>
    <s v="17-Jan-2024"/>
    <x v="9"/>
    <x v="7"/>
    <s v="Kurta"/>
    <s v="Kurta - Model 490"/>
    <s v="Bangalore"/>
    <s v="South"/>
    <n v="2"/>
    <n v="5428"/>
    <n v="4939"/>
    <n v="0.09"/>
    <n v="3596"/>
    <n v="2686"/>
    <n v="0.27191739218465277"/>
    <n v="54"/>
    <n v="2578"/>
    <n v="0.26098400485928325"/>
    <x v="4"/>
    <x v="0"/>
    <n v="0"/>
    <n v="0"/>
    <n v="0.126"/>
  </r>
  <r>
    <s v="ORD-10302"/>
    <s v="23-Jan-2024"/>
    <x v="9"/>
    <x v="2"/>
    <s v="Cricket Bat"/>
    <s v="Cricket Bat - Model 871"/>
    <s v="Jaipur"/>
    <s v="North"/>
    <n v="2"/>
    <n v="2998"/>
    <n v="2398"/>
    <n v="0.2"/>
    <n v="1846"/>
    <n v="1104"/>
    <n v="0.23019182652210174"/>
    <n v="131"/>
    <n v="842"/>
    <n v="0.17556296914095079"/>
    <x v="3"/>
    <x v="0"/>
    <n v="0"/>
    <n v="0"/>
    <n v="0.27999999999999997"/>
  </r>
  <r>
    <s v="ORD-10303"/>
    <s v="13-Sep-2024"/>
    <x v="7"/>
    <x v="5"/>
    <s v="Sunscreen"/>
    <s v="Sunscreen - Model 903"/>
    <s v="Chennai"/>
    <s v="South"/>
    <n v="2"/>
    <n v="7427"/>
    <n v="6164"/>
    <n v="0.17"/>
    <n v="5458"/>
    <n v="1412"/>
    <n v="0.1145360155743024"/>
    <n v="176"/>
    <n v="1060"/>
    <n v="8.5983127839065546E-2"/>
    <x v="4"/>
    <x v="0"/>
    <n v="0"/>
    <n v="0"/>
    <n v="0.23799999999999999"/>
  </r>
  <r>
    <s v="ORD-10304"/>
    <s v="09-Dec-2024"/>
    <x v="10"/>
    <x v="5"/>
    <s v="Sunscreen"/>
    <s v="Sunscreen - Model 989"/>
    <s v="Ahmedabad"/>
    <s v="West"/>
    <n v="8"/>
    <n v="7310"/>
    <n v="4971"/>
    <n v="0.32"/>
    <n v="4581"/>
    <n v="3120"/>
    <n v="7.8455039227519618E-2"/>
    <n v="143"/>
    <n v="1976"/>
    <n v="4.9688191510762425E-2"/>
    <x v="3"/>
    <x v="0"/>
    <n v="0"/>
    <n v="0"/>
    <n v="0.44799999999999995"/>
  </r>
  <r>
    <s v="ORD-10305"/>
    <s v="07-Dec-2024"/>
    <x v="10"/>
    <x v="2"/>
    <s v="Dumbbells"/>
    <s v="Dumbbells - Model 281"/>
    <s v="Delhi"/>
    <s v="North"/>
    <n v="6"/>
    <n v="7707"/>
    <n v="5164"/>
    <n v="0.33"/>
    <n v="3405"/>
    <n v="10554"/>
    <n v="0.34062742060418283"/>
    <n v="36"/>
    <n v="10338"/>
    <n v="0.33365608055770718"/>
    <x v="4"/>
    <x v="0"/>
    <n v="0"/>
    <n v="0"/>
    <n v="0.46199999999999997"/>
  </r>
  <r>
    <s v="ORD-10306"/>
    <s v="28-Oct-2024"/>
    <x v="11"/>
    <x v="2"/>
    <s v="Shoes"/>
    <s v="Shoes - Model 438"/>
    <s v="Ahmedabad"/>
    <s v="West"/>
    <n v="5"/>
    <n v="512"/>
    <n v="297"/>
    <n v="0.42"/>
    <n v="312"/>
    <n v="-75"/>
    <n v="-5.0505050505050504E-2"/>
    <n v="146"/>
    <n v="-805"/>
    <n v="-0.54208754208754206"/>
    <x v="3"/>
    <x v="0"/>
    <n v="0"/>
    <n v="0"/>
    <n v="0.58799999999999997"/>
  </r>
  <r>
    <s v="ORD-10307"/>
    <s v="18-Oct-2024"/>
    <x v="11"/>
    <x v="1"/>
    <s v="Fiction"/>
    <s v="Fiction - Model 902"/>
    <s v="Kolkata"/>
    <s v="East"/>
    <n v="17"/>
    <n v="1916"/>
    <n v="1763"/>
    <n v="0.08"/>
    <n v="812"/>
    <n v="16167"/>
    <n v="0.53942144072603515"/>
    <n v="106"/>
    <n v="14365"/>
    <n v="0.47929665343165062"/>
    <x v="0"/>
    <x v="0"/>
    <n v="0"/>
    <n v="0"/>
    <n v="0.11199999999999999"/>
  </r>
  <r>
    <s v="ORD-10308"/>
    <s v="08-Jun-2024"/>
    <x v="5"/>
    <x v="5"/>
    <s v="Lipstick"/>
    <s v="Lipstick - Model 439"/>
    <s v="Kolkata"/>
    <s v="East"/>
    <n v="10"/>
    <n v="1904"/>
    <n v="1257"/>
    <n v="0.34"/>
    <n v="1115"/>
    <n v="1420"/>
    <n v="0.11296738265712013"/>
    <n v="179"/>
    <n v="-370"/>
    <n v="-2.94351630867144E-2"/>
    <x v="2"/>
    <x v="0"/>
    <n v="0"/>
    <n v="0"/>
    <n v="0.47599999999999998"/>
  </r>
  <r>
    <s v="ORD-10309"/>
    <s v="21-Apr-2024"/>
    <x v="1"/>
    <x v="5"/>
    <s v="Moisturizer"/>
    <s v="Moisturizer - Model 798"/>
    <s v="Kolkata"/>
    <s v="East"/>
    <n v="13"/>
    <n v="7344"/>
    <n v="4186"/>
    <n v="0.43"/>
    <n v="3929"/>
    <n v="3341"/>
    <n v="6.139512661251792E-2"/>
    <n v="111"/>
    <n v="1898"/>
    <n v="3.487816531294792E-2"/>
    <x v="4"/>
    <x v="0"/>
    <n v="0"/>
    <n v="0"/>
    <n v="0.60199999999999998"/>
  </r>
  <r>
    <s v="ORD-10310"/>
    <s v="17-Jun-2024"/>
    <x v="5"/>
    <x v="3"/>
    <s v="Pulses"/>
    <s v="Pulses - Model 144"/>
    <s v="Chennai"/>
    <s v="South"/>
    <n v="7"/>
    <n v="2698"/>
    <n v="2590"/>
    <n v="0.04"/>
    <n v="1170"/>
    <n v="9940"/>
    <n v="0.54826254826254828"/>
    <n v="176"/>
    <n v="8708"/>
    <n v="0.4803088803088803"/>
    <x v="3"/>
    <x v="0"/>
    <n v="0"/>
    <n v="0"/>
    <n v="5.5999999999999994E-2"/>
  </r>
  <r>
    <s v="ORD-10311"/>
    <s v="22-Apr-2024"/>
    <x v="1"/>
    <x v="5"/>
    <s v="Perfume"/>
    <s v="Perfume - Model 955"/>
    <s v="Delhi"/>
    <s v="North"/>
    <n v="7"/>
    <n v="4394"/>
    <n v="2988"/>
    <n v="0.32"/>
    <n v="3259"/>
    <n v="-1897"/>
    <n v="-9.0696117804551543E-2"/>
    <n v="146"/>
    <n v="-2919"/>
    <n v="-0.13955823293172689"/>
    <x v="2"/>
    <x v="0"/>
    <n v="0"/>
    <n v="0"/>
    <n v="0.44799999999999995"/>
  </r>
  <r>
    <s v="ORD-10312"/>
    <s v="23-Aug-2024"/>
    <x v="8"/>
    <x v="1"/>
    <s v="Fiction"/>
    <s v="Fiction - Model 189"/>
    <s v="Delhi"/>
    <s v="North"/>
    <n v="2"/>
    <n v="1588"/>
    <n v="1413"/>
    <n v="0.11"/>
    <n v="674"/>
    <n v="1478"/>
    <n v="0.52300070771408347"/>
    <n v="153"/>
    <n v="1172"/>
    <n v="0.41472045293701343"/>
    <x v="4"/>
    <x v="0"/>
    <n v="0"/>
    <n v="0"/>
    <n v="0.154"/>
  </r>
  <r>
    <s v="ORD-10313"/>
    <s v="14-Jul-2024"/>
    <x v="3"/>
    <x v="1"/>
    <s v="Fiction"/>
    <s v="Fiction - Model 498"/>
    <s v="Delhi"/>
    <s v="North"/>
    <n v="18"/>
    <n v="246"/>
    <n v="167"/>
    <n v="0.32"/>
    <n v="104"/>
    <n v="1134"/>
    <n v="0.3772455089820359"/>
    <n v="142"/>
    <n v="-1422"/>
    <n v="-0.47305389221556887"/>
    <x v="2"/>
    <x v="0"/>
    <n v="0"/>
    <n v="0"/>
    <n v="0.44799999999999995"/>
  </r>
  <r>
    <s v="ORD-10314"/>
    <s v="04-Sep-2024"/>
    <x v="7"/>
    <x v="2"/>
    <s v="Yoga Mat"/>
    <s v="Yoga Mat - Model 721"/>
    <s v="Delhi"/>
    <s v="North"/>
    <n v="10"/>
    <n v="6169"/>
    <n v="4935"/>
    <n v="0.2"/>
    <n v="3321"/>
    <n v="16140"/>
    <n v="0.32705167173252281"/>
    <n v="129"/>
    <n v="14850"/>
    <n v="0.30091185410334348"/>
    <x v="0"/>
    <x v="0"/>
    <n v="0"/>
    <n v="0"/>
    <n v="0.27999999999999997"/>
  </r>
  <r>
    <s v="ORD-10315"/>
    <s v="13-Dec-2024"/>
    <x v="10"/>
    <x v="2"/>
    <s v="Cricket Bat"/>
    <s v="Cricket Bat - Model 405"/>
    <s v="Kolkata"/>
    <s v="East"/>
    <n v="1"/>
    <n v="4517"/>
    <n v="3388"/>
    <n v="0.25"/>
    <n v="2002"/>
    <n v="1386"/>
    <n v="0.40909090909090912"/>
    <n v="31"/>
    <n v="1355"/>
    <n v="0.39994096812278629"/>
    <x v="3"/>
    <x v="0"/>
    <n v="0"/>
    <n v="0"/>
    <n v="0.35"/>
  </r>
  <r>
    <s v="ORD-10316"/>
    <s v="10-Feb-2024"/>
    <x v="4"/>
    <x v="5"/>
    <s v="Lipstick"/>
    <s v="Lipstick - Model 316"/>
    <s v="Pune"/>
    <s v="West"/>
    <n v="17"/>
    <n v="1311"/>
    <n v="1206"/>
    <n v="0.08"/>
    <n v="807"/>
    <n v="6783"/>
    <n v="0.3308457711442786"/>
    <n v="68"/>
    <n v="5627"/>
    <n v="0.2744610281923715"/>
    <x v="2"/>
    <x v="3"/>
    <n v="1"/>
    <n v="0"/>
    <n v="0.11199999999999999"/>
  </r>
  <r>
    <s v="ORD-10317"/>
    <s v="28-Jan-2024"/>
    <x v="9"/>
    <x v="3"/>
    <s v="Spices"/>
    <s v="Spices - Model 174"/>
    <s v="Chennai"/>
    <s v="South"/>
    <n v="3"/>
    <n v="2155"/>
    <n v="1961"/>
    <n v="0.09"/>
    <n v="1300"/>
    <n v="1983"/>
    <n v="0.33707292197858235"/>
    <n v="173"/>
    <n v="1464"/>
    <n v="0.24885262621111678"/>
    <x v="4"/>
    <x v="0"/>
    <n v="0"/>
    <n v="0"/>
    <n v="0.126"/>
  </r>
  <r>
    <s v="ORD-10318"/>
    <s v="10-Feb-2024"/>
    <x v="4"/>
    <x v="7"/>
    <s v="Jeans"/>
    <s v="Jeans - Model 425"/>
    <s v="Ahmedabad"/>
    <s v="West"/>
    <n v="15"/>
    <n v="2761"/>
    <n v="1933"/>
    <n v="0.3"/>
    <n v="1775"/>
    <n v="2370"/>
    <n v="8.1738230729436104E-2"/>
    <n v="53"/>
    <n v="1575"/>
    <n v="5.4319710294878427E-2"/>
    <x v="3"/>
    <x v="0"/>
    <n v="0"/>
    <n v="0"/>
    <n v="0.42"/>
  </r>
  <r>
    <s v="ORD-10319"/>
    <s v="06-Jul-2024"/>
    <x v="3"/>
    <x v="0"/>
    <s v="Headphones"/>
    <s v="Headphones - Model 352"/>
    <s v="Hyderabad"/>
    <s v="South"/>
    <n v="14"/>
    <n v="2358"/>
    <n v="1981"/>
    <n v="0.16"/>
    <n v="1504"/>
    <n v="6678"/>
    <n v="0.24078748107016659"/>
    <n v="80"/>
    <n v="5558"/>
    <n v="0.20040383644623927"/>
    <x v="0"/>
    <x v="0"/>
    <n v="0"/>
    <n v="0"/>
    <n v="0.22399999999999998"/>
  </r>
  <r>
    <s v="ORD-10320"/>
    <s v="16-May-2024"/>
    <x v="6"/>
    <x v="7"/>
    <s v="Jeans"/>
    <s v="Jeans - Model 761"/>
    <s v="Lucknow"/>
    <s v="North"/>
    <n v="3"/>
    <n v="6766"/>
    <n v="4127"/>
    <n v="0.39"/>
    <n v="3038"/>
    <n v="3267"/>
    <n v="0.26387206203053065"/>
    <n v="111"/>
    <n v="2934"/>
    <n v="0.23697601163072449"/>
    <x v="4"/>
    <x v="0"/>
    <n v="0"/>
    <n v="0"/>
    <n v="0.54599999999999993"/>
  </r>
  <r>
    <s v="ORD-10321"/>
    <s v="03-Dec-2024"/>
    <x v="10"/>
    <x v="0"/>
    <s v="Tablet"/>
    <s v="Tablet - Model 746"/>
    <s v="Mumbai"/>
    <s v="West"/>
    <n v="19"/>
    <n v="4715"/>
    <n v="3065"/>
    <n v="0.35"/>
    <n v="2237"/>
    <n v="15732"/>
    <n v="0.27014681892332787"/>
    <n v="35"/>
    <n v="15067"/>
    <n v="0.25872756933115826"/>
    <x v="4"/>
    <x v="1"/>
    <n v="0"/>
    <n v="0"/>
    <n v="0.48999999999999994"/>
  </r>
  <r>
    <s v="ORD-10322"/>
    <s v="21-Aug-2024"/>
    <x v="8"/>
    <x v="6"/>
    <s v="Bedsheet"/>
    <s v="Bedsheet - Model 501"/>
    <s v="Hyderabad"/>
    <s v="South"/>
    <n v="19"/>
    <n v="5919"/>
    <n v="5150"/>
    <n v="0.13"/>
    <n v="3330"/>
    <n v="34580"/>
    <n v="0.35339805825242721"/>
    <n v="107"/>
    <n v="32547"/>
    <n v="0.33262135922330099"/>
    <x v="0"/>
    <x v="0"/>
    <n v="0"/>
    <n v="0"/>
    <n v="0.182"/>
  </r>
  <r>
    <s v="ORD-10323"/>
    <s v="28-Apr-2024"/>
    <x v="1"/>
    <x v="6"/>
    <s v="Lamp"/>
    <s v="Lamp - Model 243"/>
    <s v="Ahmedabad"/>
    <s v="West"/>
    <n v="6"/>
    <n v="1597"/>
    <n v="910"/>
    <n v="0.43"/>
    <n v="1007"/>
    <n v="-582"/>
    <n v="-0.10659340659340659"/>
    <n v="175"/>
    <n v="-1632"/>
    <n v="-0.29890109890109889"/>
    <x v="0"/>
    <x v="0"/>
    <n v="0"/>
    <n v="0"/>
    <n v="0.60199999999999998"/>
  </r>
  <r>
    <s v="ORD-10324"/>
    <s v="08-Aug-2024"/>
    <x v="8"/>
    <x v="7"/>
    <s v="Saree"/>
    <s v="Saree - Model 478"/>
    <s v="Hyderabad"/>
    <s v="South"/>
    <n v="2"/>
    <n v="5415"/>
    <n v="4170"/>
    <n v="0.23"/>
    <n v="3666"/>
    <n v="1008"/>
    <n v="0.12086330935251799"/>
    <n v="88"/>
    <n v="832"/>
    <n v="9.976019184652278E-2"/>
    <x v="0"/>
    <x v="0"/>
    <n v="0"/>
    <n v="0"/>
    <n v="0.32200000000000001"/>
  </r>
  <r>
    <s v="ORD-10325"/>
    <s v="11-Nov-2024"/>
    <x v="0"/>
    <x v="7"/>
    <s v="Jacket"/>
    <s v="Jacket - Model 748"/>
    <s v="Chennai"/>
    <s v="South"/>
    <n v="9"/>
    <n v="4713"/>
    <n v="3488"/>
    <n v="0.26"/>
    <n v="2507"/>
    <n v="8829"/>
    <n v="0.28125"/>
    <n v="87"/>
    <n v="8046"/>
    <n v="0.25630733944954126"/>
    <x v="3"/>
    <x v="2"/>
    <n v="0"/>
    <n v="0"/>
    <n v="0.36399999999999999"/>
  </r>
  <r>
    <s v="ORD-10326"/>
    <s v="09-Sep-2024"/>
    <x v="7"/>
    <x v="4"/>
    <s v="Board Game"/>
    <s v="Board Game - Model 628"/>
    <s v="Pune"/>
    <s v="West"/>
    <n v="12"/>
    <n v="6574"/>
    <n v="5522"/>
    <n v="0.16"/>
    <n v="4453"/>
    <n v="12828"/>
    <n v="0.19358927924664976"/>
    <n v="163"/>
    <n v="10872"/>
    <n v="0.16407098877218398"/>
    <x v="2"/>
    <x v="0"/>
    <n v="0"/>
    <n v="0"/>
    <n v="0.22399999999999998"/>
  </r>
  <r>
    <s v="ORD-10327"/>
    <s v="08-Mar-2024"/>
    <x v="2"/>
    <x v="7"/>
    <s v="Jacket"/>
    <s v="Jacket - Model 758"/>
    <s v="Chennai"/>
    <s v="South"/>
    <n v="7"/>
    <n v="1372"/>
    <n v="1276"/>
    <n v="7.0000000000000007E-2"/>
    <n v="838"/>
    <n v="3066"/>
    <n v="0.34326018808777431"/>
    <n v="153"/>
    <n v="1995"/>
    <n v="0.22335423197492163"/>
    <x v="1"/>
    <x v="0"/>
    <n v="0"/>
    <n v="1"/>
    <n v="0.44799999999999995"/>
  </r>
  <r>
    <s v="ORD-10328"/>
    <s v="16-Feb-2024"/>
    <x v="4"/>
    <x v="3"/>
    <s v="Pulses"/>
    <s v="Pulses - Model 315"/>
    <s v="Lucknow"/>
    <s v="North"/>
    <n v="6"/>
    <n v="5249"/>
    <n v="4304"/>
    <n v="0.18"/>
    <n v="2547"/>
    <n v="10542"/>
    <n v="0.40822490706319703"/>
    <n v="49"/>
    <n v="10248"/>
    <n v="0.39684014869888473"/>
    <x v="3"/>
    <x v="0"/>
    <n v="0"/>
    <n v="0"/>
    <n v="0.252"/>
  </r>
  <r>
    <s v="ORD-10329"/>
    <s v="19-Jan-2024"/>
    <x v="9"/>
    <x v="6"/>
    <s v="Mixer"/>
    <s v="Mixer - Model 270"/>
    <s v="Chennai"/>
    <s v="South"/>
    <n v="6"/>
    <n v="4230"/>
    <n v="3469"/>
    <n v="0.18"/>
    <n v="3127"/>
    <n v="2052"/>
    <n v="9.8587489189968291E-2"/>
    <n v="126"/>
    <n v="1296"/>
    <n v="6.2265782646295766E-2"/>
    <x v="4"/>
    <x v="0"/>
    <n v="0"/>
    <n v="0"/>
    <n v="0.252"/>
  </r>
  <r>
    <s v="ORD-10330"/>
    <s v="16-Oct-2024"/>
    <x v="11"/>
    <x v="3"/>
    <s v="Oil"/>
    <s v="Oil - Model 324"/>
    <s v="Pune"/>
    <s v="West"/>
    <n v="20"/>
    <n v="1313"/>
    <n v="972"/>
    <n v="0.26"/>
    <n v="878"/>
    <n v="1880"/>
    <n v="9.6707818930041156E-2"/>
    <n v="123"/>
    <n v="-580"/>
    <n v="-2.9835390946502057E-2"/>
    <x v="3"/>
    <x v="0"/>
    <n v="0"/>
    <n v="0"/>
    <n v="0.36399999999999999"/>
  </r>
  <r>
    <s v="ORD-10331"/>
    <s v="15-Jun-2024"/>
    <x v="5"/>
    <x v="7"/>
    <s v="Jeans"/>
    <s v="Jeans - Model 487"/>
    <s v="Pune"/>
    <s v="West"/>
    <n v="5"/>
    <n v="1047"/>
    <n v="953"/>
    <n v="0.09"/>
    <n v="734"/>
    <n v="1095"/>
    <n v="0.229800629590766"/>
    <n v="106"/>
    <n v="565"/>
    <n v="0.11857292759706191"/>
    <x v="0"/>
    <x v="0"/>
    <n v="0"/>
    <n v="0"/>
    <n v="0.126"/>
  </r>
  <r>
    <s v="ORD-10332"/>
    <s v="16-Mar-2024"/>
    <x v="2"/>
    <x v="0"/>
    <s v="Tablet"/>
    <s v="Tablet - Model 615"/>
    <s v="Delhi"/>
    <s v="North"/>
    <n v="3"/>
    <n v="3961"/>
    <n v="3723"/>
    <n v="0.06"/>
    <n v="2421"/>
    <n v="3906"/>
    <n v="0.34971796937953264"/>
    <n v="154"/>
    <n v="3444"/>
    <n v="0.30835347837765242"/>
    <x v="0"/>
    <x v="0"/>
    <n v="0"/>
    <n v="0"/>
    <n v="8.3999999999999991E-2"/>
  </r>
  <r>
    <s v="ORD-10333"/>
    <s v="23-Jan-2024"/>
    <x v="9"/>
    <x v="4"/>
    <s v="Board Game"/>
    <s v="Board Game - Model 921"/>
    <s v="Ahmedabad"/>
    <s v="West"/>
    <n v="13"/>
    <n v="2934"/>
    <n v="1878"/>
    <n v="0.36"/>
    <n v="2106"/>
    <n v="-2964"/>
    <n v="-0.12140575079872204"/>
    <n v="156"/>
    <n v="-4992"/>
    <n v="-0.20447284345047922"/>
    <x v="3"/>
    <x v="0"/>
    <n v="0"/>
    <n v="0"/>
    <n v="0.504"/>
  </r>
  <r>
    <s v="ORD-10334"/>
    <s v="25-Aug-2024"/>
    <x v="8"/>
    <x v="5"/>
    <s v="Moisturizer"/>
    <s v="Moisturizer - Model 390"/>
    <s v="Lucknow"/>
    <s v="North"/>
    <n v="18"/>
    <n v="3387"/>
    <n v="3082"/>
    <n v="0.09"/>
    <n v="2195"/>
    <n v="15966"/>
    <n v="0.28780012978585334"/>
    <n v="148"/>
    <n v="13302"/>
    <n v="0.23977936404931863"/>
    <x v="3"/>
    <x v="0"/>
    <n v="0"/>
    <n v="0"/>
    <n v="0.126"/>
  </r>
  <r>
    <s v="ORD-10335"/>
    <s v="21-Jul-2024"/>
    <x v="3"/>
    <x v="5"/>
    <s v="Lipstick"/>
    <s v="Lipstick - Model 518"/>
    <s v="Kolkata"/>
    <s v="East"/>
    <n v="4"/>
    <n v="1407"/>
    <n v="999"/>
    <n v="0.28999999999999998"/>
    <n v="688"/>
    <n v="1244"/>
    <n v="0.31131131131131129"/>
    <n v="158"/>
    <n v="612"/>
    <n v="0.15315315315315314"/>
    <x v="0"/>
    <x v="0"/>
    <n v="0"/>
    <n v="0"/>
    <n v="0.40599999999999997"/>
  </r>
  <r>
    <s v="ORD-10336"/>
    <s v="13-Nov-2024"/>
    <x v="0"/>
    <x v="5"/>
    <s v="Perfume"/>
    <s v="Perfume - Model 665"/>
    <s v="Jaipur"/>
    <s v="North"/>
    <n v="16"/>
    <n v="1594"/>
    <n v="1196"/>
    <n v="0.25"/>
    <n v="907"/>
    <n v="4624"/>
    <n v="0.24163879598662208"/>
    <n v="178"/>
    <n v="1776"/>
    <n v="9.2809364548494977E-2"/>
    <x v="3"/>
    <x v="0"/>
    <n v="0"/>
    <n v="0"/>
    <n v="0.35"/>
  </r>
  <r>
    <s v="ORD-10337"/>
    <s v="05-Dec-2024"/>
    <x v="10"/>
    <x v="7"/>
    <s v="Jeans"/>
    <s v="Jeans - Model 557"/>
    <s v="Bangalore"/>
    <s v="South"/>
    <n v="4"/>
    <n v="1873"/>
    <n v="1536"/>
    <n v="0.18"/>
    <n v="971"/>
    <n v="2260"/>
    <n v="0.36783854166666669"/>
    <n v="113"/>
    <n v="1808"/>
    <n v="0.29427083333333331"/>
    <x v="2"/>
    <x v="1"/>
    <n v="0"/>
    <n v="0"/>
    <n v="0.252"/>
  </r>
  <r>
    <s v="ORD-10338"/>
    <s v="26-Jan-2024"/>
    <x v="9"/>
    <x v="7"/>
    <s v="Jeans"/>
    <s v="Jeans - Model 582"/>
    <s v="Lucknow"/>
    <s v="North"/>
    <n v="14"/>
    <n v="887"/>
    <n v="781"/>
    <n v="0.12"/>
    <n v="470"/>
    <n v="4354"/>
    <n v="0.39820742637644047"/>
    <n v="121"/>
    <n v="2660"/>
    <n v="0.24327784891165172"/>
    <x v="0"/>
    <x v="0"/>
    <n v="0"/>
    <n v="0"/>
    <n v="0.16799999999999998"/>
  </r>
  <r>
    <s v="ORD-10339"/>
    <s v="17-Nov-2024"/>
    <x v="0"/>
    <x v="2"/>
    <s v="Cycle"/>
    <s v="Cycle - Model 158"/>
    <s v="Bangalore"/>
    <s v="South"/>
    <n v="16"/>
    <n v="3624"/>
    <n v="3298"/>
    <n v="0.09"/>
    <n v="2283"/>
    <n v="16240"/>
    <n v="0.3077622801697999"/>
    <n v="151"/>
    <n v="13824"/>
    <n v="0.26197695573074592"/>
    <x v="4"/>
    <x v="3"/>
    <n v="1"/>
    <n v="0"/>
    <n v="0.126"/>
  </r>
  <r>
    <s v="ORD-10340"/>
    <s v="17-Sep-2024"/>
    <x v="7"/>
    <x v="5"/>
    <s v="Sunscreen"/>
    <s v="Sunscreen - Model 273"/>
    <s v="Mumbai"/>
    <s v="West"/>
    <n v="12"/>
    <n v="2066"/>
    <n v="2066"/>
    <n v="0"/>
    <n v="940"/>
    <n v="13512"/>
    <n v="0.54501452081316559"/>
    <n v="180"/>
    <n v="11352"/>
    <n v="0.45788964181994191"/>
    <x v="0"/>
    <x v="0"/>
    <n v="0"/>
    <n v="0"/>
    <n v="0"/>
  </r>
  <r>
    <s v="ORD-10341"/>
    <s v="07-Oct-2024"/>
    <x v="11"/>
    <x v="0"/>
    <s v="Mobile"/>
    <s v="Mobile - Model 192"/>
    <s v="Jaipur"/>
    <s v="North"/>
    <n v="10"/>
    <n v="5864"/>
    <n v="4398"/>
    <n v="0.25"/>
    <n v="3542"/>
    <n v="8560"/>
    <n v="0.19463392451114142"/>
    <n v="82"/>
    <n v="7740"/>
    <n v="0.17598908594815826"/>
    <x v="4"/>
    <x v="1"/>
    <n v="0"/>
    <n v="0"/>
    <n v="0.35"/>
  </r>
  <r>
    <s v="ORD-10342"/>
    <s v="13-Aug-2024"/>
    <x v="8"/>
    <x v="0"/>
    <s v="Headphones"/>
    <s v="Headphones - Model 279"/>
    <s v="Pune"/>
    <s v="West"/>
    <n v="17"/>
    <n v="1030"/>
    <n v="999"/>
    <n v="0.03"/>
    <n v="518"/>
    <n v="8177"/>
    <n v="0.48148148148148145"/>
    <n v="172"/>
    <n v="5253"/>
    <n v="0.30930930930930933"/>
    <x v="3"/>
    <x v="2"/>
    <n v="0"/>
    <n v="0"/>
    <n v="4.1999999999999996E-2"/>
  </r>
  <r>
    <s v="ORD-10343"/>
    <s v="09-Oct-2024"/>
    <x v="11"/>
    <x v="3"/>
    <s v="Pulses"/>
    <s v="Pulses - Model 676"/>
    <s v="Ahmedabad"/>
    <s v="West"/>
    <n v="8"/>
    <n v="6108"/>
    <n v="3482"/>
    <n v="0.43"/>
    <n v="3424"/>
    <n v="464"/>
    <n v="1.665709362435382E-2"/>
    <n v="99"/>
    <n v="-328"/>
    <n v="-1.1774842044801838E-2"/>
    <x v="3"/>
    <x v="0"/>
    <n v="0"/>
    <n v="0"/>
    <n v="0.60199999999999998"/>
  </r>
  <r>
    <s v="ORD-10344"/>
    <s v="03-May-2024"/>
    <x v="6"/>
    <x v="4"/>
    <s v="Board Game"/>
    <s v="Board Game - Model 793"/>
    <s v="Hyderabad"/>
    <s v="South"/>
    <n v="11"/>
    <n v="3417"/>
    <n v="2870"/>
    <n v="0.16"/>
    <n v="2007"/>
    <n v="9493"/>
    <n v="0.30069686411149826"/>
    <n v="135"/>
    <n v="8008"/>
    <n v="0.25365853658536586"/>
    <x v="4"/>
    <x v="0"/>
    <n v="0"/>
    <n v="0"/>
    <n v="0.22399999999999998"/>
  </r>
  <r>
    <s v="ORD-10345"/>
    <s v="24-Nov-2024"/>
    <x v="0"/>
    <x v="1"/>
    <s v="Fiction"/>
    <s v="Fiction - Model 667"/>
    <s v="Bangalore"/>
    <s v="South"/>
    <n v="16"/>
    <n v="2648"/>
    <n v="2383"/>
    <n v="0.1"/>
    <n v="1591"/>
    <n v="12672"/>
    <n v="0.33235417540914813"/>
    <n v="57"/>
    <n v="11760"/>
    <n v="0.30843474611833821"/>
    <x v="1"/>
    <x v="0"/>
    <n v="0"/>
    <n v="1"/>
    <n v="0.49"/>
  </r>
  <r>
    <s v="ORD-10346"/>
    <s v="08-Dec-2024"/>
    <x v="10"/>
    <x v="2"/>
    <s v="Cricket Bat"/>
    <s v="Cricket Bat - Model 334"/>
    <s v="Hyderabad"/>
    <s v="South"/>
    <n v="8"/>
    <n v="6723"/>
    <n v="5647"/>
    <n v="0.16"/>
    <n v="4522"/>
    <n v="9000"/>
    <n v="0.19922082521692935"/>
    <n v="48"/>
    <n v="8616"/>
    <n v="0.19072073667434036"/>
    <x v="2"/>
    <x v="0"/>
    <n v="0"/>
    <n v="0"/>
    <n v="0.22399999999999998"/>
  </r>
  <r>
    <s v="ORD-10347"/>
    <s v="01-Oct-2024"/>
    <x v="11"/>
    <x v="0"/>
    <s v="Smartwatch"/>
    <s v="Smartwatch - Model 480"/>
    <s v="Lucknow"/>
    <s v="North"/>
    <n v="11"/>
    <n v="4040"/>
    <n v="2262"/>
    <n v="0.44"/>
    <n v="2884"/>
    <n v="-6842"/>
    <n v="-0.27497789566755082"/>
    <n v="160"/>
    <n v="-8602"/>
    <n v="-0.34571175950486294"/>
    <x v="0"/>
    <x v="3"/>
    <n v="1"/>
    <n v="0"/>
    <n v="0.61599999999999999"/>
  </r>
  <r>
    <s v="ORD-10348"/>
    <s v="09-Sep-2024"/>
    <x v="7"/>
    <x v="4"/>
    <s v="Board Game"/>
    <s v="Board Game - Model 868"/>
    <s v="Lucknow"/>
    <s v="North"/>
    <n v="5"/>
    <n v="622"/>
    <n v="398"/>
    <n v="0.36"/>
    <n v="353"/>
    <n v="225"/>
    <n v="0.11306532663316583"/>
    <n v="111"/>
    <n v="-330"/>
    <n v="-0.16582914572864321"/>
    <x v="3"/>
    <x v="2"/>
    <n v="0"/>
    <n v="0"/>
    <n v="0.504"/>
  </r>
  <r>
    <s v="ORD-10349"/>
    <s v="15-Mar-2024"/>
    <x v="2"/>
    <x v="7"/>
    <s v="Jacket"/>
    <s v="Jacket - Model 571"/>
    <s v="Kolkata"/>
    <s v="East"/>
    <n v="1"/>
    <n v="292"/>
    <n v="266"/>
    <n v="0.09"/>
    <n v="176"/>
    <n v="90"/>
    <n v="0.33834586466165412"/>
    <n v="79"/>
    <n v="11"/>
    <n v="4.1353383458646614E-2"/>
    <x v="3"/>
    <x v="0"/>
    <n v="0"/>
    <n v="0"/>
    <n v="0.126"/>
  </r>
  <r>
    <s v="ORD-10350"/>
    <s v="08-May-2024"/>
    <x v="6"/>
    <x v="2"/>
    <s v="Dumbbells"/>
    <s v="Dumbbells - Model 727"/>
    <s v="Kolkata"/>
    <s v="East"/>
    <n v="12"/>
    <n v="1635"/>
    <n v="1324"/>
    <n v="0.19"/>
    <n v="894"/>
    <n v="5160"/>
    <n v="0.32477341389728098"/>
    <n v="143"/>
    <n v="3444"/>
    <n v="0.21676737160120846"/>
    <x v="4"/>
    <x v="0"/>
    <n v="0"/>
    <n v="0"/>
    <n v="0.26599999999999996"/>
  </r>
  <r>
    <s v="ORD-10351"/>
    <s v="19-Mar-2024"/>
    <x v="2"/>
    <x v="6"/>
    <s v="Lamp"/>
    <s v="Lamp - Model 802"/>
    <s v="Hyderabad"/>
    <s v="South"/>
    <n v="4"/>
    <n v="5822"/>
    <n v="3726"/>
    <n v="0.36"/>
    <n v="3460"/>
    <n v="1064"/>
    <n v="7.1390230810520663E-2"/>
    <n v="158"/>
    <n v="432"/>
    <n v="2.8985507246376812E-2"/>
    <x v="1"/>
    <x v="1"/>
    <n v="0"/>
    <n v="1"/>
    <n v="0.85399999999999998"/>
  </r>
  <r>
    <s v="ORD-10352"/>
    <s v="16-Mar-2024"/>
    <x v="2"/>
    <x v="0"/>
    <s v="Laptop"/>
    <s v="Laptop - Model 531"/>
    <s v="Ahmedabad"/>
    <s v="West"/>
    <n v="5"/>
    <n v="7965"/>
    <n v="4938"/>
    <n v="0.38"/>
    <n v="4627"/>
    <n v="1555"/>
    <n v="6.2980963953017416E-2"/>
    <n v="138"/>
    <n v="865"/>
    <n v="3.5034426893479138E-2"/>
    <x v="0"/>
    <x v="0"/>
    <n v="0"/>
    <n v="0"/>
    <n v="0.53199999999999992"/>
  </r>
  <r>
    <s v="ORD-10353"/>
    <s v="02-Oct-2024"/>
    <x v="11"/>
    <x v="4"/>
    <s v="Action Figure"/>
    <s v="Action Figure - Model 807"/>
    <s v="Bangalore"/>
    <s v="South"/>
    <n v="2"/>
    <n v="1881"/>
    <n v="1674"/>
    <n v="0.11"/>
    <n v="1305"/>
    <n v="738"/>
    <n v="0.22043010752688172"/>
    <n v="44"/>
    <n v="650"/>
    <n v="0.19414575866188769"/>
    <x v="4"/>
    <x v="0"/>
    <n v="0"/>
    <n v="0"/>
    <n v="0.154"/>
  </r>
  <r>
    <s v="ORD-10354"/>
    <s v="26-Sep-2024"/>
    <x v="7"/>
    <x v="2"/>
    <s v="Yoga Mat"/>
    <s v="Yoga Mat - Model 120"/>
    <s v="Pune"/>
    <s v="West"/>
    <n v="4"/>
    <n v="2939"/>
    <n v="2028"/>
    <n v="0.31"/>
    <n v="1799"/>
    <n v="916"/>
    <n v="0.11291913214990137"/>
    <n v="117"/>
    <n v="448"/>
    <n v="5.5226824457593686E-2"/>
    <x v="3"/>
    <x v="3"/>
    <n v="1"/>
    <n v="0"/>
    <n v="0.434"/>
  </r>
  <r>
    <s v="ORD-10355"/>
    <s v="11-Jun-2024"/>
    <x v="5"/>
    <x v="3"/>
    <s v="Pulses"/>
    <s v="Pulses - Model 180"/>
    <s v="Pune"/>
    <s v="West"/>
    <n v="20"/>
    <n v="2435"/>
    <n v="1753"/>
    <n v="0.28000000000000003"/>
    <n v="1097"/>
    <n v="13120"/>
    <n v="0.37421563034797489"/>
    <n v="55"/>
    <n v="12020"/>
    <n v="0.34284084426697092"/>
    <x v="4"/>
    <x v="0"/>
    <n v="0"/>
    <n v="0"/>
    <n v="0.39200000000000002"/>
  </r>
  <r>
    <s v="ORD-10356"/>
    <s v="28-Jul-2024"/>
    <x v="3"/>
    <x v="7"/>
    <s v="Kurta"/>
    <s v="Kurta - Model 265"/>
    <s v="Kolkata"/>
    <s v="East"/>
    <n v="8"/>
    <n v="2645"/>
    <n v="1878"/>
    <n v="0.28999999999999998"/>
    <n v="1716"/>
    <n v="1296"/>
    <n v="8.6261980830670923E-2"/>
    <n v="121"/>
    <n v="328"/>
    <n v="2.1831735889243878E-2"/>
    <x v="0"/>
    <x v="0"/>
    <n v="0"/>
    <n v="0"/>
    <n v="0.40599999999999997"/>
  </r>
  <r>
    <s v="ORD-10357"/>
    <s v="24-Jun-2024"/>
    <x v="5"/>
    <x v="3"/>
    <s v="Pulses"/>
    <s v="Pulses - Model 271"/>
    <s v="Bangalore"/>
    <s v="South"/>
    <n v="1"/>
    <n v="1175"/>
    <n v="1046"/>
    <n v="0.11"/>
    <n v="573"/>
    <n v="473"/>
    <n v="0.45219885277246652"/>
    <n v="142"/>
    <n v="331"/>
    <n v="0.31644359464627153"/>
    <x v="2"/>
    <x v="0"/>
    <n v="0"/>
    <n v="0"/>
    <n v="0.154"/>
  </r>
  <r>
    <s v="ORD-10358"/>
    <s v="03-Feb-2024"/>
    <x v="4"/>
    <x v="3"/>
    <s v="Spices"/>
    <s v="Spices - Model 155"/>
    <s v="Mumbai"/>
    <s v="West"/>
    <n v="13"/>
    <n v="4287"/>
    <n v="2358"/>
    <n v="0.45"/>
    <n v="1871"/>
    <n v="6331"/>
    <n v="0.20653095843935537"/>
    <n v="123"/>
    <n v="4732"/>
    <n v="0.15436810856658184"/>
    <x v="2"/>
    <x v="1"/>
    <n v="0"/>
    <n v="0"/>
    <n v="0.63"/>
  </r>
  <r>
    <s v="ORD-10359"/>
    <s v="08-May-2024"/>
    <x v="6"/>
    <x v="5"/>
    <s v="Lipstick"/>
    <s v="Lipstick - Model 553"/>
    <s v="Bangalore"/>
    <s v="South"/>
    <n v="5"/>
    <n v="4309"/>
    <n v="3964"/>
    <n v="0.08"/>
    <n v="1777"/>
    <n v="10935"/>
    <n v="0.55171543895055497"/>
    <n v="84"/>
    <n v="10515"/>
    <n v="0.53052472250252269"/>
    <x v="4"/>
    <x v="0"/>
    <n v="0"/>
    <n v="0"/>
    <n v="0.11199999999999999"/>
  </r>
  <r>
    <s v="ORD-10360"/>
    <s v="09-Sep-2024"/>
    <x v="7"/>
    <x v="3"/>
    <s v="Oil"/>
    <s v="Oil - Model 814"/>
    <s v="Jaipur"/>
    <s v="North"/>
    <n v="6"/>
    <n v="4808"/>
    <n v="3798"/>
    <n v="0.21"/>
    <n v="3183"/>
    <n v="3690"/>
    <n v="0.16192733017377567"/>
    <n v="162"/>
    <n v="2718"/>
    <n v="0.11927330173775672"/>
    <x v="0"/>
    <x v="0"/>
    <n v="0"/>
    <n v="0"/>
    <n v="0.29399999999999998"/>
  </r>
  <r>
    <s v="ORD-10361"/>
    <s v="12-May-2024"/>
    <x v="6"/>
    <x v="3"/>
    <s v="Spices"/>
    <s v="Spices - Model 332"/>
    <s v="Delhi"/>
    <s v="North"/>
    <n v="15"/>
    <n v="2601"/>
    <n v="2107"/>
    <n v="0.19"/>
    <n v="1182"/>
    <n v="13875"/>
    <n v="0.43901281442809681"/>
    <n v="32"/>
    <n v="13395"/>
    <n v="0.42382534409112482"/>
    <x v="3"/>
    <x v="2"/>
    <n v="0"/>
    <n v="0"/>
    <n v="0.26599999999999996"/>
  </r>
  <r>
    <s v="ORD-10362"/>
    <s v="10-Jun-2024"/>
    <x v="5"/>
    <x v="3"/>
    <s v="Spices"/>
    <s v="Spices - Model 108"/>
    <s v="Ahmedabad"/>
    <s v="West"/>
    <n v="16"/>
    <n v="2537"/>
    <n v="1674"/>
    <n v="0.34"/>
    <n v="1723"/>
    <n v="-784"/>
    <n v="-2.9271206690561529E-2"/>
    <n v="120"/>
    <n v="-2704"/>
    <n v="-0.1009557945041816"/>
    <x v="2"/>
    <x v="0"/>
    <n v="0"/>
    <n v="0"/>
    <n v="0.47599999999999998"/>
  </r>
  <r>
    <s v="ORD-10363"/>
    <s v="14-Sep-2024"/>
    <x v="7"/>
    <x v="4"/>
    <s v="Board Game"/>
    <s v="Board Game - Model 267"/>
    <s v="Pune"/>
    <s v="West"/>
    <n v="13"/>
    <n v="1921"/>
    <n v="1844"/>
    <n v="0.04"/>
    <n v="1189"/>
    <n v="8515"/>
    <n v="0.35520607375271152"/>
    <n v="107"/>
    <n v="7124"/>
    <n v="0.29718004338394793"/>
    <x v="3"/>
    <x v="0"/>
    <n v="0"/>
    <n v="0"/>
    <n v="5.5999999999999994E-2"/>
  </r>
  <r>
    <s v="ORD-10364"/>
    <s v="21-May-2024"/>
    <x v="6"/>
    <x v="2"/>
    <s v="Dumbbells"/>
    <s v="Dumbbells - Model 292"/>
    <s v="Delhi"/>
    <s v="North"/>
    <n v="6"/>
    <n v="1266"/>
    <n v="1203"/>
    <n v="0.05"/>
    <n v="708"/>
    <n v="2970"/>
    <n v="0.41147132169576062"/>
    <n v="98"/>
    <n v="2382"/>
    <n v="0.33000831255195345"/>
    <x v="3"/>
    <x v="0"/>
    <n v="0"/>
    <n v="0"/>
    <n v="6.9999999999999993E-2"/>
  </r>
  <r>
    <s v="ORD-10365"/>
    <s v="02-Mar-2024"/>
    <x v="2"/>
    <x v="0"/>
    <s v="Laptop"/>
    <s v="Laptop - Model 204"/>
    <s v="Chennai"/>
    <s v="South"/>
    <n v="9"/>
    <n v="1175"/>
    <n v="940"/>
    <n v="0.2"/>
    <n v="473"/>
    <n v="4203"/>
    <n v="0.4968085106382979"/>
    <n v="44"/>
    <n v="3807"/>
    <n v="0.45"/>
    <x v="2"/>
    <x v="0"/>
    <n v="0"/>
    <n v="0"/>
    <n v="0.27999999999999997"/>
  </r>
  <r>
    <s v="ORD-10366"/>
    <s v="26-May-2024"/>
    <x v="6"/>
    <x v="3"/>
    <s v="Rice"/>
    <s v="Rice - Model 574"/>
    <s v="Mumbai"/>
    <s v="West"/>
    <n v="11"/>
    <n v="826"/>
    <n v="545"/>
    <n v="0.34"/>
    <n v="373"/>
    <n v="1892"/>
    <n v="0.31559633027522938"/>
    <n v="70"/>
    <n v="1122"/>
    <n v="0.1871559633027523"/>
    <x v="0"/>
    <x v="0"/>
    <n v="0"/>
    <n v="0"/>
    <n v="0.47599999999999998"/>
  </r>
  <r>
    <s v="ORD-10367"/>
    <s v="27-Apr-2024"/>
    <x v="1"/>
    <x v="2"/>
    <s v="Dumbbells"/>
    <s v="Dumbbells - Model 948"/>
    <s v="Mumbai"/>
    <s v="West"/>
    <n v="4"/>
    <n v="7802"/>
    <n v="5305"/>
    <n v="0.32"/>
    <n v="4172"/>
    <n v="4532"/>
    <n v="0.21357210179076344"/>
    <n v="176"/>
    <n v="3828"/>
    <n v="0.18039585296889726"/>
    <x v="1"/>
    <x v="0"/>
    <n v="0"/>
    <n v="1"/>
    <n v="0.79799999999999993"/>
  </r>
  <r>
    <s v="ORD-10368"/>
    <s v="24-Aug-2024"/>
    <x v="8"/>
    <x v="7"/>
    <s v="Jacket"/>
    <s v="Jacket - Model 781"/>
    <s v="Hyderabad"/>
    <s v="South"/>
    <n v="16"/>
    <n v="3235"/>
    <n v="1844"/>
    <n v="0.43"/>
    <n v="2354"/>
    <n v="-8160"/>
    <n v="-0.27657266811279829"/>
    <n v="54"/>
    <n v="-9024"/>
    <n v="-0.30585683297180044"/>
    <x v="2"/>
    <x v="0"/>
    <n v="0"/>
    <n v="0"/>
    <n v="0.60199999999999998"/>
  </r>
  <r>
    <s v="ORD-10369"/>
    <s v="09-Feb-2024"/>
    <x v="4"/>
    <x v="3"/>
    <s v="Rice"/>
    <s v="Rice - Model 303"/>
    <s v="Kolkata"/>
    <s v="East"/>
    <n v="2"/>
    <n v="6937"/>
    <n v="6243"/>
    <n v="0.1"/>
    <n v="3049"/>
    <n v="6388"/>
    <n v="0.51161300656735542"/>
    <n v="125"/>
    <n v="6138"/>
    <n v="0.49159058145122536"/>
    <x v="4"/>
    <x v="3"/>
    <n v="1"/>
    <n v="0"/>
    <n v="0.13999999999999999"/>
  </r>
  <r>
    <s v="ORD-10370"/>
    <s v="04-Oct-2024"/>
    <x v="11"/>
    <x v="4"/>
    <s v="Board Game"/>
    <s v="Board Game - Model 109"/>
    <s v="Mumbai"/>
    <s v="West"/>
    <n v="19"/>
    <n v="6311"/>
    <n v="4986"/>
    <n v="0.21"/>
    <n v="3841"/>
    <n v="21755"/>
    <n v="0.22964300040112315"/>
    <n v="86"/>
    <n v="20121"/>
    <n v="0.21239470517448858"/>
    <x v="2"/>
    <x v="0"/>
    <n v="0"/>
    <n v="0"/>
    <n v="0.29399999999999998"/>
  </r>
  <r>
    <s v="ORD-10371"/>
    <s v="20-Nov-2024"/>
    <x v="0"/>
    <x v="1"/>
    <s v="Fiction"/>
    <s v="Fiction - Model 161"/>
    <s v="Kolkata"/>
    <s v="East"/>
    <n v="5"/>
    <n v="5670"/>
    <n v="3629"/>
    <n v="0.36"/>
    <n v="2518"/>
    <n v="5555"/>
    <n v="0.306144943510609"/>
    <n v="65"/>
    <n v="5230"/>
    <n v="0.28823367318820614"/>
    <x v="3"/>
    <x v="3"/>
    <n v="1"/>
    <n v="0"/>
    <n v="0.504"/>
  </r>
  <r>
    <s v="ORD-10372"/>
    <s v="24-Aug-2024"/>
    <x v="8"/>
    <x v="5"/>
    <s v="Moisturizer"/>
    <s v="Moisturizer - Model 805"/>
    <s v="Pune"/>
    <s v="West"/>
    <n v="12"/>
    <n v="5850"/>
    <n v="5206"/>
    <n v="0.11"/>
    <n v="2421"/>
    <n v="33420"/>
    <n v="0.53495966192854394"/>
    <n v="136"/>
    <n v="31788"/>
    <n v="0.50883595850941221"/>
    <x v="3"/>
    <x v="0"/>
    <n v="0"/>
    <n v="0"/>
    <n v="0.154"/>
  </r>
  <r>
    <s v="ORD-10373"/>
    <s v="19-Apr-2024"/>
    <x v="1"/>
    <x v="6"/>
    <s v="Lamp"/>
    <s v="Lamp - Model 456"/>
    <s v="Kolkata"/>
    <s v="East"/>
    <n v="15"/>
    <n v="2348"/>
    <n v="1479"/>
    <n v="0.37"/>
    <n v="1691"/>
    <n v="-3180"/>
    <n v="-0.14334009465855307"/>
    <n v="113"/>
    <n v="-4875"/>
    <n v="-0.21974306964164977"/>
    <x v="2"/>
    <x v="0"/>
    <n v="0"/>
    <n v="0"/>
    <n v="0.51800000000000002"/>
  </r>
  <r>
    <s v="ORD-10374"/>
    <s v="18-May-2024"/>
    <x v="6"/>
    <x v="1"/>
    <s v="Children"/>
    <s v="Children - Model 100"/>
    <s v="Jaipur"/>
    <s v="North"/>
    <n v="13"/>
    <n v="5923"/>
    <n v="3554"/>
    <n v="0.4"/>
    <n v="3654"/>
    <n v="-1300"/>
    <n v="-2.8137310073157007E-2"/>
    <n v="85"/>
    <n v="-2405"/>
    <n v="-5.2054023635340459E-2"/>
    <x v="3"/>
    <x v="0"/>
    <n v="0"/>
    <n v="0"/>
    <n v="0.55999999999999994"/>
  </r>
  <r>
    <s v="ORD-10375"/>
    <s v="18-Nov-2024"/>
    <x v="0"/>
    <x v="4"/>
    <s v="Board Game"/>
    <s v="Board Game - Model 636"/>
    <s v="Ahmedabad"/>
    <s v="West"/>
    <n v="18"/>
    <n v="1402"/>
    <n v="1220"/>
    <n v="0.13"/>
    <n v="762"/>
    <n v="8244"/>
    <n v="0.37540983606557377"/>
    <n v="78"/>
    <n v="6840"/>
    <n v="0.31147540983606559"/>
    <x v="2"/>
    <x v="0"/>
    <n v="0"/>
    <n v="0"/>
    <n v="0.182"/>
  </r>
  <r>
    <s v="ORD-10376"/>
    <s v="06-Mar-2024"/>
    <x v="2"/>
    <x v="0"/>
    <s v="Laptop"/>
    <s v="Laptop - Model 209"/>
    <s v="Ahmedabad"/>
    <s v="West"/>
    <n v="7"/>
    <n v="970"/>
    <n v="718"/>
    <n v="0.26"/>
    <n v="672"/>
    <n v="322"/>
    <n v="6.4066852367688026E-2"/>
    <n v="129"/>
    <n v="-581"/>
    <n v="-0.11559888579387187"/>
    <x v="3"/>
    <x v="0"/>
    <n v="0"/>
    <n v="0"/>
    <n v="0.36399999999999999"/>
  </r>
  <r>
    <s v="ORD-10377"/>
    <s v="12-Jan-2024"/>
    <x v="9"/>
    <x v="5"/>
    <s v="Sunscreen"/>
    <s v="Sunscreen - Model 835"/>
    <s v="Delhi"/>
    <s v="North"/>
    <n v="1"/>
    <n v="7456"/>
    <n v="6785"/>
    <n v="0.09"/>
    <n v="4265"/>
    <n v="2520"/>
    <n v="0.37140751658069271"/>
    <n v="163"/>
    <n v="2357"/>
    <n v="0.34738393515106852"/>
    <x v="2"/>
    <x v="0"/>
    <n v="0"/>
    <n v="0"/>
    <n v="0.126"/>
  </r>
  <r>
    <s v="ORD-10378"/>
    <s v="18-Jun-2024"/>
    <x v="5"/>
    <x v="4"/>
    <s v="Puzzle"/>
    <s v="Puzzle - Model 913"/>
    <s v="Mumbai"/>
    <s v="West"/>
    <n v="20"/>
    <n v="2273"/>
    <n v="2228"/>
    <n v="0.02"/>
    <n v="965"/>
    <n v="25260"/>
    <n v="0.56687612208258531"/>
    <n v="76"/>
    <n v="23740"/>
    <n v="0.53276481149012567"/>
    <x v="1"/>
    <x v="0"/>
    <n v="0"/>
    <n v="1"/>
    <n v="0.378"/>
  </r>
  <r>
    <s v="ORD-10379"/>
    <s v="08-Dec-2024"/>
    <x v="10"/>
    <x v="4"/>
    <s v="Board Game"/>
    <s v="Board Game - Model 297"/>
    <s v="Jaipur"/>
    <s v="North"/>
    <n v="8"/>
    <n v="4646"/>
    <n v="2648"/>
    <n v="0.43"/>
    <n v="2766"/>
    <n v="-944"/>
    <n v="-4.4561933534743199E-2"/>
    <n v="114"/>
    <n v="-1856"/>
    <n v="-8.7613293051359523E-2"/>
    <x v="2"/>
    <x v="0"/>
    <n v="0"/>
    <n v="0"/>
    <n v="0.60199999999999998"/>
  </r>
  <r>
    <s v="ORD-10380"/>
    <s v="15-Nov-2024"/>
    <x v="0"/>
    <x v="4"/>
    <s v="Action Figure"/>
    <s v="Action Figure - Model 270"/>
    <s v="Bangalore"/>
    <s v="South"/>
    <n v="18"/>
    <n v="3332"/>
    <n v="2832"/>
    <n v="0.15"/>
    <n v="1517"/>
    <n v="23670"/>
    <n v="0.4643361581920904"/>
    <n v="180"/>
    <n v="20430"/>
    <n v="0.4007768361581921"/>
    <x v="0"/>
    <x v="1"/>
    <n v="0"/>
    <n v="0"/>
    <n v="0.21"/>
  </r>
  <r>
    <s v="ORD-10381"/>
    <s v="11-Sep-2024"/>
    <x v="7"/>
    <x v="1"/>
    <s v="Children"/>
    <s v="Children - Model 882"/>
    <s v="Pune"/>
    <s v="West"/>
    <n v="11"/>
    <n v="4946"/>
    <n v="3710"/>
    <n v="0.25"/>
    <n v="2349"/>
    <n v="14971"/>
    <n v="0.36684636118598385"/>
    <n v="145"/>
    <n v="13376"/>
    <n v="0.32776280323450135"/>
    <x v="4"/>
    <x v="0"/>
    <n v="0"/>
    <n v="0"/>
    <n v="0.35"/>
  </r>
  <r>
    <s v="ORD-10382"/>
    <s v="01-Jul-2024"/>
    <x v="3"/>
    <x v="0"/>
    <s v="Headphones"/>
    <s v="Headphones - Model 710"/>
    <s v="Mumbai"/>
    <s v="West"/>
    <n v="17"/>
    <n v="1254"/>
    <n v="752"/>
    <n v="0.4"/>
    <n v="504"/>
    <n v="4216"/>
    <n v="0.32978723404255317"/>
    <n v="178"/>
    <n v="1190"/>
    <n v="9.3085106382978719E-2"/>
    <x v="1"/>
    <x v="0"/>
    <n v="0"/>
    <n v="1"/>
    <n v="0.90999999999999992"/>
  </r>
  <r>
    <s v="ORD-10383"/>
    <s v="27-Dec-2024"/>
    <x v="10"/>
    <x v="2"/>
    <s v="Cycle"/>
    <s v="Cycle - Model 623"/>
    <s v="Jaipur"/>
    <s v="North"/>
    <n v="19"/>
    <n v="7422"/>
    <n v="6902"/>
    <n v="7.0000000000000007E-2"/>
    <n v="3067"/>
    <n v="72865"/>
    <n v="0.55563604752245721"/>
    <n v="83"/>
    <n v="71288"/>
    <n v="0.54361054766734285"/>
    <x v="1"/>
    <x v="1"/>
    <n v="0"/>
    <n v="1"/>
    <n v="0.44799999999999995"/>
  </r>
  <r>
    <s v="ORD-10384"/>
    <s v="08-Apr-2024"/>
    <x v="1"/>
    <x v="2"/>
    <s v="Yoga Mat"/>
    <s v="Yoga Mat - Model 194"/>
    <s v="Lucknow"/>
    <s v="North"/>
    <n v="13"/>
    <n v="4639"/>
    <n v="4175"/>
    <n v="0.1"/>
    <n v="1981"/>
    <n v="28522"/>
    <n v="0.52550898203592811"/>
    <n v="79"/>
    <n v="27495"/>
    <n v="0.50658682634730534"/>
    <x v="0"/>
    <x v="3"/>
    <n v="1"/>
    <n v="0"/>
    <n v="0.13999999999999999"/>
  </r>
  <r>
    <s v="ORD-10385"/>
    <s v="23-Dec-2024"/>
    <x v="10"/>
    <x v="7"/>
    <s v="Jacket"/>
    <s v="Jacket - Model 757"/>
    <s v="Chennai"/>
    <s v="South"/>
    <n v="2"/>
    <n v="5900"/>
    <n v="4366"/>
    <n v="0.26"/>
    <n v="2522"/>
    <n v="3688"/>
    <n v="0.42235455794777826"/>
    <n v="38"/>
    <n v="3612"/>
    <n v="0.41365093907466788"/>
    <x v="4"/>
    <x v="3"/>
    <n v="1"/>
    <n v="0"/>
    <n v="0.36399999999999999"/>
  </r>
  <r>
    <s v="ORD-10386"/>
    <s v="28-Jul-2024"/>
    <x v="3"/>
    <x v="7"/>
    <s v="Jeans"/>
    <s v="Jeans - Model 865"/>
    <s v="Lucknow"/>
    <s v="North"/>
    <n v="1"/>
    <n v="5144"/>
    <n v="3704"/>
    <n v="0.28000000000000003"/>
    <n v="2155"/>
    <n v="1549"/>
    <n v="0.41819654427645786"/>
    <n v="109"/>
    <n v="1440"/>
    <n v="0.38876889848812096"/>
    <x v="4"/>
    <x v="0"/>
    <n v="0"/>
    <n v="0"/>
    <n v="0.39200000000000002"/>
  </r>
  <r>
    <s v="ORD-10387"/>
    <s v="23-Sep-2024"/>
    <x v="7"/>
    <x v="5"/>
    <s v="Serum"/>
    <s v="Serum - Model 151"/>
    <s v="Pune"/>
    <s v="West"/>
    <n v="15"/>
    <n v="6072"/>
    <n v="4493"/>
    <n v="0.26"/>
    <n v="2620"/>
    <n v="28095"/>
    <n v="0.41687068773647895"/>
    <n v="95"/>
    <n v="26670"/>
    <n v="0.39572668595593147"/>
    <x v="0"/>
    <x v="0"/>
    <n v="0"/>
    <n v="0"/>
    <n v="0.36399999999999999"/>
  </r>
  <r>
    <s v="ORD-10388"/>
    <s v="19-Aug-2024"/>
    <x v="8"/>
    <x v="0"/>
    <s v="Tablet"/>
    <s v="Tablet - Model 508"/>
    <s v="Chennai"/>
    <s v="South"/>
    <n v="3"/>
    <n v="3309"/>
    <n v="2647"/>
    <n v="0.2"/>
    <n v="2132"/>
    <n v="1545"/>
    <n v="0.19455987910842462"/>
    <n v="144"/>
    <n v="1113"/>
    <n v="0.14015867019267095"/>
    <x v="0"/>
    <x v="0"/>
    <n v="0"/>
    <n v="0"/>
    <n v="0.27999999999999997"/>
  </r>
  <r>
    <s v="ORD-10389"/>
    <s v="19-Nov-2024"/>
    <x v="0"/>
    <x v="5"/>
    <s v="Sunscreen"/>
    <s v="Sunscreen - Model 730"/>
    <s v="Jaipur"/>
    <s v="North"/>
    <n v="8"/>
    <n v="2090"/>
    <n v="1839"/>
    <n v="0.12"/>
    <n v="1151"/>
    <n v="5504"/>
    <n v="0.37411636759108213"/>
    <n v="133"/>
    <n v="4440"/>
    <n v="0.30179445350734097"/>
    <x v="3"/>
    <x v="0"/>
    <n v="0"/>
    <n v="0"/>
    <n v="0.16799999999999998"/>
  </r>
  <r>
    <s v="ORD-10390"/>
    <s v="12-Jul-2024"/>
    <x v="3"/>
    <x v="1"/>
    <s v="Self-Help"/>
    <s v="Self-Help - Model 428"/>
    <s v="Kolkata"/>
    <s v="East"/>
    <n v="20"/>
    <n v="5312"/>
    <n v="3453"/>
    <n v="0.35"/>
    <n v="2439"/>
    <n v="20280"/>
    <n v="0.29365768896611644"/>
    <n v="82"/>
    <n v="18640"/>
    <n v="0.26991022299449752"/>
    <x v="0"/>
    <x v="0"/>
    <n v="0"/>
    <n v="0"/>
    <n v="0.48999999999999994"/>
  </r>
  <r>
    <s v="ORD-10391"/>
    <s v="07-Apr-2024"/>
    <x v="1"/>
    <x v="1"/>
    <s v="Self-Help"/>
    <s v="Self-Help - Model 875"/>
    <s v="Delhi"/>
    <s v="North"/>
    <n v="4"/>
    <n v="5969"/>
    <n v="5312"/>
    <n v="0.11"/>
    <n v="3685"/>
    <n v="6508"/>
    <n v="0.30628765060240964"/>
    <n v="52"/>
    <n v="6300"/>
    <n v="0.29649849397590361"/>
    <x v="4"/>
    <x v="0"/>
    <n v="0"/>
    <n v="0"/>
    <n v="0.154"/>
  </r>
  <r>
    <s v="ORD-10392"/>
    <s v="10-Feb-2024"/>
    <x v="4"/>
    <x v="3"/>
    <s v="Pulses"/>
    <s v="Pulses - Model 123"/>
    <s v="Kolkata"/>
    <s v="East"/>
    <n v="7"/>
    <n v="5972"/>
    <n v="5375"/>
    <n v="0.1"/>
    <n v="3531"/>
    <n v="12908"/>
    <n v="0.34306976744186046"/>
    <n v="143"/>
    <n v="11907"/>
    <n v="0.31646511627906976"/>
    <x v="3"/>
    <x v="0"/>
    <n v="0"/>
    <n v="0"/>
    <n v="0.13999999999999999"/>
  </r>
  <r>
    <s v="ORD-10393"/>
    <s v="23-Mar-2024"/>
    <x v="2"/>
    <x v="0"/>
    <s v="Smartwatch"/>
    <s v="Smartwatch - Model 696"/>
    <s v="Jaipur"/>
    <s v="North"/>
    <n v="2"/>
    <n v="2193"/>
    <n v="2127"/>
    <n v="0.03"/>
    <n v="1031"/>
    <n v="2192"/>
    <n v="0.51527973671838267"/>
    <n v="134"/>
    <n v="1924"/>
    <n v="0.4522802068641279"/>
    <x v="4"/>
    <x v="0"/>
    <n v="0"/>
    <n v="0"/>
    <n v="4.1999999999999996E-2"/>
  </r>
  <r>
    <s v="ORD-10394"/>
    <s v="03-Jan-2024"/>
    <x v="9"/>
    <x v="4"/>
    <s v="Puzzle"/>
    <s v="Puzzle - Model 778"/>
    <s v="Kolkata"/>
    <s v="East"/>
    <n v="4"/>
    <n v="349"/>
    <n v="213"/>
    <n v="0.39"/>
    <n v="219"/>
    <n v="-24"/>
    <n v="-2.8169014084507043E-2"/>
    <n v="65"/>
    <n v="-284"/>
    <n v="-0.33333333333333331"/>
    <x v="0"/>
    <x v="0"/>
    <n v="0"/>
    <n v="0"/>
    <n v="0.54599999999999993"/>
  </r>
  <r>
    <s v="ORD-10395"/>
    <s v="16-Jun-2024"/>
    <x v="5"/>
    <x v="7"/>
    <s v="Jeans"/>
    <s v="Jeans - Model 303"/>
    <s v="Jaipur"/>
    <s v="North"/>
    <n v="15"/>
    <n v="4573"/>
    <n v="3110"/>
    <n v="0.32"/>
    <n v="1893"/>
    <n v="18255"/>
    <n v="0.39131832797427651"/>
    <n v="168"/>
    <n v="15735"/>
    <n v="0.3372990353697749"/>
    <x v="4"/>
    <x v="0"/>
    <n v="0"/>
    <n v="0"/>
    <n v="0.44799999999999995"/>
  </r>
  <r>
    <s v="ORD-10396"/>
    <s v="01-Mar-2024"/>
    <x v="2"/>
    <x v="1"/>
    <s v="Textbook"/>
    <s v="Textbook - Model 463"/>
    <s v="Chennai"/>
    <s v="South"/>
    <n v="8"/>
    <n v="7969"/>
    <n v="4463"/>
    <n v="0.44"/>
    <n v="3957"/>
    <n v="4048"/>
    <n v="0.11337665247591307"/>
    <n v="39"/>
    <n v="3736"/>
    <n v="0.10463813578310553"/>
    <x v="4"/>
    <x v="1"/>
    <n v="0"/>
    <n v="0"/>
    <n v="0.61599999999999999"/>
  </r>
  <r>
    <s v="ORD-10397"/>
    <s v="18-Jan-2024"/>
    <x v="9"/>
    <x v="2"/>
    <s v="Cricket Bat"/>
    <s v="Cricket Bat - Model 255"/>
    <s v="Kolkata"/>
    <s v="East"/>
    <n v="13"/>
    <n v="5324"/>
    <n v="5111"/>
    <n v="0.04"/>
    <n v="2842"/>
    <n v="29497"/>
    <n v="0.44394443357464292"/>
    <n v="174"/>
    <n v="27235"/>
    <n v="0.40990021522207004"/>
    <x v="3"/>
    <x v="0"/>
    <n v="0"/>
    <n v="0"/>
    <n v="5.5999999999999994E-2"/>
  </r>
  <r>
    <s v="ORD-10398"/>
    <s v="08-Jul-2024"/>
    <x v="3"/>
    <x v="6"/>
    <s v="Curtain"/>
    <s v="Curtain - Model 419"/>
    <s v="Lucknow"/>
    <s v="North"/>
    <n v="11"/>
    <n v="3704"/>
    <n v="3482"/>
    <n v="0.06"/>
    <n v="2327"/>
    <n v="12705"/>
    <n v="0.33170591614014933"/>
    <n v="117"/>
    <n v="11418"/>
    <n v="0.2981045376220563"/>
    <x v="1"/>
    <x v="0"/>
    <n v="0"/>
    <n v="1"/>
    <n v="0.43399999999999994"/>
  </r>
  <r>
    <s v="ORD-10399"/>
    <s v="17-Dec-2024"/>
    <x v="10"/>
    <x v="6"/>
    <s v="Curtain"/>
    <s v="Curtain - Model 888"/>
    <s v="Bangalore"/>
    <s v="South"/>
    <n v="19"/>
    <n v="7353"/>
    <n v="6324"/>
    <n v="0.14000000000000001"/>
    <n v="4376"/>
    <n v="37012"/>
    <n v="0.30803289057558508"/>
    <n v="172"/>
    <n v="33744"/>
    <n v="0.28083491461100568"/>
    <x v="2"/>
    <x v="2"/>
    <n v="0"/>
    <n v="0"/>
    <n v="0.19600000000000001"/>
  </r>
  <r>
    <s v="ORD-10400"/>
    <s v="24-Mar-2024"/>
    <x v="2"/>
    <x v="0"/>
    <s v="Headphones"/>
    <s v="Headphones - Model 523"/>
    <s v="Pune"/>
    <s v="West"/>
    <n v="10"/>
    <n v="3655"/>
    <n v="2120"/>
    <n v="0.42"/>
    <n v="2606"/>
    <n v="-4860"/>
    <n v="-0.22924528301886793"/>
    <n v="170"/>
    <n v="-6560"/>
    <n v="-0.30943396226415093"/>
    <x v="4"/>
    <x v="0"/>
    <n v="0"/>
    <n v="0"/>
    <n v="0.58799999999999997"/>
  </r>
  <r>
    <s v="ORD-10401"/>
    <s v="06-Mar-2024"/>
    <x v="2"/>
    <x v="0"/>
    <s v="Tablet"/>
    <s v="Tablet - Model 731"/>
    <s v="Chennai"/>
    <s v="South"/>
    <n v="20"/>
    <n v="4623"/>
    <n v="4161"/>
    <n v="0.1"/>
    <n v="2225"/>
    <n v="38720"/>
    <n v="0.46527277096851716"/>
    <n v="133"/>
    <n v="36060"/>
    <n v="0.43330930064888246"/>
    <x v="4"/>
    <x v="3"/>
    <n v="1"/>
    <n v="0"/>
    <n v="0.13999999999999999"/>
  </r>
  <r>
    <s v="ORD-10402"/>
    <s v="17-Mar-2024"/>
    <x v="2"/>
    <x v="3"/>
    <s v="Rice"/>
    <s v="Rice - Model 288"/>
    <s v="Pune"/>
    <s v="West"/>
    <n v="16"/>
    <n v="3896"/>
    <n v="3623"/>
    <n v="7.0000000000000007E-2"/>
    <n v="1867"/>
    <n v="28096"/>
    <n v="0.48468120342257798"/>
    <n v="91"/>
    <n v="26640"/>
    <n v="0.45956389732266079"/>
    <x v="2"/>
    <x v="1"/>
    <n v="0"/>
    <n v="0"/>
    <n v="9.8000000000000004E-2"/>
  </r>
  <r>
    <s v="ORD-10403"/>
    <s v="24-Apr-2024"/>
    <x v="1"/>
    <x v="5"/>
    <s v="Serum"/>
    <s v="Serum - Model 167"/>
    <s v="Bangalore"/>
    <s v="South"/>
    <n v="15"/>
    <n v="6964"/>
    <n v="5432"/>
    <n v="0.22"/>
    <n v="3578"/>
    <n v="27810"/>
    <n v="0.34131075110456555"/>
    <n v="99"/>
    <n v="26325"/>
    <n v="0.32308541973490429"/>
    <x v="1"/>
    <x v="2"/>
    <n v="0"/>
    <n v="1"/>
    <n v="0.65799999999999992"/>
  </r>
  <r>
    <s v="ORD-10404"/>
    <s v="24-Oct-2024"/>
    <x v="11"/>
    <x v="4"/>
    <s v="Puzzle"/>
    <s v="Puzzle - Model 503"/>
    <s v="Lucknow"/>
    <s v="North"/>
    <n v="19"/>
    <n v="4832"/>
    <n v="3672"/>
    <n v="0.24"/>
    <n v="3414"/>
    <n v="4902"/>
    <n v="7.0261437908496732E-2"/>
    <n v="148"/>
    <n v="2090"/>
    <n v="2.9956427015250545E-2"/>
    <x v="3"/>
    <x v="0"/>
    <n v="0"/>
    <n v="0"/>
    <n v="0.33599999999999997"/>
  </r>
  <r>
    <s v="ORD-10405"/>
    <s v="08-Jan-2024"/>
    <x v="9"/>
    <x v="4"/>
    <s v="Action Figure"/>
    <s v="Action Figure - Model 671"/>
    <s v="Pune"/>
    <s v="West"/>
    <n v="17"/>
    <n v="6168"/>
    <n v="3516"/>
    <n v="0.43"/>
    <n v="2877"/>
    <n v="10863"/>
    <n v="0.181740614334471"/>
    <n v="96"/>
    <n v="9231"/>
    <n v="0.15443686006825938"/>
    <x v="4"/>
    <x v="0"/>
    <n v="0"/>
    <n v="0"/>
    <n v="0.60199999999999998"/>
  </r>
  <r>
    <s v="ORD-10406"/>
    <s v="14-Mar-2024"/>
    <x v="2"/>
    <x v="2"/>
    <s v="Cycle"/>
    <s v="Cycle - Model 155"/>
    <s v="Jaipur"/>
    <s v="North"/>
    <n v="5"/>
    <n v="3816"/>
    <n v="2709"/>
    <n v="0.28999999999999998"/>
    <n v="1647"/>
    <n v="5310"/>
    <n v="0.39202657807308972"/>
    <n v="105"/>
    <n v="4785"/>
    <n v="0.35326688815060908"/>
    <x v="1"/>
    <x v="1"/>
    <n v="0"/>
    <n v="1"/>
    <n v="0.75600000000000001"/>
  </r>
  <r>
    <s v="ORD-10407"/>
    <s v="18-Dec-2024"/>
    <x v="10"/>
    <x v="6"/>
    <s v="Curtain"/>
    <s v="Curtain - Model 523"/>
    <s v="Kolkata"/>
    <s v="East"/>
    <n v="15"/>
    <n v="394"/>
    <n v="315"/>
    <n v="0.2"/>
    <n v="281"/>
    <n v="510"/>
    <n v="0.10793650793650794"/>
    <n v="164"/>
    <n v="-1950"/>
    <n v="-0.41269841269841268"/>
    <x v="0"/>
    <x v="0"/>
    <n v="0"/>
    <n v="0"/>
    <n v="0.27999999999999997"/>
  </r>
  <r>
    <s v="ORD-10408"/>
    <s v="23-Nov-2024"/>
    <x v="0"/>
    <x v="6"/>
    <s v="Mixer"/>
    <s v="Mixer - Model 193"/>
    <s v="Delhi"/>
    <s v="North"/>
    <n v="15"/>
    <n v="5146"/>
    <n v="4940"/>
    <n v="0.04"/>
    <n v="3332"/>
    <n v="24120"/>
    <n v="0.3255060728744939"/>
    <n v="139"/>
    <n v="22035"/>
    <n v="0.29736842105263156"/>
    <x v="3"/>
    <x v="0"/>
    <n v="0"/>
    <n v="0"/>
    <n v="5.5999999999999994E-2"/>
  </r>
  <r>
    <s v="ORD-10409"/>
    <s v="13-Sep-2024"/>
    <x v="7"/>
    <x v="0"/>
    <s v="Laptop"/>
    <s v="Laptop - Model 443"/>
    <s v="Lucknow"/>
    <s v="North"/>
    <n v="5"/>
    <n v="1465"/>
    <n v="1362"/>
    <n v="7.0000000000000007E-2"/>
    <n v="980"/>
    <n v="1910"/>
    <n v="0.28046989720998533"/>
    <n v="38"/>
    <n v="1720"/>
    <n v="0.25256975036710722"/>
    <x v="4"/>
    <x v="3"/>
    <n v="1"/>
    <n v="0"/>
    <n v="9.8000000000000004E-2"/>
  </r>
  <r>
    <s v="ORD-10410"/>
    <s v="10-Aug-2024"/>
    <x v="8"/>
    <x v="6"/>
    <s v="Mixer"/>
    <s v="Mixer - Model 234"/>
    <s v="Hyderabad"/>
    <s v="South"/>
    <n v="1"/>
    <n v="5056"/>
    <n v="4500"/>
    <n v="0.11"/>
    <n v="2834"/>
    <n v="1666"/>
    <n v="0.37022222222222223"/>
    <n v="158"/>
    <n v="1508"/>
    <n v="0.33511111111111114"/>
    <x v="3"/>
    <x v="0"/>
    <n v="0"/>
    <n v="0"/>
    <n v="0.154"/>
  </r>
  <r>
    <s v="ORD-10411"/>
    <s v="08-Aug-2024"/>
    <x v="8"/>
    <x v="5"/>
    <s v="Sunscreen"/>
    <s v="Sunscreen - Model 775"/>
    <s v="Ahmedabad"/>
    <s v="West"/>
    <n v="15"/>
    <n v="3399"/>
    <n v="3263"/>
    <n v="0.04"/>
    <n v="2074"/>
    <n v="17835"/>
    <n v="0.36438859944836038"/>
    <n v="67"/>
    <n v="16830"/>
    <n v="0.34385534783941157"/>
    <x v="3"/>
    <x v="0"/>
    <n v="0"/>
    <n v="0"/>
    <n v="5.5999999999999994E-2"/>
  </r>
  <r>
    <s v="ORD-10412"/>
    <s v="02-Apr-2024"/>
    <x v="1"/>
    <x v="6"/>
    <s v="Pressure Cooker"/>
    <s v="Pressure Cooker - Model 156"/>
    <s v="Kolkata"/>
    <s v="East"/>
    <n v="2"/>
    <n v="1334"/>
    <n v="1321"/>
    <n v="0.01"/>
    <n v="804"/>
    <n v="1034"/>
    <n v="0.39137017411052233"/>
    <n v="120"/>
    <n v="794"/>
    <n v="0.30052990158970477"/>
    <x v="4"/>
    <x v="0"/>
    <n v="0"/>
    <n v="0"/>
    <n v="1.3999999999999999E-2"/>
  </r>
  <r>
    <s v="ORD-10413"/>
    <s v="06-Jul-2024"/>
    <x v="3"/>
    <x v="6"/>
    <s v="Bedsheet"/>
    <s v="Bedsheet - Model 725"/>
    <s v="Lucknow"/>
    <s v="North"/>
    <n v="19"/>
    <n v="6341"/>
    <n v="5834"/>
    <n v="0.08"/>
    <n v="3547"/>
    <n v="43453"/>
    <n v="0.39201234144669178"/>
    <n v="117"/>
    <n v="41230"/>
    <n v="0.37195749057250599"/>
    <x v="2"/>
    <x v="0"/>
    <n v="0"/>
    <n v="0"/>
    <n v="0.11199999999999999"/>
  </r>
  <r>
    <s v="ORD-10414"/>
    <s v="13-Jun-2024"/>
    <x v="5"/>
    <x v="7"/>
    <s v="Shoes"/>
    <s v="Shoes - Model 963"/>
    <s v="Jaipur"/>
    <s v="North"/>
    <n v="3"/>
    <n v="2484"/>
    <n v="2335"/>
    <n v="0.06"/>
    <n v="1598"/>
    <n v="2211"/>
    <n v="0.31563169164882227"/>
    <n v="71"/>
    <n v="1998"/>
    <n v="0.28522483940042825"/>
    <x v="3"/>
    <x v="0"/>
    <n v="0"/>
    <n v="0"/>
    <n v="8.3999999999999991E-2"/>
  </r>
  <r>
    <s v="ORD-10415"/>
    <s v="20-Apr-2024"/>
    <x v="1"/>
    <x v="0"/>
    <s v="Mobile"/>
    <s v="Mobile - Model 685"/>
    <s v="Jaipur"/>
    <s v="North"/>
    <n v="3"/>
    <n v="3973"/>
    <n v="2741"/>
    <n v="0.31"/>
    <n v="2888"/>
    <n v="-441"/>
    <n v="-5.3630062021160163E-2"/>
    <n v="178"/>
    <n v="-975"/>
    <n v="-0.11856986501276906"/>
    <x v="4"/>
    <x v="2"/>
    <n v="0"/>
    <n v="0"/>
    <n v="0.434"/>
  </r>
  <r>
    <s v="ORD-10416"/>
    <s v="17-May-2024"/>
    <x v="6"/>
    <x v="1"/>
    <s v="Self-Help"/>
    <s v="Self-Help - Model 729"/>
    <s v="Lucknow"/>
    <s v="North"/>
    <n v="16"/>
    <n v="4254"/>
    <n v="3063"/>
    <n v="0.28000000000000003"/>
    <n v="2435"/>
    <n v="10048"/>
    <n v="0.20502775057133529"/>
    <n v="57"/>
    <n v="9136"/>
    <n v="0.18641854391119816"/>
    <x v="3"/>
    <x v="0"/>
    <n v="0"/>
    <n v="0"/>
    <n v="0.39200000000000002"/>
  </r>
  <r>
    <s v="ORD-10417"/>
    <s v="01-Apr-2024"/>
    <x v="1"/>
    <x v="7"/>
    <s v="Kurta"/>
    <s v="Kurta - Model 576"/>
    <s v="Delhi"/>
    <s v="North"/>
    <n v="7"/>
    <n v="6437"/>
    <n v="3540"/>
    <n v="0.45"/>
    <n v="3508"/>
    <n v="224"/>
    <n v="9.0395480225988704E-3"/>
    <n v="80"/>
    <n v="-336"/>
    <n v="-1.3559322033898305E-2"/>
    <x v="3"/>
    <x v="0"/>
    <n v="0"/>
    <n v="0"/>
    <n v="0.63"/>
  </r>
  <r>
    <s v="ORD-10418"/>
    <s v="07-Nov-2024"/>
    <x v="0"/>
    <x v="2"/>
    <s v="Yoga Mat"/>
    <s v="Yoga Mat - Model 909"/>
    <s v="Delhi"/>
    <s v="North"/>
    <n v="10"/>
    <n v="2542"/>
    <n v="1906"/>
    <n v="0.25"/>
    <n v="1699"/>
    <n v="2070"/>
    <n v="0.10860440713536201"/>
    <n v="47"/>
    <n v="1600"/>
    <n v="8.394543546694648E-2"/>
    <x v="4"/>
    <x v="0"/>
    <n v="0"/>
    <n v="0"/>
    <n v="0.35"/>
  </r>
  <r>
    <s v="ORD-10419"/>
    <s v="01-Oct-2024"/>
    <x v="11"/>
    <x v="6"/>
    <s v="Pressure Cooker"/>
    <s v="Pressure Cooker - Model 438"/>
    <s v="Kolkata"/>
    <s v="East"/>
    <n v="16"/>
    <n v="7346"/>
    <n v="4701"/>
    <n v="0.36"/>
    <n v="4598"/>
    <n v="1648"/>
    <n v="2.1910231865560518E-2"/>
    <n v="102"/>
    <n v="16"/>
    <n v="2.1272069772388852E-4"/>
    <x v="0"/>
    <x v="0"/>
    <n v="0"/>
    <n v="0"/>
    <n v="0.504"/>
  </r>
  <r>
    <s v="ORD-10420"/>
    <s v="15-Jun-2024"/>
    <x v="5"/>
    <x v="4"/>
    <s v="Action Figure"/>
    <s v="Action Figure - Model 955"/>
    <s v="Jaipur"/>
    <s v="North"/>
    <n v="10"/>
    <n v="4607"/>
    <n v="3179"/>
    <n v="0.31"/>
    <n v="2738"/>
    <n v="4410"/>
    <n v="0.13872286882667506"/>
    <n v="33"/>
    <n v="4080"/>
    <n v="0.12834224598930483"/>
    <x v="3"/>
    <x v="3"/>
    <n v="1"/>
    <n v="0"/>
    <n v="0.434"/>
  </r>
  <r>
    <s v="ORD-10421"/>
    <s v="03-Jun-2024"/>
    <x v="5"/>
    <x v="6"/>
    <s v="Bedsheet"/>
    <s v="Bedsheet - Model 960"/>
    <s v="Mumbai"/>
    <s v="West"/>
    <n v="11"/>
    <n v="7872"/>
    <n v="5668"/>
    <n v="0.28000000000000003"/>
    <n v="5470"/>
    <n v="2178"/>
    <n v="3.4932956951305577E-2"/>
    <n v="116"/>
    <n v="902"/>
    <n v="1.4467184191954835E-2"/>
    <x v="0"/>
    <x v="0"/>
    <n v="0"/>
    <n v="0"/>
    <n v="0.39200000000000002"/>
  </r>
  <r>
    <s v="ORD-10422"/>
    <s v="23-May-2024"/>
    <x v="6"/>
    <x v="1"/>
    <s v="Fiction"/>
    <s v="Fiction - Model 378"/>
    <s v="Pune"/>
    <s v="West"/>
    <n v="3"/>
    <n v="4077"/>
    <n v="3629"/>
    <n v="0.11"/>
    <n v="2276"/>
    <n v="4059"/>
    <n v="0.37282998071093965"/>
    <n v="173"/>
    <n v="3540"/>
    <n v="0.32515844585285203"/>
    <x v="1"/>
    <x v="0"/>
    <n v="0"/>
    <n v="1"/>
    <n v="0.504"/>
  </r>
  <r>
    <s v="ORD-10423"/>
    <s v="26-Jun-2024"/>
    <x v="5"/>
    <x v="0"/>
    <s v="Laptop"/>
    <s v="Laptop - Model 194"/>
    <s v="Ahmedabad"/>
    <s v="West"/>
    <n v="17"/>
    <n v="394"/>
    <n v="307"/>
    <n v="0.22"/>
    <n v="227"/>
    <n v="1360"/>
    <n v="0.26058631921824105"/>
    <n v="59"/>
    <n v="357"/>
    <n v="6.8403908794788276E-2"/>
    <x v="0"/>
    <x v="0"/>
    <n v="0"/>
    <n v="0"/>
    <n v="0.308"/>
  </r>
  <r>
    <s v="ORD-10424"/>
    <s v="05-Jun-2024"/>
    <x v="5"/>
    <x v="7"/>
    <s v="Jacket"/>
    <s v="Jacket - Model 792"/>
    <s v="Bangalore"/>
    <s v="South"/>
    <n v="7"/>
    <n v="5852"/>
    <n v="4623"/>
    <n v="0.21"/>
    <n v="3803"/>
    <n v="5740"/>
    <n v="0.17737399956738048"/>
    <n v="108"/>
    <n v="4984"/>
    <n v="0.15401254596582306"/>
    <x v="2"/>
    <x v="0"/>
    <n v="0"/>
    <n v="0"/>
    <n v="0.29399999999999998"/>
  </r>
  <r>
    <s v="ORD-10425"/>
    <s v="28-Oct-2024"/>
    <x v="11"/>
    <x v="7"/>
    <s v="Saree"/>
    <s v="Saree - Model 578"/>
    <s v="Mumbai"/>
    <s v="West"/>
    <n v="4"/>
    <n v="4261"/>
    <n v="2983"/>
    <n v="0.3"/>
    <n v="2170"/>
    <n v="3252"/>
    <n v="0.2725444183707677"/>
    <n v="117"/>
    <n v="2784"/>
    <n v="0.23332215890043581"/>
    <x v="4"/>
    <x v="0"/>
    <n v="0"/>
    <n v="0"/>
    <n v="0.42"/>
  </r>
  <r>
    <s v="ORD-10426"/>
    <s v="07-Apr-2024"/>
    <x v="1"/>
    <x v="2"/>
    <s v="Yoga Mat"/>
    <s v="Yoga Mat - Model 645"/>
    <s v="Kolkata"/>
    <s v="East"/>
    <n v="15"/>
    <n v="5435"/>
    <n v="4783"/>
    <n v="0.12"/>
    <n v="2474"/>
    <n v="34635"/>
    <n v="0.48275141124817061"/>
    <n v="47"/>
    <n v="33930"/>
    <n v="0.47292494250470418"/>
    <x v="3"/>
    <x v="0"/>
    <n v="0"/>
    <n v="0"/>
    <n v="0.16799999999999998"/>
  </r>
  <r>
    <s v="ORD-10427"/>
    <s v="12-Sep-2024"/>
    <x v="7"/>
    <x v="1"/>
    <s v="Textbook"/>
    <s v="Textbook - Model 244"/>
    <s v="Chennai"/>
    <s v="South"/>
    <n v="19"/>
    <n v="2110"/>
    <n v="2047"/>
    <n v="0.03"/>
    <n v="1297"/>
    <n v="14250"/>
    <n v="0.36638983878847092"/>
    <n v="81"/>
    <n v="12711"/>
    <n v="0.32681973619931609"/>
    <x v="0"/>
    <x v="0"/>
    <n v="0"/>
    <n v="0"/>
    <n v="4.1999999999999996E-2"/>
  </r>
  <r>
    <s v="ORD-10428"/>
    <s v="02-Nov-2024"/>
    <x v="0"/>
    <x v="7"/>
    <s v="Shoes"/>
    <s v="Shoes - Model 155"/>
    <s v="Delhi"/>
    <s v="North"/>
    <n v="14"/>
    <n v="3257"/>
    <n v="2215"/>
    <n v="0.32"/>
    <n v="2319"/>
    <n v="-1456"/>
    <n v="-4.6952595936794579E-2"/>
    <n v="124"/>
    <n v="-3192"/>
    <n v="-0.10293453724604966"/>
    <x v="0"/>
    <x v="0"/>
    <n v="0"/>
    <n v="0"/>
    <n v="0.44799999999999995"/>
  </r>
  <r>
    <s v="ORD-10429"/>
    <s v="23-Apr-2024"/>
    <x v="1"/>
    <x v="7"/>
    <s v="Shoes"/>
    <s v="Shoes - Model 681"/>
    <s v="Bangalore"/>
    <s v="South"/>
    <n v="3"/>
    <n v="6540"/>
    <n v="3859"/>
    <n v="0.41"/>
    <n v="3688"/>
    <n v="513"/>
    <n v="4.4311997926924071E-2"/>
    <n v="98"/>
    <n v="219"/>
    <n v="1.8916817828452968E-2"/>
    <x v="0"/>
    <x v="1"/>
    <n v="0"/>
    <n v="0"/>
    <n v="0.57399999999999995"/>
  </r>
  <r>
    <s v="ORD-10430"/>
    <s v="28-Mar-2024"/>
    <x v="2"/>
    <x v="2"/>
    <s v="Yoga Mat"/>
    <s v="Yoga Mat - Model 501"/>
    <s v="Bangalore"/>
    <s v="South"/>
    <n v="11"/>
    <n v="6352"/>
    <n v="3811"/>
    <n v="0.4"/>
    <n v="3549"/>
    <n v="2882"/>
    <n v="6.8748360010495932E-2"/>
    <n v="35"/>
    <n v="2497"/>
    <n v="5.9564418787719758E-2"/>
    <x v="0"/>
    <x v="0"/>
    <n v="0"/>
    <n v="0"/>
    <n v="0.55999999999999994"/>
  </r>
  <r>
    <s v="ORD-10431"/>
    <s v="10-Mar-2024"/>
    <x v="2"/>
    <x v="1"/>
    <s v="Comic"/>
    <s v="Comic - Model 688"/>
    <s v="Bangalore"/>
    <s v="South"/>
    <n v="17"/>
    <n v="1003"/>
    <n v="632"/>
    <n v="0.37"/>
    <n v="681"/>
    <n v="-833"/>
    <n v="-7.753164556962025E-2"/>
    <n v="79"/>
    <n v="-2176"/>
    <n v="-0.20253164556962025"/>
    <x v="2"/>
    <x v="0"/>
    <n v="0"/>
    <n v="0"/>
    <n v="0.51800000000000002"/>
  </r>
  <r>
    <s v="ORD-10432"/>
    <s v="19-Jul-2024"/>
    <x v="3"/>
    <x v="4"/>
    <s v="Board Game"/>
    <s v="Board Game - Model 735"/>
    <s v="Hyderabad"/>
    <s v="South"/>
    <n v="18"/>
    <n v="1440"/>
    <n v="1123"/>
    <n v="0.22"/>
    <n v="609"/>
    <n v="9252"/>
    <n v="0.45770258236865541"/>
    <n v="61"/>
    <n v="8154"/>
    <n v="0.40338379341050756"/>
    <x v="3"/>
    <x v="1"/>
    <n v="0"/>
    <n v="0"/>
    <n v="0.308"/>
  </r>
  <r>
    <s v="ORD-10433"/>
    <s v="26-Oct-2024"/>
    <x v="11"/>
    <x v="1"/>
    <s v="Comic"/>
    <s v="Comic - Model 810"/>
    <s v="Hyderabad"/>
    <s v="South"/>
    <n v="6"/>
    <n v="5368"/>
    <n v="5153"/>
    <n v="0.04"/>
    <n v="3896"/>
    <n v="7542"/>
    <n v="0.24393557151174072"/>
    <n v="116"/>
    <n v="6846"/>
    <n v="0.22142441296332233"/>
    <x v="0"/>
    <x v="0"/>
    <n v="0"/>
    <n v="0"/>
    <n v="5.5999999999999994E-2"/>
  </r>
  <r>
    <s v="ORD-10434"/>
    <s v="18-Jun-2024"/>
    <x v="5"/>
    <x v="7"/>
    <s v="Shoes"/>
    <s v="Shoes - Model 280"/>
    <s v="Chennai"/>
    <s v="South"/>
    <n v="13"/>
    <n v="743"/>
    <n v="706"/>
    <n v="0.05"/>
    <n v="509"/>
    <n v="2561"/>
    <n v="0.27903682719546741"/>
    <n v="146"/>
    <n v="663"/>
    <n v="7.2237960339943341E-2"/>
    <x v="0"/>
    <x v="0"/>
    <n v="0"/>
    <n v="0"/>
    <n v="6.9999999999999993E-2"/>
  </r>
  <r>
    <s v="ORD-10435"/>
    <s v="03-Jan-2024"/>
    <x v="9"/>
    <x v="5"/>
    <s v="Serum"/>
    <s v="Serum - Model 694"/>
    <s v="Mumbai"/>
    <s v="West"/>
    <n v="5"/>
    <n v="5355"/>
    <n v="4284"/>
    <n v="0.2"/>
    <n v="2688"/>
    <n v="7980"/>
    <n v="0.37254901960784315"/>
    <n v="122"/>
    <n v="7370"/>
    <n v="0.34407096171802054"/>
    <x v="0"/>
    <x v="0"/>
    <n v="0"/>
    <n v="0"/>
    <n v="0.27999999999999997"/>
  </r>
  <r>
    <s v="ORD-10436"/>
    <s v="10-Jun-2024"/>
    <x v="5"/>
    <x v="2"/>
    <s v="Dumbbells"/>
    <s v="Dumbbells - Model 835"/>
    <s v="Kolkata"/>
    <s v="East"/>
    <n v="3"/>
    <n v="4745"/>
    <n v="3416"/>
    <n v="0.28000000000000003"/>
    <n v="2746"/>
    <n v="2010"/>
    <n v="0.19613583138173302"/>
    <n v="157"/>
    <n v="1539"/>
    <n v="0.15017564402810304"/>
    <x v="4"/>
    <x v="1"/>
    <n v="0"/>
    <n v="0"/>
    <n v="0.39200000000000002"/>
  </r>
  <r>
    <s v="ORD-10437"/>
    <s v="01-Jan-2024"/>
    <x v="9"/>
    <x v="1"/>
    <s v="Fiction"/>
    <s v="Fiction - Model 981"/>
    <s v="Chennai"/>
    <s v="South"/>
    <n v="1"/>
    <n v="2035"/>
    <n v="1384"/>
    <n v="0.32"/>
    <n v="1095"/>
    <n v="289"/>
    <n v="0.20881502890173412"/>
    <n v="78"/>
    <n v="211"/>
    <n v="0.15245664739884393"/>
    <x v="0"/>
    <x v="0"/>
    <n v="0"/>
    <n v="0"/>
    <n v="0.44799999999999995"/>
  </r>
  <r>
    <s v="ORD-10438"/>
    <s v="22-Apr-2024"/>
    <x v="1"/>
    <x v="6"/>
    <s v="Curtain"/>
    <s v="Curtain - Model 242"/>
    <s v="Hyderabad"/>
    <s v="South"/>
    <n v="18"/>
    <n v="3200"/>
    <n v="1856"/>
    <n v="0.42"/>
    <n v="2221"/>
    <n v="-6570"/>
    <n v="-0.19665948275862069"/>
    <n v="53"/>
    <n v="-7524"/>
    <n v="-0.22521551724137931"/>
    <x v="1"/>
    <x v="0"/>
    <n v="0"/>
    <n v="1"/>
    <n v="0.93799999999999994"/>
  </r>
  <r>
    <s v="ORD-10439"/>
    <s v="05-Jan-2024"/>
    <x v="9"/>
    <x v="3"/>
    <s v="Pulses"/>
    <s v="Pulses - Model 239"/>
    <s v="Delhi"/>
    <s v="North"/>
    <n v="5"/>
    <n v="5209"/>
    <n v="4219"/>
    <n v="0.19"/>
    <n v="2915"/>
    <n v="6520"/>
    <n v="0.30907798056411473"/>
    <n v="148"/>
    <n v="5780"/>
    <n v="0.27399857786205262"/>
    <x v="3"/>
    <x v="0"/>
    <n v="0"/>
    <n v="0"/>
    <n v="0.26599999999999996"/>
  </r>
  <r>
    <s v="ORD-10440"/>
    <s v="17-Aug-2024"/>
    <x v="8"/>
    <x v="4"/>
    <s v="Doll"/>
    <s v="Doll - Model 939"/>
    <s v="Ahmedabad"/>
    <s v="West"/>
    <n v="13"/>
    <n v="2971"/>
    <n v="2733"/>
    <n v="0.08"/>
    <n v="1817"/>
    <n v="11908"/>
    <n v="0.33516282473472375"/>
    <n v="117"/>
    <n v="10387"/>
    <n v="0.29235272594218809"/>
    <x v="1"/>
    <x v="0"/>
    <n v="0"/>
    <n v="1"/>
    <n v="0.46199999999999997"/>
  </r>
  <r>
    <s v="ORD-10441"/>
    <s v="19-Sep-2024"/>
    <x v="7"/>
    <x v="1"/>
    <s v="Fiction"/>
    <s v="Fiction - Model 138"/>
    <s v="Lucknow"/>
    <s v="North"/>
    <n v="16"/>
    <n v="5698"/>
    <n v="5413"/>
    <n v="0.05"/>
    <n v="3240"/>
    <n v="34768"/>
    <n v="0.40144097542952151"/>
    <n v="134"/>
    <n v="32624"/>
    <n v="0.37668575651210051"/>
    <x v="1"/>
    <x v="0"/>
    <n v="0"/>
    <n v="1"/>
    <n v="0.42"/>
  </r>
  <r>
    <s v="ORD-10442"/>
    <s v="15-May-2024"/>
    <x v="6"/>
    <x v="7"/>
    <s v="Jacket"/>
    <s v="Jacket - Model 724"/>
    <s v="Delhi"/>
    <s v="North"/>
    <n v="8"/>
    <n v="3885"/>
    <n v="2603"/>
    <n v="0.33"/>
    <n v="2860"/>
    <n v="-2056"/>
    <n v="-9.8732232039953904E-2"/>
    <n v="42"/>
    <n v="-2392"/>
    <n v="-0.11486746062235882"/>
    <x v="3"/>
    <x v="0"/>
    <n v="0"/>
    <n v="0"/>
    <n v="0.46199999999999997"/>
  </r>
  <r>
    <s v="ORD-10443"/>
    <s v="11-Jan-2024"/>
    <x v="9"/>
    <x v="0"/>
    <s v="Smartwatch"/>
    <s v="Smartwatch - Model 564"/>
    <s v="Jaipur"/>
    <s v="North"/>
    <n v="16"/>
    <n v="4677"/>
    <n v="3975"/>
    <n v="0.15"/>
    <n v="2449"/>
    <n v="24416"/>
    <n v="0.38389937106918237"/>
    <n v="177"/>
    <n v="21584"/>
    <n v="0.33937106918238996"/>
    <x v="4"/>
    <x v="0"/>
    <n v="0"/>
    <n v="0"/>
    <n v="0.21"/>
  </r>
  <r>
    <s v="ORD-10444"/>
    <s v="24-Oct-2024"/>
    <x v="11"/>
    <x v="2"/>
    <s v="Cycle"/>
    <s v="Cycle - Model 366"/>
    <s v="Mumbai"/>
    <s v="West"/>
    <n v="16"/>
    <n v="4710"/>
    <n v="3485"/>
    <n v="0.26"/>
    <n v="2966"/>
    <n v="8304"/>
    <n v="0.14892395982783357"/>
    <n v="74"/>
    <n v="7120"/>
    <n v="0.12769010043041606"/>
    <x v="3"/>
    <x v="0"/>
    <n v="0"/>
    <n v="0"/>
    <n v="0.36399999999999999"/>
  </r>
  <r>
    <s v="ORD-10445"/>
    <s v="17-Mar-2024"/>
    <x v="2"/>
    <x v="7"/>
    <s v="Saree"/>
    <s v="Saree - Model 358"/>
    <s v="Bangalore"/>
    <s v="South"/>
    <n v="20"/>
    <n v="2392"/>
    <n v="1459"/>
    <n v="0.39"/>
    <n v="969"/>
    <n v="9800"/>
    <n v="0.33584647018505825"/>
    <n v="47"/>
    <n v="8860"/>
    <n v="0.30363262508567512"/>
    <x v="1"/>
    <x v="3"/>
    <n v="1"/>
    <n v="1"/>
    <n v="0.89599999999999991"/>
  </r>
  <r>
    <s v="ORD-10446"/>
    <s v="15-Nov-2024"/>
    <x v="0"/>
    <x v="1"/>
    <s v="Self-Help"/>
    <s v="Self-Help - Model 367"/>
    <s v="Hyderabad"/>
    <s v="South"/>
    <n v="16"/>
    <n v="1610"/>
    <n v="1224"/>
    <n v="0.24"/>
    <n v="663"/>
    <n v="8976"/>
    <n v="0.45833333333333331"/>
    <n v="178"/>
    <n v="6128"/>
    <n v="0.31290849673202614"/>
    <x v="1"/>
    <x v="2"/>
    <n v="0"/>
    <n v="1"/>
    <n v="0.68599999999999994"/>
  </r>
  <r>
    <s v="ORD-10447"/>
    <s v="25-Aug-2024"/>
    <x v="8"/>
    <x v="4"/>
    <s v="Remote Car"/>
    <s v="Remote Car - Model 343"/>
    <s v="Ahmedabad"/>
    <s v="West"/>
    <n v="6"/>
    <n v="1845"/>
    <n v="1236"/>
    <n v="0.33"/>
    <n v="961"/>
    <n v="1650"/>
    <n v="0.22249190938511326"/>
    <n v="126"/>
    <n v="894"/>
    <n v="0.12055016181229773"/>
    <x v="2"/>
    <x v="0"/>
    <n v="0"/>
    <n v="0"/>
    <n v="0.46199999999999997"/>
  </r>
  <r>
    <s v="ORD-10448"/>
    <s v="10-Aug-2024"/>
    <x v="8"/>
    <x v="3"/>
    <s v="Spices"/>
    <s v="Spices - Model 339"/>
    <s v="Pune"/>
    <s v="West"/>
    <n v="13"/>
    <n v="3902"/>
    <n v="3629"/>
    <n v="7.0000000000000007E-2"/>
    <n v="2749"/>
    <n v="11440"/>
    <n v="0.24249104436483879"/>
    <n v="32"/>
    <n v="11024"/>
    <n v="0.23367318820611738"/>
    <x v="0"/>
    <x v="0"/>
    <n v="0"/>
    <n v="0"/>
    <n v="9.8000000000000004E-2"/>
  </r>
  <r>
    <s v="ORD-10449"/>
    <s v="22-Sep-2024"/>
    <x v="7"/>
    <x v="0"/>
    <s v="Mobile"/>
    <s v="Mobile - Model 644"/>
    <s v="Kolkata"/>
    <s v="East"/>
    <n v="14"/>
    <n v="4962"/>
    <n v="3523"/>
    <n v="0.28999999999999998"/>
    <n v="2458"/>
    <n v="14910"/>
    <n v="0.30229917683792223"/>
    <n v="71"/>
    <n v="13916"/>
    <n v="0.28214589838206072"/>
    <x v="2"/>
    <x v="0"/>
    <n v="0"/>
    <n v="0"/>
    <n v="0.40599999999999997"/>
  </r>
  <r>
    <s v="ORD-10450"/>
    <s v="25-Aug-2024"/>
    <x v="8"/>
    <x v="5"/>
    <s v="Sunscreen"/>
    <s v="Sunscreen - Model 888"/>
    <s v="Hyderabad"/>
    <s v="South"/>
    <n v="17"/>
    <n v="2832"/>
    <n v="1954"/>
    <n v="0.31"/>
    <n v="1311"/>
    <n v="10931"/>
    <n v="0.32906857727737976"/>
    <n v="112"/>
    <n v="9027"/>
    <n v="0.27175025588536333"/>
    <x v="2"/>
    <x v="0"/>
    <n v="0"/>
    <n v="0"/>
    <n v="0.434"/>
  </r>
  <r>
    <s v="ORD-10451"/>
    <s v="17-Feb-2024"/>
    <x v="4"/>
    <x v="7"/>
    <s v="Shoes"/>
    <s v="Shoes - Model 459"/>
    <s v="Hyderabad"/>
    <s v="South"/>
    <n v="10"/>
    <n v="2165"/>
    <n v="2122"/>
    <n v="0.02"/>
    <n v="1335"/>
    <n v="7870"/>
    <n v="0.37087653157398681"/>
    <n v="39"/>
    <n v="7480"/>
    <n v="0.352497643732328"/>
    <x v="3"/>
    <x v="2"/>
    <n v="0"/>
    <n v="0"/>
    <n v="2.7999999999999997E-2"/>
  </r>
  <r>
    <s v="ORD-10452"/>
    <s v="21-Oct-2024"/>
    <x v="11"/>
    <x v="7"/>
    <s v="Kurta"/>
    <s v="Kurta - Model 188"/>
    <s v="Lucknow"/>
    <s v="North"/>
    <n v="5"/>
    <n v="3132"/>
    <n v="2067"/>
    <n v="0.34"/>
    <n v="1963"/>
    <n v="520"/>
    <n v="5.0314465408805034E-2"/>
    <n v="150"/>
    <n v="-230"/>
    <n v="-2.2254475084663765E-2"/>
    <x v="1"/>
    <x v="3"/>
    <n v="1"/>
    <n v="1"/>
    <n v="0.82599999999999996"/>
  </r>
  <r>
    <s v="ORD-10453"/>
    <s v="10-May-2024"/>
    <x v="6"/>
    <x v="3"/>
    <s v="Atta"/>
    <s v="Atta - Model 754"/>
    <s v="Ahmedabad"/>
    <s v="West"/>
    <n v="9"/>
    <n v="6201"/>
    <n v="4279"/>
    <n v="0.31"/>
    <n v="3929"/>
    <n v="3150"/>
    <n v="8.1794811871932688E-2"/>
    <n v="146"/>
    <n v="1836"/>
    <n v="4.7674690348212201E-2"/>
    <x v="4"/>
    <x v="0"/>
    <n v="0"/>
    <n v="0"/>
    <n v="0.434"/>
  </r>
  <r>
    <s v="ORD-10454"/>
    <s v="13-Jan-2024"/>
    <x v="9"/>
    <x v="4"/>
    <s v="Puzzle"/>
    <s v="Puzzle - Model 161"/>
    <s v="Chennai"/>
    <s v="South"/>
    <n v="9"/>
    <n v="1588"/>
    <n v="1540"/>
    <n v="0.03"/>
    <n v="1180"/>
    <n v="3240"/>
    <n v="0.23376623376623376"/>
    <n v="60"/>
    <n v="2700"/>
    <n v="0.19480519480519481"/>
    <x v="0"/>
    <x v="0"/>
    <n v="0"/>
    <n v="0"/>
    <n v="4.1999999999999996E-2"/>
  </r>
  <r>
    <s v="ORD-10455"/>
    <s v="18-Mar-2024"/>
    <x v="2"/>
    <x v="4"/>
    <s v="Board Game"/>
    <s v="Board Game - Model 728"/>
    <s v="Delhi"/>
    <s v="North"/>
    <n v="15"/>
    <n v="5780"/>
    <n v="5491"/>
    <n v="0.05"/>
    <n v="2460"/>
    <n v="45465"/>
    <n v="0.55199417228191583"/>
    <n v="116"/>
    <n v="43725"/>
    <n v="0.53086869422691674"/>
    <x v="4"/>
    <x v="0"/>
    <n v="0"/>
    <n v="0"/>
    <n v="6.9999999999999993E-2"/>
  </r>
  <r>
    <s v="ORD-10456"/>
    <s v="05-Aug-2024"/>
    <x v="8"/>
    <x v="0"/>
    <s v="Mobile"/>
    <s v="Mobile - Model 780"/>
    <s v="Pune"/>
    <s v="West"/>
    <n v="9"/>
    <n v="1383"/>
    <n v="1176"/>
    <n v="0.15"/>
    <n v="743"/>
    <n v="3897"/>
    <n v="0.36819727891156462"/>
    <n v="31"/>
    <n v="3618"/>
    <n v="0.34183673469387754"/>
    <x v="0"/>
    <x v="0"/>
    <n v="0"/>
    <n v="0"/>
    <n v="0.21"/>
  </r>
  <r>
    <s v="ORD-10457"/>
    <s v="25-Dec-2024"/>
    <x v="10"/>
    <x v="7"/>
    <s v="Jacket"/>
    <s v="Jacket - Model 331"/>
    <s v="Mumbai"/>
    <s v="West"/>
    <n v="13"/>
    <n v="7642"/>
    <n v="4814"/>
    <n v="0.37"/>
    <n v="4346"/>
    <n v="6084"/>
    <n v="9.7216452014956378E-2"/>
    <n v="115"/>
    <n v="4589"/>
    <n v="7.3327793934358121E-2"/>
    <x v="4"/>
    <x v="0"/>
    <n v="0"/>
    <n v="0"/>
    <n v="0.51800000000000002"/>
  </r>
  <r>
    <s v="ORD-10458"/>
    <s v="21-Jan-2024"/>
    <x v="9"/>
    <x v="7"/>
    <s v="Saree"/>
    <s v="Saree - Model 647"/>
    <s v="Kolkata"/>
    <s v="East"/>
    <n v="3"/>
    <n v="6761"/>
    <n v="4462"/>
    <n v="0.34"/>
    <n v="3391"/>
    <n v="3213"/>
    <n v="0.24002689376961003"/>
    <n v="60"/>
    <n v="3033"/>
    <n v="0.22658000896458988"/>
    <x v="3"/>
    <x v="0"/>
    <n v="0"/>
    <n v="0"/>
    <n v="0.47599999999999998"/>
  </r>
  <r>
    <s v="ORD-10459"/>
    <s v="10-Apr-2024"/>
    <x v="1"/>
    <x v="4"/>
    <s v="Action Figure"/>
    <s v="Action Figure - Model 745"/>
    <s v="Kolkata"/>
    <s v="East"/>
    <n v="16"/>
    <n v="862"/>
    <n v="621"/>
    <n v="0.28000000000000003"/>
    <n v="567"/>
    <n v="864"/>
    <n v="8.6956521739130432E-2"/>
    <n v="51"/>
    <n v="48"/>
    <n v="4.830917874396135E-3"/>
    <x v="1"/>
    <x v="1"/>
    <n v="0"/>
    <n v="1"/>
    <n v="0.74199999999999999"/>
  </r>
  <r>
    <s v="ORD-10460"/>
    <s v="16-Apr-2024"/>
    <x v="1"/>
    <x v="4"/>
    <s v="Action Figure"/>
    <s v="Action Figure - Model 911"/>
    <s v="Jaipur"/>
    <s v="North"/>
    <n v="10"/>
    <n v="4098"/>
    <n v="2336"/>
    <n v="0.43"/>
    <n v="2804"/>
    <n v="-4680"/>
    <n v="-0.20034246575342465"/>
    <n v="175"/>
    <n v="-6430"/>
    <n v="-0.2752568493150685"/>
    <x v="2"/>
    <x v="0"/>
    <n v="0"/>
    <n v="0"/>
    <n v="0.60199999999999998"/>
  </r>
  <r>
    <s v="ORD-10461"/>
    <s v="02-Dec-2024"/>
    <x v="10"/>
    <x v="4"/>
    <s v="Action Figure"/>
    <s v="Action Figure - Model 316"/>
    <s v="Jaipur"/>
    <s v="North"/>
    <n v="15"/>
    <n v="7533"/>
    <n v="4595"/>
    <n v="0.39"/>
    <n v="4428"/>
    <n v="2505"/>
    <n v="3.6343852013057669E-2"/>
    <n v="141"/>
    <n v="390"/>
    <n v="5.6583242655059846E-3"/>
    <x v="1"/>
    <x v="0"/>
    <n v="0"/>
    <n v="1"/>
    <n v="0.89599999999999991"/>
  </r>
  <r>
    <s v="ORD-10462"/>
    <s v="16-Mar-2024"/>
    <x v="2"/>
    <x v="0"/>
    <s v="Smartwatch"/>
    <s v="Smartwatch - Model 733"/>
    <s v="Mumbai"/>
    <s v="West"/>
    <n v="8"/>
    <n v="5670"/>
    <n v="5330"/>
    <n v="0.06"/>
    <n v="2610"/>
    <n v="21760"/>
    <n v="0.51031894934333955"/>
    <n v="37"/>
    <n v="21464"/>
    <n v="0.50337711069418389"/>
    <x v="4"/>
    <x v="0"/>
    <n v="0"/>
    <n v="0"/>
    <n v="8.3999999999999991E-2"/>
  </r>
  <r>
    <s v="ORD-10463"/>
    <s v="06-Oct-2024"/>
    <x v="11"/>
    <x v="7"/>
    <s v="Kurta"/>
    <s v="Kurta - Model 216"/>
    <s v="Ahmedabad"/>
    <s v="West"/>
    <n v="20"/>
    <n v="6434"/>
    <n v="5791"/>
    <n v="0.1"/>
    <n v="4385"/>
    <n v="28120"/>
    <n v="0.24279053704023484"/>
    <n v="94"/>
    <n v="26240"/>
    <n v="0.22655845277154205"/>
    <x v="0"/>
    <x v="1"/>
    <n v="0"/>
    <n v="0"/>
    <n v="0.13999999999999999"/>
  </r>
  <r>
    <s v="ORD-10464"/>
    <s v="18-Oct-2024"/>
    <x v="11"/>
    <x v="6"/>
    <s v="Bedsheet"/>
    <s v="Bedsheet - Model 956"/>
    <s v="Hyderabad"/>
    <s v="South"/>
    <n v="2"/>
    <n v="4826"/>
    <n v="4102"/>
    <n v="0.15"/>
    <n v="2134"/>
    <n v="3936"/>
    <n v="0.47976596782057535"/>
    <n v="51"/>
    <n v="3834"/>
    <n v="0.46733300828863966"/>
    <x v="0"/>
    <x v="0"/>
    <n v="0"/>
    <n v="0"/>
    <n v="0.21"/>
  </r>
  <r>
    <s v="ORD-10465"/>
    <s v="15-Mar-2024"/>
    <x v="2"/>
    <x v="5"/>
    <s v="Sunscreen"/>
    <s v="Sunscreen - Model 141"/>
    <s v="Bangalore"/>
    <s v="South"/>
    <n v="4"/>
    <n v="6370"/>
    <n v="4586"/>
    <n v="0.28000000000000003"/>
    <n v="3387"/>
    <n v="4796"/>
    <n v="0.2614478848669865"/>
    <n v="54"/>
    <n v="4580"/>
    <n v="0.24967291757522897"/>
    <x v="0"/>
    <x v="0"/>
    <n v="0"/>
    <n v="0"/>
    <n v="0.39200000000000002"/>
  </r>
  <r>
    <s v="ORD-10466"/>
    <s v="23-Feb-2024"/>
    <x v="4"/>
    <x v="2"/>
    <s v="Dumbbells"/>
    <s v="Dumbbells - Model 810"/>
    <s v="Ahmedabad"/>
    <s v="West"/>
    <n v="5"/>
    <n v="1808"/>
    <n v="1284"/>
    <n v="0.28999999999999998"/>
    <n v="1054"/>
    <n v="1150"/>
    <n v="0.17912772585669781"/>
    <n v="92"/>
    <n v="690"/>
    <n v="0.10747663551401869"/>
    <x v="1"/>
    <x v="0"/>
    <n v="0"/>
    <n v="1"/>
    <n v="0.75600000000000001"/>
  </r>
  <r>
    <s v="ORD-10467"/>
    <s v="23-Mar-2024"/>
    <x v="2"/>
    <x v="3"/>
    <s v="Spices"/>
    <s v="Spices - Model 190"/>
    <s v="Chennai"/>
    <s v="South"/>
    <n v="12"/>
    <n v="3467"/>
    <n v="2600"/>
    <n v="0.25"/>
    <n v="1620"/>
    <n v="11760"/>
    <n v="0.37692307692307692"/>
    <n v="178"/>
    <n v="9624"/>
    <n v="0.30846153846153845"/>
    <x v="2"/>
    <x v="2"/>
    <n v="0"/>
    <n v="0"/>
    <n v="0.35"/>
  </r>
  <r>
    <s v="ORD-10468"/>
    <s v="17-Sep-2024"/>
    <x v="7"/>
    <x v="5"/>
    <s v="Perfume"/>
    <s v="Perfume - Model 888"/>
    <s v="Hyderabad"/>
    <s v="South"/>
    <n v="9"/>
    <n v="614"/>
    <n v="583"/>
    <n v="0.05"/>
    <n v="278"/>
    <n v="2745"/>
    <n v="0.52315608919382506"/>
    <n v="157"/>
    <n v="1332"/>
    <n v="0.25385934819897082"/>
    <x v="0"/>
    <x v="0"/>
    <n v="0"/>
    <n v="0"/>
    <n v="6.9999999999999993E-2"/>
  </r>
  <r>
    <s v="ORD-10469"/>
    <s v="02-Jan-2024"/>
    <x v="9"/>
    <x v="1"/>
    <s v="Textbook"/>
    <s v="Textbook - Model 314"/>
    <s v="Pune"/>
    <s v="West"/>
    <n v="9"/>
    <n v="2807"/>
    <n v="1796"/>
    <n v="0.36"/>
    <n v="1868"/>
    <n v="-648"/>
    <n v="-4.0089086859688199E-2"/>
    <n v="36"/>
    <n v="-972"/>
    <n v="-6.0133630289532294E-2"/>
    <x v="2"/>
    <x v="0"/>
    <n v="0"/>
    <n v="0"/>
    <n v="0.504"/>
  </r>
  <r>
    <s v="ORD-10470"/>
    <s v="16-Jan-2024"/>
    <x v="9"/>
    <x v="7"/>
    <s v="Kurta"/>
    <s v="Kurta - Model 340"/>
    <s v="Ahmedabad"/>
    <s v="West"/>
    <n v="19"/>
    <n v="4722"/>
    <n v="3825"/>
    <n v="0.19"/>
    <n v="3124"/>
    <n v="13319"/>
    <n v="0.18326797385620916"/>
    <n v="165"/>
    <n v="10184"/>
    <n v="0.14013071895424836"/>
    <x v="1"/>
    <x v="0"/>
    <n v="0"/>
    <n v="1"/>
    <n v="0.61599999999999988"/>
  </r>
  <r>
    <s v="ORD-10471"/>
    <s v="08-Feb-2024"/>
    <x v="4"/>
    <x v="4"/>
    <s v="Board Game"/>
    <s v="Board Game - Model 484"/>
    <s v="Hyderabad"/>
    <s v="South"/>
    <n v="3"/>
    <n v="3874"/>
    <n v="3022"/>
    <n v="0.22"/>
    <n v="2757"/>
    <n v="795"/>
    <n v="8.7690271343481133E-2"/>
    <n v="52"/>
    <n v="639"/>
    <n v="7.048312375909993E-2"/>
    <x v="3"/>
    <x v="0"/>
    <n v="0"/>
    <n v="0"/>
    <n v="0.308"/>
  </r>
  <r>
    <s v="ORD-10472"/>
    <s v="15-Mar-2024"/>
    <x v="2"/>
    <x v="5"/>
    <s v="Lipstick"/>
    <s v="Lipstick - Model 376"/>
    <s v="Hyderabad"/>
    <s v="South"/>
    <n v="11"/>
    <n v="1192"/>
    <n v="822"/>
    <n v="0.31"/>
    <n v="502"/>
    <n v="3520"/>
    <n v="0.38929440389294406"/>
    <n v="50"/>
    <n v="2970"/>
    <n v="0.32846715328467152"/>
    <x v="0"/>
    <x v="0"/>
    <n v="0"/>
    <n v="0"/>
    <n v="0.434"/>
  </r>
  <r>
    <s v="ORD-10473"/>
    <s v="08-Jun-2024"/>
    <x v="5"/>
    <x v="2"/>
    <s v="Cycle"/>
    <s v="Cycle - Model 260"/>
    <s v="Lucknow"/>
    <s v="North"/>
    <n v="6"/>
    <n v="4709"/>
    <n v="3532"/>
    <n v="0.25"/>
    <n v="2262"/>
    <n v="7620"/>
    <n v="0.3595696489241223"/>
    <n v="92"/>
    <n v="7068"/>
    <n v="0.33352208380520953"/>
    <x v="3"/>
    <x v="1"/>
    <n v="0"/>
    <n v="0"/>
    <n v="0.35"/>
  </r>
  <r>
    <s v="ORD-10474"/>
    <s v="16-Oct-2024"/>
    <x v="11"/>
    <x v="3"/>
    <s v="Rice"/>
    <s v="Rice - Model 114"/>
    <s v="Pune"/>
    <s v="West"/>
    <n v="8"/>
    <n v="2133"/>
    <n v="1706"/>
    <n v="0.2"/>
    <n v="1019"/>
    <n v="5496"/>
    <n v="0.4026963657678781"/>
    <n v="169"/>
    <n v="4144"/>
    <n v="0.30363423212192264"/>
    <x v="1"/>
    <x v="1"/>
    <n v="0"/>
    <n v="1"/>
    <n v="0.62999999999999989"/>
  </r>
  <r>
    <s v="ORD-10475"/>
    <s v="02-Jul-2024"/>
    <x v="3"/>
    <x v="0"/>
    <s v="Smartwatch"/>
    <s v="Smartwatch - Model 851"/>
    <s v="Jaipur"/>
    <s v="North"/>
    <n v="2"/>
    <n v="3520"/>
    <n v="2886"/>
    <n v="0.18"/>
    <n v="2406"/>
    <n v="960"/>
    <n v="0.16632016632016633"/>
    <n v="134"/>
    <n v="692"/>
    <n v="0.11988911988911989"/>
    <x v="2"/>
    <x v="0"/>
    <n v="0"/>
    <n v="0"/>
    <n v="0.252"/>
  </r>
  <r>
    <s v="ORD-10476"/>
    <s v="25-Sep-2024"/>
    <x v="7"/>
    <x v="0"/>
    <s v="Smartwatch"/>
    <s v="Smartwatch - Model 323"/>
    <s v="Bangalore"/>
    <s v="South"/>
    <n v="12"/>
    <n v="2507"/>
    <n v="1780"/>
    <n v="0.28999999999999998"/>
    <n v="1082"/>
    <n v="8376"/>
    <n v="0.39213483146067418"/>
    <n v="102"/>
    <n v="7152"/>
    <n v="0.33483146067415731"/>
    <x v="4"/>
    <x v="0"/>
    <n v="0"/>
    <n v="0"/>
    <n v="0.40599999999999997"/>
  </r>
  <r>
    <s v="ORD-10477"/>
    <s v="24-Oct-2024"/>
    <x v="11"/>
    <x v="0"/>
    <s v="Smartwatch"/>
    <s v="Smartwatch - Model 574"/>
    <s v="Bangalore"/>
    <s v="South"/>
    <n v="13"/>
    <n v="1643"/>
    <n v="1002"/>
    <n v="0.39"/>
    <n v="1018"/>
    <n v="-208"/>
    <n v="-1.5968063872255488E-2"/>
    <n v="136"/>
    <n v="-1976"/>
    <n v="-0.15169660678642716"/>
    <x v="2"/>
    <x v="0"/>
    <n v="0"/>
    <n v="0"/>
    <n v="0.54599999999999993"/>
  </r>
  <r>
    <s v="ORD-10478"/>
    <s v="11-Dec-2024"/>
    <x v="10"/>
    <x v="0"/>
    <s v="Headphones"/>
    <s v="Headphones - Model 536"/>
    <s v="Chennai"/>
    <s v="South"/>
    <n v="20"/>
    <n v="4431"/>
    <n v="2836"/>
    <n v="0.36"/>
    <n v="2994"/>
    <n v="-3160"/>
    <n v="-5.5712270803949221E-2"/>
    <n v="42"/>
    <n v="-4000"/>
    <n v="-7.0521861777150918E-2"/>
    <x v="4"/>
    <x v="0"/>
    <n v="0"/>
    <n v="0"/>
    <n v="0.504"/>
  </r>
  <r>
    <s v="ORD-10479"/>
    <s v="12-Nov-2024"/>
    <x v="0"/>
    <x v="0"/>
    <s v="Mobile"/>
    <s v="Mobile - Model 492"/>
    <s v="Kolkata"/>
    <s v="East"/>
    <n v="15"/>
    <n v="5029"/>
    <n v="4224"/>
    <n v="0.16"/>
    <n v="2320"/>
    <n v="28560"/>
    <n v="0.45075757575757575"/>
    <n v="114"/>
    <n v="26850"/>
    <n v="0.42376893939393939"/>
    <x v="2"/>
    <x v="3"/>
    <n v="1"/>
    <n v="0"/>
    <n v="0.22399999999999998"/>
  </r>
  <r>
    <s v="ORD-10480"/>
    <s v="11-Mar-2024"/>
    <x v="2"/>
    <x v="5"/>
    <s v="Sunscreen"/>
    <s v="Sunscreen - Model 216"/>
    <s v="Ahmedabad"/>
    <s v="West"/>
    <n v="19"/>
    <n v="6995"/>
    <n v="4757"/>
    <n v="0.32"/>
    <n v="4642"/>
    <n v="2185"/>
    <n v="2.4174900147151564E-2"/>
    <n v="144"/>
    <n v="-551"/>
    <n v="-6.0962791675425688E-3"/>
    <x v="4"/>
    <x v="0"/>
    <n v="0"/>
    <n v="0"/>
    <n v="0.44799999999999995"/>
  </r>
  <r>
    <s v="ORD-10481"/>
    <s v="14-Nov-2024"/>
    <x v="0"/>
    <x v="2"/>
    <s v="Shoes"/>
    <s v="Shoes - Model 164"/>
    <s v="Kolkata"/>
    <s v="East"/>
    <n v="12"/>
    <n v="3729"/>
    <n v="2871"/>
    <n v="0.23"/>
    <n v="2574"/>
    <n v="3564"/>
    <n v="0.10344827586206896"/>
    <n v="101"/>
    <n v="2352"/>
    <n v="6.8268895855102749E-2"/>
    <x v="3"/>
    <x v="0"/>
    <n v="0"/>
    <n v="0"/>
    <n v="0.32200000000000001"/>
  </r>
  <r>
    <s v="ORD-10482"/>
    <s v="15-May-2024"/>
    <x v="6"/>
    <x v="1"/>
    <s v="Fiction"/>
    <s v="Fiction - Model 292"/>
    <s v="Ahmedabad"/>
    <s v="West"/>
    <n v="3"/>
    <n v="825"/>
    <n v="495"/>
    <n v="0.4"/>
    <n v="413"/>
    <n v="246"/>
    <n v="0.16565656565656567"/>
    <n v="173"/>
    <n v="-273"/>
    <n v="-0.18383838383838383"/>
    <x v="2"/>
    <x v="0"/>
    <n v="0"/>
    <n v="0"/>
    <n v="0.55999999999999994"/>
  </r>
  <r>
    <s v="ORD-10483"/>
    <s v="16-Mar-2024"/>
    <x v="2"/>
    <x v="6"/>
    <s v="Pressure Cooker"/>
    <s v="Pressure Cooker - Model 633"/>
    <s v="Mumbai"/>
    <s v="West"/>
    <n v="10"/>
    <n v="3449"/>
    <n v="2380"/>
    <n v="0.31"/>
    <n v="2504"/>
    <n v="-1240"/>
    <n v="-5.2100840336134456E-2"/>
    <n v="101"/>
    <n v="-2250"/>
    <n v="-9.4537815126050417E-2"/>
    <x v="0"/>
    <x v="0"/>
    <n v="0"/>
    <n v="0"/>
    <n v="0.434"/>
  </r>
  <r>
    <s v="ORD-10484"/>
    <s v="07-May-2024"/>
    <x v="6"/>
    <x v="7"/>
    <s v="Kurta"/>
    <s v="Kurta - Model 992"/>
    <s v="Hyderabad"/>
    <s v="South"/>
    <n v="17"/>
    <n v="5228"/>
    <n v="4235"/>
    <n v="0.19"/>
    <n v="2718"/>
    <n v="25789"/>
    <n v="0.35820543093270368"/>
    <n v="127"/>
    <n v="23630"/>
    <n v="0.32821723730814639"/>
    <x v="4"/>
    <x v="0"/>
    <n v="0"/>
    <n v="0"/>
    <n v="0.26599999999999996"/>
  </r>
  <r>
    <s v="ORD-10485"/>
    <s v="27-Sep-2024"/>
    <x v="7"/>
    <x v="3"/>
    <s v="Pulses"/>
    <s v="Pulses - Model 411"/>
    <s v="Lucknow"/>
    <s v="North"/>
    <n v="5"/>
    <n v="7207"/>
    <n v="6198"/>
    <n v="0.14000000000000001"/>
    <n v="4874"/>
    <n v="6620"/>
    <n v="0.21361729590190384"/>
    <n v="64"/>
    <n v="6300"/>
    <n v="0.20329138431752178"/>
    <x v="4"/>
    <x v="3"/>
    <n v="1"/>
    <n v="0"/>
    <n v="0.19600000000000001"/>
  </r>
  <r>
    <s v="ORD-10486"/>
    <s v="05-Jan-2024"/>
    <x v="9"/>
    <x v="1"/>
    <s v="Textbook"/>
    <s v="Textbook - Model 566"/>
    <s v="Bangalore"/>
    <s v="South"/>
    <n v="20"/>
    <n v="7408"/>
    <n v="5037"/>
    <n v="0.32"/>
    <n v="3703"/>
    <n v="26680"/>
    <n v="0.26484018264840181"/>
    <n v="176"/>
    <n v="23160"/>
    <n v="0.22989874925550924"/>
    <x v="1"/>
    <x v="0"/>
    <n v="0"/>
    <n v="1"/>
    <n v="0.79799999999999993"/>
  </r>
  <r>
    <s v="ORD-10487"/>
    <s v="19-Jun-2024"/>
    <x v="5"/>
    <x v="6"/>
    <s v="Curtain"/>
    <s v="Curtain - Model 366"/>
    <s v="Kolkata"/>
    <s v="East"/>
    <n v="6"/>
    <n v="1800"/>
    <n v="1224"/>
    <n v="0.32"/>
    <n v="1139"/>
    <n v="510"/>
    <n v="6.9444444444444448E-2"/>
    <n v="177"/>
    <n v="-552"/>
    <n v="-7.5163398692810454E-2"/>
    <x v="1"/>
    <x v="0"/>
    <n v="0"/>
    <n v="1"/>
    <n v="0.79799999999999993"/>
  </r>
  <r>
    <s v="ORD-10488"/>
    <s v="18-Mar-2024"/>
    <x v="2"/>
    <x v="2"/>
    <s v="Shoes"/>
    <s v="Shoes - Model 125"/>
    <s v="Pune"/>
    <s v="West"/>
    <n v="16"/>
    <n v="6194"/>
    <n v="3531"/>
    <n v="0.43"/>
    <n v="4489"/>
    <n v="-15328"/>
    <n v="-0.27131124327386008"/>
    <n v="53"/>
    <n v="-16176"/>
    <n v="-0.28632115548003401"/>
    <x v="3"/>
    <x v="0"/>
    <n v="0"/>
    <n v="0"/>
    <n v="0.60199999999999998"/>
  </r>
  <r>
    <s v="ORD-10489"/>
    <s v="10-Dec-2024"/>
    <x v="10"/>
    <x v="3"/>
    <s v="Rice"/>
    <s v="Rice - Model 872"/>
    <s v="Lucknow"/>
    <s v="North"/>
    <n v="5"/>
    <n v="6437"/>
    <n v="4313"/>
    <n v="0.33"/>
    <n v="4653"/>
    <n v="-1700"/>
    <n v="-7.883143983306283E-2"/>
    <n v="81"/>
    <n v="-2105"/>
    <n v="-9.7611871087410151E-2"/>
    <x v="2"/>
    <x v="1"/>
    <n v="0"/>
    <n v="0"/>
    <n v="0.46199999999999997"/>
  </r>
  <r>
    <s v="ORD-10490"/>
    <s v="22-Mar-2024"/>
    <x v="2"/>
    <x v="7"/>
    <s v="Saree"/>
    <s v="Saree - Model 125"/>
    <s v="Pune"/>
    <s v="West"/>
    <n v="20"/>
    <n v="6759"/>
    <n v="5407"/>
    <n v="0.2"/>
    <n v="2922"/>
    <n v="49700"/>
    <n v="0.45958942112076939"/>
    <n v="38"/>
    <n v="48940"/>
    <n v="0.45256149435916404"/>
    <x v="1"/>
    <x v="0"/>
    <n v="0"/>
    <n v="1"/>
    <n v="0.62999999999999989"/>
  </r>
  <r>
    <s v="ORD-10491"/>
    <s v="07-May-2024"/>
    <x v="6"/>
    <x v="0"/>
    <s v="Mobile"/>
    <s v="Mobile - Model 651"/>
    <s v="Ahmedabad"/>
    <s v="West"/>
    <n v="3"/>
    <n v="7812"/>
    <n v="6406"/>
    <n v="0.18"/>
    <n v="4466"/>
    <n v="5820"/>
    <n v="0.30284108648142366"/>
    <n v="120"/>
    <n v="5460"/>
    <n v="0.28410864814236653"/>
    <x v="3"/>
    <x v="1"/>
    <n v="0"/>
    <n v="0"/>
    <n v="0.252"/>
  </r>
  <r>
    <s v="ORD-10492"/>
    <s v="13-Jun-2024"/>
    <x v="5"/>
    <x v="6"/>
    <s v="Curtain"/>
    <s v="Curtain - Model 478"/>
    <s v="Pune"/>
    <s v="West"/>
    <n v="12"/>
    <n v="295"/>
    <n v="248"/>
    <n v="0.16"/>
    <n v="150"/>
    <n v="1176"/>
    <n v="0.39516129032258063"/>
    <n v="97"/>
    <n v="12"/>
    <n v="4.0322580645161289E-3"/>
    <x v="3"/>
    <x v="0"/>
    <n v="0"/>
    <n v="0"/>
    <n v="0.22399999999999998"/>
  </r>
  <r>
    <s v="ORD-10493"/>
    <s v="24-Aug-2024"/>
    <x v="8"/>
    <x v="4"/>
    <s v="Remote Car"/>
    <s v="Remote Car - Model 395"/>
    <s v="Bangalore"/>
    <s v="South"/>
    <n v="14"/>
    <n v="5883"/>
    <n v="4765"/>
    <n v="0.19"/>
    <n v="4074"/>
    <n v="9674"/>
    <n v="0.14501573976915005"/>
    <n v="120"/>
    <n v="7994"/>
    <n v="0.11983210912906611"/>
    <x v="1"/>
    <x v="0"/>
    <n v="0"/>
    <n v="1"/>
    <n v="0.61599999999999988"/>
  </r>
  <r>
    <s v="ORD-10494"/>
    <s v="11-Sep-2024"/>
    <x v="7"/>
    <x v="7"/>
    <s v="Jacket"/>
    <s v="Jacket - Model 874"/>
    <s v="Pune"/>
    <s v="West"/>
    <n v="3"/>
    <n v="252"/>
    <n v="179"/>
    <n v="0.28999999999999998"/>
    <n v="125"/>
    <n v="162"/>
    <n v="0.3016759776536313"/>
    <n v="56"/>
    <n v="-6"/>
    <n v="-1.11731843575419E-2"/>
    <x v="0"/>
    <x v="3"/>
    <n v="1"/>
    <n v="0"/>
    <n v="0.40599999999999997"/>
  </r>
  <r>
    <s v="ORD-10495"/>
    <s v="07-Mar-2024"/>
    <x v="2"/>
    <x v="6"/>
    <s v="Curtain"/>
    <s v="Curtain - Model 396"/>
    <s v="Jaipur"/>
    <s v="North"/>
    <n v="16"/>
    <n v="529"/>
    <n v="333"/>
    <n v="0.37"/>
    <n v="366"/>
    <n v="-528"/>
    <n v="-9.90990990990991E-2"/>
    <n v="76"/>
    <n v="-1744"/>
    <n v="-0.32732732732732733"/>
    <x v="3"/>
    <x v="0"/>
    <n v="0"/>
    <n v="0"/>
    <n v="0.51800000000000002"/>
  </r>
  <r>
    <s v="ORD-10496"/>
    <s v="05-Jan-2024"/>
    <x v="9"/>
    <x v="2"/>
    <s v="Yoga Mat"/>
    <s v="Yoga Mat - Model 755"/>
    <s v="Ahmedabad"/>
    <s v="West"/>
    <n v="4"/>
    <n v="5300"/>
    <n v="3180"/>
    <n v="0.4"/>
    <n v="2894"/>
    <n v="1144"/>
    <n v="8.9937106918238988E-2"/>
    <n v="104"/>
    <n v="728"/>
    <n v="5.7232704402515724E-2"/>
    <x v="1"/>
    <x v="2"/>
    <n v="0"/>
    <n v="1"/>
    <n v="0.90999999999999992"/>
  </r>
  <r>
    <s v="ORD-10497"/>
    <s v="03-Aug-2024"/>
    <x v="8"/>
    <x v="1"/>
    <s v="Comic"/>
    <s v="Comic - Model 592"/>
    <s v="Lucknow"/>
    <s v="North"/>
    <n v="14"/>
    <n v="6973"/>
    <n v="5021"/>
    <n v="0.28000000000000003"/>
    <n v="3951"/>
    <n v="14980"/>
    <n v="0.21310495917147979"/>
    <n v="134"/>
    <n v="13104"/>
    <n v="0.18641704839673373"/>
    <x v="2"/>
    <x v="0"/>
    <n v="0"/>
    <n v="0"/>
    <n v="0.39200000000000002"/>
  </r>
  <r>
    <s v="ORD-10498"/>
    <s v="28-Jan-2024"/>
    <x v="9"/>
    <x v="2"/>
    <s v="Cricket Bat"/>
    <s v="Cricket Bat - Model 695"/>
    <s v="Mumbai"/>
    <s v="West"/>
    <n v="5"/>
    <n v="2694"/>
    <n v="1616"/>
    <n v="0.4"/>
    <n v="1205"/>
    <n v="2055"/>
    <n v="0.25433168316831684"/>
    <n v="54"/>
    <n v="1785"/>
    <n v="0.22091584158415842"/>
    <x v="4"/>
    <x v="0"/>
    <n v="0"/>
    <n v="0"/>
    <n v="0.55999999999999994"/>
  </r>
  <r>
    <s v="ORD-10499"/>
    <s v="02-Jun-2024"/>
    <x v="5"/>
    <x v="2"/>
    <s v="Yoga Mat"/>
    <s v="Yoga Mat - Model 642"/>
    <s v="Delhi"/>
    <s v="North"/>
    <n v="17"/>
    <n v="1712"/>
    <n v="1233"/>
    <n v="0.28000000000000003"/>
    <n v="1143"/>
    <n v="1530"/>
    <n v="7.2992700729927001E-2"/>
    <n v="120"/>
    <n v="-510"/>
    <n v="-2.4330900243309004E-2"/>
    <x v="1"/>
    <x v="1"/>
    <n v="0"/>
    <n v="1"/>
    <n v="0.74199999999999999"/>
  </r>
  <r>
    <s v="ORD-10500"/>
    <s v="26-Nov-2024"/>
    <x v="0"/>
    <x v="2"/>
    <s v="Yoga Mat"/>
    <s v="Yoga Mat - Model 801"/>
    <s v="Kolkata"/>
    <s v="East"/>
    <n v="4"/>
    <n v="4368"/>
    <n v="3669"/>
    <n v="0.16"/>
    <n v="1967"/>
    <n v="6808"/>
    <n v="0.46388661760697736"/>
    <n v="51"/>
    <n v="6604"/>
    <n v="0.44998637230853095"/>
    <x v="4"/>
    <x v="0"/>
    <n v="0"/>
    <n v="0"/>
    <n v="0.22399999999999998"/>
  </r>
  <r>
    <s v="ORD-10501"/>
    <s v="06-Jun-2024"/>
    <x v="5"/>
    <x v="7"/>
    <s v="Jeans"/>
    <s v="Jeans - Model 258"/>
    <s v="Jaipur"/>
    <s v="North"/>
    <n v="8"/>
    <n v="6686"/>
    <n v="4279"/>
    <n v="0.36"/>
    <n v="3982"/>
    <n v="2376"/>
    <n v="6.9408740359897178E-2"/>
    <n v="133"/>
    <n v="1312"/>
    <n v="3.8326711848562747E-2"/>
    <x v="3"/>
    <x v="0"/>
    <n v="0"/>
    <n v="0"/>
    <n v="0.504"/>
  </r>
  <r>
    <s v="ORD-10502"/>
    <s v="25-Dec-2024"/>
    <x v="10"/>
    <x v="7"/>
    <s v="Shoes"/>
    <s v="Shoes - Model 571"/>
    <s v="Delhi"/>
    <s v="North"/>
    <n v="4"/>
    <n v="6587"/>
    <n v="3820"/>
    <n v="0.42"/>
    <n v="3740"/>
    <n v="320"/>
    <n v="2.0942408376963352E-2"/>
    <n v="77"/>
    <n v="12"/>
    <n v="7.8534031413612568E-4"/>
    <x v="4"/>
    <x v="0"/>
    <n v="0"/>
    <n v="0"/>
    <n v="0.58799999999999997"/>
  </r>
  <r>
    <s v="ORD-10503"/>
    <s v="17-Oct-2024"/>
    <x v="11"/>
    <x v="1"/>
    <s v="Self-Help"/>
    <s v="Self-Help - Model 826"/>
    <s v="Chennai"/>
    <s v="South"/>
    <n v="1"/>
    <n v="6007"/>
    <n v="5707"/>
    <n v="0.05"/>
    <n v="2673"/>
    <n v="3034"/>
    <n v="0.53162782547748377"/>
    <n v="134"/>
    <n v="2900"/>
    <n v="0.50814788855791138"/>
    <x v="1"/>
    <x v="0"/>
    <n v="0"/>
    <n v="1"/>
    <n v="0.42"/>
  </r>
  <r>
    <s v="ORD-10504"/>
    <s v="14-Feb-2024"/>
    <x v="4"/>
    <x v="7"/>
    <s v="Kurta"/>
    <s v="Kurta - Model 119"/>
    <s v="Ahmedabad"/>
    <s v="West"/>
    <n v="14"/>
    <n v="532"/>
    <n v="505"/>
    <n v="0.05"/>
    <n v="360"/>
    <n v="2030"/>
    <n v="0.28712871287128711"/>
    <n v="107"/>
    <n v="532"/>
    <n v="7.5247524752475245E-2"/>
    <x v="2"/>
    <x v="1"/>
    <n v="0"/>
    <n v="0"/>
    <n v="6.9999999999999993E-2"/>
  </r>
  <r>
    <s v="ORD-10505"/>
    <s v="03-Jan-2024"/>
    <x v="9"/>
    <x v="2"/>
    <s v="Shoes"/>
    <s v="Shoes - Model 872"/>
    <s v="Delhi"/>
    <s v="North"/>
    <n v="4"/>
    <n v="7377"/>
    <n v="6713"/>
    <n v="0.09"/>
    <n v="5278"/>
    <n v="5740"/>
    <n v="0.21376433785192908"/>
    <n v="58"/>
    <n v="5508"/>
    <n v="0.20512438552063161"/>
    <x v="4"/>
    <x v="0"/>
    <n v="0"/>
    <n v="0"/>
    <n v="0.126"/>
  </r>
  <r>
    <s v="ORD-10506"/>
    <s v="09-Dec-2024"/>
    <x v="10"/>
    <x v="1"/>
    <s v="Textbook"/>
    <s v="Textbook - Model 264"/>
    <s v="Jaipur"/>
    <s v="North"/>
    <n v="20"/>
    <n v="2086"/>
    <n v="1544"/>
    <n v="0.26"/>
    <n v="907"/>
    <n v="12740"/>
    <n v="0.41256476683937826"/>
    <n v="117"/>
    <n v="10400"/>
    <n v="0.33678756476683935"/>
    <x v="2"/>
    <x v="0"/>
    <n v="0"/>
    <n v="0"/>
    <n v="0.36399999999999999"/>
  </r>
  <r>
    <s v="ORD-10507"/>
    <s v="06-May-2024"/>
    <x v="6"/>
    <x v="0"/>
    <s v="Mobile"/>
    <s v="Mobile - Model 319"/>
    <s v="Jaipur"/>
    <s v="North"/>
    <n v="16"/>
    <n v="3058"/>
    <n v="2232"/>
    <n v="0.27"/>
    <n v="1694"/>
    <n v="8608"/>
    <n v="0.24103942652329749"/>
    <n v="174"/>
    <n v="5824"/>
    <n v="0.16308243727598568"/>
    <x v="1"/>
    <x v="1"/>
    <n v="0"/>
    <n v="1"/>
    <n v="0.72799999999999998"/>
  </r>
  <r>
    <s v="ORD-10508"/>
    <s v="07-Jul-2024"/>
    <x v="3"/>
    <x v="5"/>
    <s v="Perfume"/>
    <s v="Perfume - Model 215"/>
    <s v="Kolkata"/>
    <s v="East"/>
    <n v="4"/>
    <n v="3834"/>
    <n v="2952"/>
    <n v="0.23"/>
    <n v="2199"/>
    <n v="3012"/>
    <n v="0.25508130081300812"/>
    <n v="84"/>
    <n v="2676"/>
    <n v="0.2266260162601626"/>
    <x v="4"/>
    <x v="0"/>
    <n v="0"/>
    <n v="0"/>
    <n v="0.32200000000000001"/>
  </r>
  <r>
    <s v="ORD-10509"/>
    <s v="16-Jun-2024"/>
    <x v="5"/>
    <x v="7"/>
    <s v="Shoes"/>
    <s v="Shoes - Model 390"/>
    <s v="Ahmedabad"/>
    <s v="West"/>
    <n v="20"/>
    <n v="5942"/>
    <n v="4100"/>
    <n v="0.31"/>
    <n v="4126"/>
    <n v="-520"/>
    <n v="-6.3414634146341468E-3"/>
    <n v="64"/>
    <n v="-1800"/>
    <n v="-2.1951219512195121E-2"/>
    <x v="0"/>
    <x v="2"/>
    <n v="0"/>
    <n v="0"/>
    <n v="0.434"/>
  </r>
  <r>
    <s v="ORD-10510"/>
    <s v="28-Apr-2024"/>
    <x v="1"/>
    <x v="7"/>
    <s v="Shoes"/>
    <s v="Shoes - Model 795"/>
    <s v="Kolkata"/>
    <s v="East"/>
    <n v="6"/>
    <n v="300"/>
    <n v="210"/>
    <n v="0.3"/>
    <n v="191"/>
    <n v="114"/>
    <n v="9.0476190476190474E-2"/>
    <n v="89"/>
    <n v="-420"/>
    <n v="-0.33333333333333331"/>
    <x v="3"/>
    <x v="0"/>
    <n v="0"/>
    <n v="0"/>
    <n v="0.42"/>
  </r>
  <r>
    <s v="ORD-10511"/>
    <s v="13-Mar-2024"/>
    <x v="2"/>
    <x v="4"/>
    <s v="Doll"/>
    <s v="Doll - Model 204"/>
    <s v="Bangalore"/>
    <s v="South"/>
    <n v="3"/>
    <n v="3037"/>
    <n v="2764"/>
    <n v="0.09"/>
    <n v="1428"/>
    <n v="4008"/>
    <n v="0.4833574529667149"/>
    <n v="157"/>
    <n v="3537"/>
    <n v="0.42655571635311146"/>
    <x v="0"/>
    <x v="2"/>
    <n v="0"/>
    <n v="0"/>
    <n v="0.126"/>
  </r>
  <r>
    <s v="ORD-10512"/>
    <s v="16-Dec-2024"/>
    <x v="10"/>
    <x v="2"/>
    <s v="Cycle"/>
    <s v="Cycle - Model 707"/>
    <s v="Chennai"/>
    <s v="South"/>
    <n v="13"/>
    <n v="2978"/>
    <n v="2085"/>
    <n v="0.3"/>
    <n v="2182"/>
    <n v="-1261"/>
    <n v="-4.6522781774580337E-2"/>
    <n v="178"/>
    <n v="-3575"/>
    <n v="-0.13189448441247004"/>
    <x v="3"/>
    <x v="3"/>
    <n v="1"/>
    <n v="0"/>
    <n v="0.42"/>
  </r>
  <r>
    <s v="ORD-10513"/>
    <s v="04-Feb-2024"/>
    <x v="4"/>
    <x v="2"/>
    <s v="Dumbbells"/>
    <s v="Dumbbells - Model 609"/>
    <s v="Hyderabad"/>
    <s v="South"/>
    <n v="5"/>
    <n v="432"/>
    <n v="289"/>
    <n v="0.33"/>
    <n v="298"/>
    <n v="-45"/>
    <n v="-3.1141868512110725E-2"/>
    <n v="105"/>
    <n v="-570"/>
    <n v="-0.3944636678200692"/>
    <x v="2"/>
    <x v="0"/>
    <n v="0"/>
    <n v="0"/>
    <n v="0.46199999999999997"/>
  </r>
  <r>
    <s v="ORD-10514"/>
    <s v="11-Nov-2024"/>
    <x v="0"/>
    <x v="6"/>
    <s v="Bedsheet"/>
    <s v="Bedsheet - Model 736"/>
    <s v="Lucknow"/>
    <s v="North"/>
    <n v="4"/>
    <n v="6129"/>
    <n v="4290"/>
    <n v="0.3"/>
    <n v="3567"/>
    <n v="2892"/>
    <n v="0.16853146853146853"/>
    <n v="104"/>
    <n v="2476"/>
    <n v="0.14428904428904429"/>
    <x v="0"/>
    <x v="0"/>
    <n v="0"/>
    <n v="0"/>
    <n v="0.42"/>
  </r>
  <r>
    <s v="ORD-10515"/>
    <s v="17-Aug-2024"/>
    <x v="8"/>
    <x v="2"/>
    <s v="Cycle"/>
    <s v="Cycle - Model 451"/>
    <s v="Jaipur"/>
    <s v="North"/>
    <n v="18"/>
    <n v="338"/>
    <n v="223"/>
    <n v="0.34"/>
    <n v="252"/>
    <n v="-522"/>
    <n v="-0.13004484304932734"/>
    <n v="162"/>
    <n v="-3438"/>
    <n v="-0.8565022421524664"/>
    <x v="2"/>
    <x v="0"/>
    <n v="0"/>
    <n v="0"/>
    <n v="0.47599999999999998"/>
  </r>
  <r>
    <s v="ORD-10516"/>
    <s v="15-Jul-2024"/>
    <x v="3"/>
    <x v="3"/>
    <s v="Atta"/>
    <s v="Atta - Model 133"/>
    <s v="Bangalore"/>
    <s v="South"/>
    <n v="18"/>
    <n v="5343"/>
    <n v="3473"/>
    <n v="0.35"/>
    <n v="3792"/>
    <n v="-5742"/>
    <n v="-9.1851425280737115E-2"/>
    <n v="55"/>
    <n v="-6732"/>
    <n v="-0.10768787791534697"/>
    <x v="0"/>
    <x v="0"/>
    <n v="0"/>
    <n v="0"/>
    <n v="0.48999999999999994"/>
  </r>
  <r>
    <s v="ORD-10517"/>
    <s v="25-Aug-2024"/>
    <x v="8"/>
    <x v="7"/>
    <s v="Jacket"/>
    <s v="Jacket - Model 791"/>
    <s v="Ahmedabad"/>
    <s v="West"/>
    <n v="18"/>
    <n v="5546"/>
    <n v="4104"/>
    <n v="0.26"/>
    <n v="3142"/>
    <n v="17316"/>
    <n v="0.23440545808966862"/>
    <n v="158"/>
    <n v="14472"/>
    <n v="0.195906432748538"/>
    <x v="3"/>
    <x v="0"/>
    <n v="0"/>
    <n v="0"/>
    <n v="0.36399999999999999"/>
  </r>
  <r>
    <s v="ORD-10518"/>
    <s v="13-Oct-2024"/>
    <x v="11"/>
    <x v="1"/>
    <s v="Textbook"/>
    <s v="Textbook - Model 428"/>
    <s v="Mumbai"/>
    <s v="West"/>
    <n v="1"/>
    <n v="4806"/>
    <n v="4518"/>
    <n v="0.06"/>
    <n v="2539"/>
    <n v="1979"/>
    <n v="0.43802567507746792"/>
    <n v="151"/>
    <n v="1828"/>
    <n v="0.40460380699424525"/>
    <x v="3"/>
    <x v="1"/>
    <n v="0"/>
    <n v="0"/>
    <n v="8.3999999999999991E-2"/>
  </r>
  <r>
    <s v="ORD-10519"/>
    <s v="13-Jun-2024"/>
    <x v="5"/>
    <x v="7"/>
    <s v="Shoes"/>
    <s v="Shoes - Model 453"/>
    <s v="Kolkata"/>
    <s v="East"/>
    <n v="14"/>
    <n v="2940"/>
    <n v="2058"/>
    <n v="0.3"/>
    <n v="1431"/>
    <n v="8778"/>
    <n v="0.30466472303206998"/>
    <n v="127"/>
    <n v="7000"/>
    <n v="0.24295432458697766"/>
    <x v="3"/>
    <x v="0"/>
    <n v="0"/>
    <n v="0"/>
    <n v="0.42"/>
  </r>
  <r>
    <s v="ORD-10520"/>
    <s v="04-May-2024"/>
    <x v="6"/>
    <x v="1"/>
    <s v="Self-Help"/>
    <s v="Self-Help - Model 120"/>
    <s v="Jaipur"/>
    <s v="North"/>
    <n v="11"/>
    <n v="492"/>
    <n v="344"/>
    <n v="0.3"/>
    <n v="270"/>
    <n v="814"/>
    <n v="0.21511627906976744"/>
    <n v="107"/>
    <n v="-363"/>
    <n v="-9.5930232558139539E-2"/>
    <x v="0"/>
    <x v="0"/>
    <n v="0"/>
    <n v="0"/>
    <n v="0.42"/>
  </r>
  <r>
    <s v="ORD-10521"/>
    <s v="01-Oct-2024"/>
    <x v="11"/>
    <x v="1"/>
    <s v="Children"/>
    <s v="Children - Model 684"/>
    <s v="Pune"/>
    <s v="West"/>
    <n v="11"/>
    <n v="4666"/>
    <n v="2986"/>
    <n v="0.36"/>
    <n v="2030"/>
    <n v="10516"/>
    <n v="0.3201607501674481"/>
    <n v="131"/>
    <n v="9075"/>
    <n v="0.27628935030140656"/>
    <x v="4"/>
    <x v="3"/>
    <n v="1"/>
    <n v="0"/>
    <n v="0.504"/>
  </r>
  <r>
    <s v="ORD-10522"/>
    <s v="11-Nov-2024"/>
    <x v="0"/>
    <x v="6"/>
    <s v="Lamp"/>
    <s v="Lamp - Model 406"/>
    <s v="Kolkata"/>
    <s v="East"/>
    <n v="14"/>
    <n v="1774"/>
    <n v="1260"/>
    <n v="0.28999999999999998"/>
    <n v="1314"/>
    <n v="-756"/>
    <n v="-4.2857142857142858E-2"/>
    <n v="41"/>
    <n v="-1330"/>
    <n v="-7.5396825396825393E-2"/>
    <x v="3"/>
    <x v="0"/>
    <n v="0"/>
    <n v="0"/>
    <n v="0.40599999999999997"/>
  </r>
  <r>
    <s v="ORD-10523"/>
    <s v="19-May-2024"/>
    <x v="6"/>
    <x v="4"/>
    <s v="Board Game"/>
    <s v="Board Game - Model 739"/>
    <s v="Delhi"/>
    <s v="North"/>
    <n v="19"/>
    <n v="939"/>
    <n v="798"/>
    <n v="0.15"/>
    <n v="398"/>
    <n v="7600"/>
    <n v="0.50125313283208017"/>
    <n v="150"/>
    <n v="4750"/>
    <n v="0.31328320802005011"/>
    <x v="0"/>
    <x v="0"/>
    <n v="0"/>
    <n v="0"/>
    <n v="0.21"/>
  </r>
  <r>
    <s v="ORD-10524"/>
    <s v="21-Feb-2024"/>
    <x v="4"/>
    <x v="2"/>
    <s v="Cycle"/>
    <s v="Cycle - Model 923"/>
    <s v="Chennai"/>
    <s v="South"/>
    <n v="14"/>
    <n v="5375"/>
    <n v="4622"/>
    <n v="0.14000000000000001"/>
    <n v="2929"/>
    <n v="23702"/>
    <n v="0.36629164863695368"/>
    <n v="68"/>
    <n v="22750"/>
    <n v="0.35157940285590655"/>
    <x v="3"/>
    <x v="3"/>
    <n v="1"/>
    <n v="0"/>
    <n v="0.19600000000000001"/>
  </r>
  <r>
    <s v="ORD-10525"/>
    <s v="01-Mar-2024"/>
    <x v="2"/>
    <x v="6"/>
    <s v="Lamp"/>
    <s v="Lamp - Model 611"/>
    <s v="Hyderabad"/>
    <s v="South"/>
    <n v="15"/>
    <n v="2290"/>
    <n v="1626"/>
    <n v="0.28999999999999998"/>
    <n v="1564"/>
    <n v="930"/>
    <n v="3.8130381303813035E-2"/>
    <n v="158"/>
    <n v="-1440"/>
    <n v="-5.9040590405904057E-2"/>
    <x v="0"/>
    <x v="0"/>
    <n v="0"/>
    <n v="0"/>
    <n v="0.40599999999999997"/>
  </r>
  <r>
    <s v="ORD-10526"/>
    <s v="17-Jan-2024"/>
    <x v="9"/>
    <x v="5"/>
    <s v="Lipstick"/>
    <s v="Lipstick - Model 573"/>
    <s v="Bangalore"/>
    <s v="South"/>
    <n v="8"/>
    <n v="1374"/>
    <n v="948"/>
    <n v="0.31"/>
    <n v="694"/>
    <n v="2032"/>
    <n v="0.2679324894514768"/>
    <n v="95"/>
    <n v="1272"/>
    <n v="0.16772151898734178"/>
    <x v="4"/>
    <x v="1"/>
    <n v="0"/>
    <n v="0"/>
    <n v="0.434"/>
  </r>
  <r>
    <s v="ORD-10527"/>
    <s v="07-Nov-2024"/>
    <x v="0"/>
    <x v="4"/>
    <s v="Puzzle"/>
    <s v="Puzzle - Model 943"/>
    <s v="Chennai"/>
    <s v="South"/>
    <n v="6"/>
    <n v="2200"/>
    <n v="1606"/>
    <n v="0.27"/>
    <n v="1193"/>
    <n v="2478"/>
    <n v="0.25716064757160645"/>
    <n v="47"/>
    <n v="2196"/>
    <n v="0.22789539227895392"/>
    <x v="1"/>
    <x v="2"/>
    <n v="0"/>
    <n v="1"/>
    <n v="0.72799999999999998"/>
  </r>
  <r>
    <s v="ORD-10528"/>
    <s v="15-May-2024"/>
    <x v="6"/>
    <x v="3"/>
    <s v="Spices"/>
    <s v="Spices - Model 546"/>
    <s v="Pune"/>
    <s v="West"/>
    <n v="2"/>
    <n v="1776"/>
    <n v="1563"/>
    <n v="0.12"/>
    <n v="729"/>
    <n v="1668"/>
    <n v="0.53358925143953939"/>
    <n v="148"/>
    <n v="1372"/>
    <n v="0.43889955214331416"/>
    <x v="4"/>
    <x v="0"/>
    <n v="0"/>
    <n v="0"/>
    <n v="0.16799999999999998"/>
  </r>
  <r>
    <s v="ORD-10529"/>
    <s v="24-Jan-2024"/>
    <x v="9"/>
    <x v="3"/>
    <s v="Atta"/>
    <s v="Atta - Model 156"/>
    <s v="Delhi"/>
    <s v="North"/>
    <n v="11"/>
    <n v="4892"/>
    <n v="2984"/>
    <n v="0.39"/>
    <n v="3499"/>
    <n v="-5665"/>
    <n v="-0.17258713136729223"/>
    <n v="91"/>
    <n v="-6666"/>
    <n v="-0.20308310991957104"/>
    <x v="4"/>
    <x v="1"/>
    <n v="0"/>
    <n v="0"/>
    <n v="0.54599999999999993"/>
  </r>
  <r>
    <s v="ORD-10530"/>
    <s v="27-Jul-2024"/>
    <x v="3"/>
    <x v="6"/>
    <s v="Pressure Cooker"/>
    <s v="Pressure Cooker - Model 214"/>
    <s v="Lucknow"/>
    <s v="North"/>
    <n v="17"/>
    <n v="7477"/>
    <n v="5757"/>
    <n v="0.23"/>
    <n v="5160"/>
    <n v="10149"/>
    <n v="0.10369984366857739"/>
    <n v="172"/>
    <n v="7225"/>
    <n v="7.3823171790863298E-2"/>
    <x v="3"/>
    <x v="1"/>
    <n v="0"/>
    <n v="0"/>
    <n v="0.32200000000000001"/>
  </r>
  <r>
    <s v="ORD-10531"/>
    <s v="20-Apr-2024"/>
    <x v="1"/>
    <x v="7"/>
    <s v="Saree"/>
    <s v="Saree - Model 437"/>
    <s v="Lucknow"/>
    <s v="North"/>
    <n v="13"/>
    <n v="6486"/>
    <n v="4346"/>
    <n v="0.33"/>
    <n v="4718"/>
    <n v="-4836"/>
    <n v="-8.5595950299125631E-2"/>
    <n v="63"/>
    <n v="-5655"/>
    <n v="-0.10009203865623562"/>
    <x v="2"/>
    <x v="1"/>
    <n v="0"/>
    <n v="0"/>
    <n v="0.46199999999999997"/>
  </r>
  <r>
    <s v="ORD-10532"/>
    <s v="14-Aug-2024"/>
    <x v="8"/>
    <x v="2"/>
    <s v="Cycle"/>
    <s v="Cycle - Model 157"/>
    <s v="Ahmedabad"/>
    <s v="West"/>
    <n v="18"/>
    <n v="3123"/>
    <n v="1780"/>
    <n v="0.43"/>
    <n v="1595"/>
    <n v="3330"/>
    <n v="0.10393258426966293"/>
    <n v="94"/>
    <n v="1638"/>
    <n v="5.1123595505617979E-2"/>
    <x v="1"/>
    <x v="1"/>
    <n v="0"/>
    <n v="1"/>
    <n v="0.95199999999999996"/>
  </r>
  <r>
    <s v="ORD-10533"/>
    <s v="12-Mar-2024"/>
    <x v="2"/>
    <x v="3"/>
    <s v="Rice"/>
    <s v="Rice - Model 941"/>
    <s v="Chennai"/>
    <s v="South"/>
    <n v="1"/>
    <n v="5234"/>
    <n v="3088"/>
    <n v="0.41"/>
    <n v="2157"/>
    <n v="931"/>
    <n v="0.3014896373056995"/>
    <n v="141"/>
    <n v="790"/>
    <n v="0.25582901554404147"/>
    <x v="2"/>
    <x v="3"/>
    <n v="1"/>
    <n v="0"/>
    <n v="0.57399999999999995"/>
  </r>
  <r>
    <s v="ORD-10534"/>
    <s v="09-Apr-2024"/>
    <x v="1"/>
    <x v="4"/>
    <s v="Puzzle"/>
    <s v="Puzzle - Model 754"/>
    <s v="Kolkata"/>
    <s v="East"/>
    <n v="4"/>
    <n v="4372"/>
    <n v="3891"/>
    <n v="0.11"/>
    <n v="2426"/>
    <n v="5860"/>
    <n v="0.37650989462863016"/>
    <n v="31"/>
    <n v="5736"/>
    <n v="0.36854279105628374"/>
    <x v="0"/>
    <x v="1"/>
    <n v="0"/>
    <n v="0"/>
    <n v="0.154"/>
  </r>
  <r>
    <s v="ORD-10535"/>
    <s v="03-May-2024"/>
    <x v="6"/>
    <x v="5"/>
    <s v="Lipstick"/>
    <s v="Lipstick - Model 315"/>
    <s v="Bangalore"/>
    <s v="South"/>
    <n v="15"/>
    <n v="5125"/>
    <n v="3075"/>
    <n v="0.4"/>
    <n v="3425"/>
    <n v="-5250"/>
    <n v="-0.11382113821138211"/>
    <n v="91"/>
    <n v="-6615"/>
    <n v="-0.14341463414634145"/>
    <x v="2"/>
    <x v="0"/>
    <n v="0"/>
    <n v="0"/>
    <n v="0.55999999999999994"/>
  </r>
  <r>
    <s v="ORD-10536"/>
    <s v="16-Aug-2024"/>
    <x v="8"/>
    <x v="4"/>
    <s v="Puzzle"/>
    <s v="Puzzle - Model 834"/>
    <s v="Pune"/>
    <s v="West"/>
    <n v="4"/>
    <n v="6630"/>
    <n v="4575"/>
    <n v="0.31"/>
    <n v="3827"/>
    <n v="2992"/>
    <n v="0.16349726775956283"/>
    <n v="83"/>
    <n v="2660"/>
    <n v="0.14535519125683061"/>
    <x v="3"/>
    <x v="0"/>
    <n v="0"/>
    <n v="0"/>
    <n v="0.434"/>
  </r>
  <r>
    <s v="ORD-10537"/>
    <s v="15-Jun-2024"/>
    <x v="5"/>
    <x v="0"/>
    <s v="Mobile"/>
    <s v="Mobile - Model 756"/>
    <s v="Bangalore"/>
    <s v="South"/>
    <n v="15"/>
    <n v="6370"/>
    <n v="5988"/>
    <n v="0.06"/>
    <n v="3441"/>
    <n v="38205"/>
    <n v="0.42535070140280562"/>
    <n v="124"/>
    <n v="36345"/>
    <n v="0.40464261857047429"/>
    <x v="4"/>
    <x v="0"/>
    <n v="0"/>
    <n v="0"/>
    <n v="8.3999999999999991E-2"/>
  </r>
  <r>
    <s v="ORD-10538"/>
    <s v="17-Apr-2024"/>
    <x v="1"/>
    <x v="6"/>
    <s v="Lamp"/>
    <s v="Lamp - Model 802"/>
    <s v="Pune"/>
    <s v="West"/>
    <n v="11"/>
    <n v="3722"/>
    <n v="2270"/>
    <n v="0.39"/>
    <n v="1663"/>
    <n v="6677"/>
    <n v="0.26740088105726872"/>
    <n v="56"/>
    <n v="6061"/>
    <n v="0.24273127753303964"/>
    <x v="3"/>
    <x v="3"/>
    <n v="1"/>
    <n v="0"/>
    <n v="0.54599999999999993"/>
  </r>
  <r>
    <s v="ORD-10539"/>
    <s v="03-Apr-2024"/>
    <x v="1"/>
    <x v="4"/>
    <s v="Puzzle"/>
    <s v="Puzzle - Model 286"/>
    <s v="Pune"/>
    <s v="West"/>
    <n v="13"/>
    <n v="7569"/>
    <n v="4541"/>
    <n v="0.4"/>
    <n v="3622"/>
    <n v="11947"/>
    <n v="0.20237833076414888"/>
    <n v="172"/>
    <n v="9711"/>
    <n v="0.16450121118696323"/>
    <x v="3"/>
    <x v="0"/>
    <n v="0"/>
    <n v="0"/>
    <n v="0.55999999999999994"/>
  </r>
  <r>
    <s v="ORD-10540"/>
    <s v="15-Feb-2024"/>
    <x v="4"/>
    <x v="5"/>
    <s v="Lipstick"/>
    <s v="Lipstick - Model 818"/>
    <s v="Bangalore"/>
    <s v="South"/>
    <n v="2"/>
    <n v="3328"/>
    <n v="2696"/>
    <n v="0.19"/>
    <n v="1634"/>
    <n v="2124"/>
    <n v="0.39391691394658751"/>
    <n v="43"/>
    <n v="2038"/>
    <n v="0.3779673590504451"/>
    <x v="4"/>
    <x v="0"/>
    <n v="0"/>
    <n v="0"/>
    <n v="0.26599999999999996"/>
  </r>
  <r>
    <s v="ORD-10541"/>
    <s v="23-Jan-2024"/>
    <x v="9"/>
    <x v="4"/>
    <s v="Remote Car"/>
    <s v="Remote Car - Model 947"/>
    <s v="Ahmedabad"/>
    <s v="West"/>
    <n v="4"/>
    <n v="1951"/>
    <n v="1775"/>
    <n v="0.09"/>
    <n v="1426"/>
    <n v="1396"/>
    <n v="0.19661971830985916"/>
    <n v="152"/>
    <n v="788"/>
    <n v="0.11098591549295775"/>
    <x v="4"/>
    <x v="0"/>
    <n v="0"/>
    <n v="0"/>
    <n v="0.126"/>
  </r>
  <r>
    <s v="ORD-10542"/>
    <s v="14-Mar-2024"/>
    <x v="2"/>
    <x v="5"/>
    <s v="Sunscreen"/>
    <s v="Sunscreen - Model 320"/>
    <s v="Chennai"/>
    <s v="South"/>
    <n v="7"/>
    <n v="3463"/>
    <n v="2840"/>
    <n v="0.18"/>
    <n v="1562"/>
    <n v="8946"/>
    <n v="0.45"/>
    <n v="74"/>
    <n v="8428"/>
    <n v="0.42394366197183098"/>
    <x v="4"/>
    <x v="0"/>
    <n v="0"/>
    <n v="0"/>
    <n v="0.252"/>
  </r>
  <r>
    <s v="ORD-10543"/>
    <s v="12-Apr-2024"/>
    <x v="1"/>
    <x v="3"/>
    <s v="Atta"/>
    <s v="Atta - Model 110"/>
    <s v="Ahmedabad"/>
    <s v="West"/>
    <n v="5"/>
    <n v="6997"/>
    <n v="3918"/>
    <n v="0.44"/>
    <n v="3772"/>
    <n v="730"/>
    <n v="3.7263910158244005E-2"/>
    <n v="62"/>
    <n v="420"/>
    <n v="2.1439509954058193E-2"/>
    <x v="0"/>
    <x v="0"/>
    <n v="0"/>
    <n v="0"/>
    <n v="0.61599999999999999"/>
  </r>
  <r>
    <s v="ORD-10544"/>
    <s v="03-May-2024"/>
    <x v="6"/>
    <x v="7"/>
    <s v="Jacket"/>
    <s v="Jacket - Model 160"/>
    <s v="Mumbai"/>
    <s v="West"/>
    <n v="11"/>
    <n v="7462"/>
    <n v="5895"/>
    <n v="0.21"/>
    <n v="3910"/>
    <n v="21835"/>
    <n v="0.33672603901611536"/>
    <n v="121"/>
    <n v="20504"/>
    <n v="0.31620016963528413"/>
    <x v="3"/>
    <x v="3"/>
    <n v="1"/>
    <n v="0"/>
    <n v="0.29399999999999998"/>
  </r>
  <r>
    <s v="ORD-10545"/>
    <s v="09-Jan-2024"/>
    <x v="9"/>
    <x v="4"/>
    <s v="Puzzle"/>
    <s v="Puzzle - Model 504"/>
    <s v="Kolkata"/>
    <s v="East"/>
    <n v="5"/>
    <n v="7751"/>
    <n v="5813"/>
    <n v="0.25"/>
    <n v="4675"/>
    <n v="5690"/>
    <n v="0.19576810596937899"/>
    <n v="69"/>
    <n v="5345"/>
    <n v="0.18389815929812489"/>
    <x v="3"/>
    <x v="0"/>
    <n v="0"/>
    <n v="0"/>
    <n v="0.35"/>
  </r>
  <r>
    <s v="ORD-10546"/>
    <s v="05-Aug-2024"/>
    <x v="8"/>
    <x v="7"/>
    <s v="Saree"/>
    <s v="Saree - Model 827"/>
    <s v="Jaipur"/>
    <s v="North"/>
    <n v="14"/>
    <n v="1306"/>
    <n v="1241"/>
    <n v="0.05"/>
    <n v="543"/>
    <n v="9772"/>
    <n v="0.56244963738920228"/>
    <n v="49"/>
    <n v="9086"/>
    <n v="0.52296535052377113"/>
    <x v="4"/>
    <x v="1"/>
    <n v="0"/>
    <n v="0"/>
    <n v="6.9999999999999993E-2"/>
  </r>
  <r>
    <s v="ORD-10547"/>
    <s v="09-May-2024"/>
    <x v="6"/>
    <x v="2"/>
    <s v="Cycle"/>
    <s v="Cycle - Model 420"/>
    <s v="Pune"/>
    <s v="West"/>
    <n v="6"/>
    <n v="2661"/>
    <n v="1464"/>
    <n v="0.45"/>
    <n v="1776"/>
    <n v="-1872"/>
    <n v="-0.21311475409836064"/>
    <n v="53"/>
    <n v="-2190"/>
    <n v="-0.24931693989071038"/>
    <x v="0"/>
    <x v="0"/>
    <n v="0"/>
    <n v="0"/>
    <n v="0.63"/>
  </r>
  <r>
    <s v="ORD-10548"/>
    <s v="06-Apr-2024"/>
    <x v="1"/>
    <x v="0"/>
    <s v="Smartwatch"/>
    <s v="Smartwatch - Model 366"/>
    <s v="Bangalore"/>
    <s v="South"/>
    <n v="15"/>
    <n v="3604"/>
    <n v="1982"/>
    <n v="0.45"/>
    <n v="2611"/>
    <n v="-9435"/>
    <n v="-0.31735620585267404"/>
    <n v="36"/>
    <n v="-9975"/>
    <n v="-0.33551967709384461"/>
    <x v="4"/>
    <x v="0"/>
    <n v="0"/>
    <n v="0"/>
    <n v="0.63"/>
  </r>
  <r>
    <s v="ORD-10549"/>
    <s v="16-Aug-2024"/>
    <x v="8"/>
    <x v="7"/>
    <s v="Jeans"/>
    <s v="Jeans - Model 226"/>
    <s v="Kolkata"/>
    <s v="East"/>
    <n v="3"/>
    <n v="1789"/>
    <n v="1556"/>
    <n v="0.13"/>
    <n v="1238"/>
    <n v="954"/>
    <n v="0.20437017994858611"/>
    <n v="142"/>
    <n v="528"/>
    <n v="0.11311053984575835"/>
    <x v="4"/>
    <x v="0"/>
    <n v="0"/>
    <n v="0"/>
    <n v="0.182"/>
  </r>
  <r>
    <s v="ORD-10550"/>
    <s v="19-Apr-2024"/>
    <x v="1"/>
    <x v="0"/>
    <s v="Tablet"/>
    <s v="Tablet - Model 885"/>
    <s v="Lucknow"/>
    <s v="North"/>
    <n v="6"/>
    <n v="3448"/>
    <n v="3345"/>
    <n v="0.03"/>
    <n v="2306"/>
    <n v="6234"/>
    <n v="0.31061285500747382"/>
    <n v="132"/>
    <n v="5442"/>
    <n v="0.2711509715994021"/>
    <x v="4"/>
    <x v="0"/>
    <n v="0"/>
    <n v="0"/>
    <n v="4.1999999999999996E-2"/>
  </r>
  <r>
    <s v="ORD-10551"/>
    <s v="04-Nov-2024"/>
    <x v="0"/>
    <x v="4"/>
    <s v="Puzzle"/>
    <s v="Puzzle - Model 704"/>
    <s v="Delhi"/>
    <s v="North"/>
    <n v="11"/>
    <n v="1399"/>
    <n v="1343"/>
    <n v="0.04"/>
    <n v="966"/>
    <n v="4147"/>
    <n v="0.28071481757259864"/>
    <n v="129"/>
    <n v="2728"/>
    <n v="0.18466120625465376"/>
    <x v="0"/>
    <x v="0"/>
    <n v="0"/>
    <n v="0"/>
    <n v="5.5999999999999994E-2"/>
  </r>
  <r>
    <s v="ORD-10552"/>
    <s v="01-Nov-2024"/>
    <x v="0"/>
    <x v="1"/>
    <s v="Fiction"/>
    <s v="Fiction - Model 771"/>
    <s v="Lucknow"/>
    <s v="North"/>
    <n v="15"/>
    <n v="2734"/>
    <n v="1832"/>
    <n v="0.33"/>
    <n v="1796"/>
    <n v="540"/>
    <n v="1.9650655021834062E-2"/>
    <n v="174"/>
    <n v="-2070"/>
    <n v="-7.5327510917030563E-2"/>
    <x v="3"/>
    <x v="2"/>
    <n v="0"/>
    <n v="0"/>
    <n v="0.46199999999999997"/>
  </r>
  <r>
    <s v="ORD-10553"/>
    <s v="10-Nov-2024"/>
    <x v="0"/>
    <x v="1"/>
    <s v="Fiction"/>
    <s v="Fiction - Model 861"/>
    <s v="Delhi"/>
    <s v="North"/>
    <n v="18"/>
    <n v="7625"/>
    <n v="6329"/>
    <n v="0.17"/>
    <n v="4114"/>
    <n v="39870"/>
    <n v="0.34997629957339232"/>
    <n v="57"/>
    <n v="38844"/>
    <n v="0.34097013746247434"/>
    <x v="0"/>
    <x v="2"/>
    <n v="0"/>
    <n v="0"/>
    <n v="0.23799999999999999"/>
  </r>
  <r>
    <s v="ORD-10554"/>
    <s v="13-Mar-2024"/>
    <x v="2"/>
    <x v="4"/>
    <s v="Puzzle"/>
    <s v="Puzzle - Model 762"/>
    <s v="Bangalore"/>
    <s v="South"/>
    <n v="4"/>
    <n v="2529"/>
    <n v="1619"/>
    <n v="0.36"/>
    <n v="1663"/>
    <n v="-176"/>
    <n v="-2.7177269919703522E-2"/>
    <n v="168"/>
    <n v="-848"/>
    <n v="-0.13094502779493514"/>
    <x v="3"/>
    <x v="0"/>
    <n v="0"/>
    <n v="0"/>
    <n v="0.504"/>
  </r>
  <r>
    <s v="ORD-10555"/>
    <s v="17-Jun-2024"/>
    <x v="5"/>
    <x v="5"/>
    <s v="Perfume"/>
    <s v="Perfume - Model 556"/>
    <s v="Pune"/>
    <s v="West"/>
    <n v="16"/>
    <n v="2294"/>
    <n v="1675"/>
    <n v="0.27"/>
    <n v="990"/>
    <n v="10960"/>
    <n v="0.40895522388059702"/>
    <n v="93"/>
    <n v="9472"/>
    <n v="0.35343283582089552"/>
    <x v="4"/>
    <x v="0"/>
    <n v="0"/>
    <n v="0"/>
    <n v="0.378"/>
  </r>
  <r>
    <s v="ORD-10556"/>
    <s v="03-Jul-2024"/>
    <x v="3"/>
    <x v="0"/>
    <s v="Tablet"/>
    <s v="Tablet - Model 449"/>
    <s v="Ahmedabad"/>
    <s v="West"/>
    <n v="8"/>
    <n v="5251"/>
    <n v="3571"/>
    <n v="0.32"/>
    <n v="3811"/>
    <n v="-1920"/>
    <n v="-6.7208064967796133E-2"/>
    <n v="109"/>
    <n v="-2792"/>
    <n v="-9.7731727807336882E-2"/>
    <x v="3"/>
    <x v="0"/>
    <n v="0"/>
    <n v="0"/>
    <n v="0.44799999999999995"/>
  </r>
  <r>
    <s v="ORD-10557"/>
    <s v="26-Feb-2024"/>
    <x v="4"/>
    <x v="3"/>
    <s v="Rice"/>
    <s v="Rice - Model 252"/>
    <s v="Bangalore"/>
    <s v="South"/>
    <n v="10"/>
    <n v="6764"/>
    <n v="5141"/>
    <n v="0.24"/>
    <n v="3405"/>
    <n v="17360"/>
    <n v="0.33767749465084612"/>
    <n v="37"/>
    <n v="16990"/>
    <n v="0.33048045127407122"/>
    <x v="2"/>
    <x v="0"/>
    <n v="0"/>
    <n v="0"/>
    <n v="0.33599999999999997"/>
  </r>
  <r>
    <s v="ORD-10558"/>
    <s v="14-Sep-2024"/>
    <x v="7"/>
    <x v="4"/>
    <s v="Action Figure"/>
    <s v="Action Figure - Model 575"/>
    <s v="Lucknow"/>
    <s v="North"/>
    <n v="9"/>
    <n v="2973"/>
    <n v="2200"/>
    <n v="0.26"/>
    <n v="1989"/>
    <n v="1899"/>
    <n v="9.5909090909090902E-2"/>
    <n v="32"/>
    <n v="1611"/>
    <n v="8.136363636363636E-2"/>
    <x v="0"/>
    <x v="0"/>
    <n v="0"/>
    <n v="0"/>
    <n v="0.36399999999999999"/>
  </r>
  <r>
    <s v="ORD-10559"/>
    <s v="02-Jul-2024"/>
    <x v="3"/>
    <x v="7"/>
    <s v="Shoes"/>
    <s v="Shoes - Model 997"/>
    <s v="Chennai"/>
    <s v="South"/>
    <n v="11"/>
    <n v="4780"/>
    <n v="3824"/>
    <n v="0.2"/>
    <n v="3033"/>
    <n v="8701"/>
    <n v="0.20685146443514643"/>
    <n v="124"/>
    <n v="7337"/>
    <n v="0.17442468619246862"/>
    <x v="4"/>
    <x v="1"/>
    <n v="0"/>
    <n v="0"/>
    <n v="0.27999999999999997"/>
  </r>
  <r>
    <s v="ORD-10560"/>
    <s v="07-Mar-2024"/>
    <x v="2"/>
    <x v="6"/>
    <s v="Mixer"/>
    <s v="Mixer - Model 864"/>
    <s v="Lucknow"/>
    <s v="North"/>
    <n v="9"/>
    <n v="6999"/>
    <n v="6649"/>
    <n v="0.05"/>
    <n v="4109"/>
    <n v="22860"/>
    <n v="0.38201233268160628"/>
    <n v="31"/>
    <n v="22581"/>
    <n v="0.37734997744021659"/>
    <x v="2"/>
    <x v="0"/>
    <n v="0"/>
    <n v="0"/>
    <n v="6.9999999999999993E-2"/>
  </r>
  <r>
    <s v="ORD-10561"/>
    <s v="23-Aug-2024"/>
    <x v="8"/>
    <x v="4"/>
    <s v="Doll"/>
    <s v="Doll - Model 843"/>
    <s v="Ahmedabad"/>
    <s v="West"/>
    <n v="10"/>
    <n v="5024"/>
    <n v="2813"/>
    <n v="0.44"/>
    <n v="2644"/>
    <n v="1690"/>
    <n v="6.0078208318521155E-2"/>
    <n v="131"/>
    <n v="380"/>
    <n v="1.35087095627444E-2"/>
    <x v="0"/>
    <x v="0"/>
    <n v="0"/>
    <n v="0"/>
    <n v="0.61599999999999999"/>
  </r>
  <r>
    <s v="ORD-10562"/>
    <s v="01-Mar-2024"/>
    <x v="2"/>
    <x v="5"/>
    <s v="Moisturizer"/>
    <s v="Moisturizer - Model 935"/>
    <s v="Mumbai"/>
    <s v="West"/>
    <n v="7"/>
    <n v="6900"/>
    <n v="6279"/>
    <n v="0.09"/>
    <n v="4326"/>
    <n v="13671"/>
    <n v="0.31103678929765888"/>
    <n v="127"/>
    <n v="12782"/>
    <n v="0.29081063863672557"/>
    <x v="0"/>
    <x v="2"/>
    <n v="0"/>
    <n v="0"/>
    <n v="0.126"/>
  </r>
  <r>
    <s v="ORD-10563"/>
    <s v="07-Sep-2024"/>
    <x v="7"/>
    <x v="7"/>
    <s v="Saree"/>
    <s v="Saree - Model 888"/>
    <s v="Ahmedabad"/>
    <s v="West"/>
    <n v="5"/>
    <n v="3897"/>
    <n v="3858"/>
    <n v="0.01"/>
    <n v="1785"/>
    <n v="10365"/>
    <n v="0.53732503888024885"/>
    <n v="53"/>
    <n v="10100"/>
    <n v="0.52358735095904618"/>
    <x v="0"/>
    <x v="0"/>
    <n v="0"/>
    <n v="0"/>
    <n v="1.3999999999999999E-2"/>
  </r>
  <r>
    <s v="ORD-10564"/>
    <s v="19-Aug-2024"/>
    <x v="8"/>
    <x v="5"/>
    <s v="Serum"/>
    <s v="Serum - Model 401"/>
    <s v="Lucknow"/>
    <s v="North"/>
    <n v="13"/>
    <n v="597"/>
    <n v="597"/>
    <n v="0"/>
    <n v="371"/>
    <n v="2938"/>
    <n v="0.37855946398659968"/>
    <n v="137"/>
    <n v="1157"/>
    <n v="0.1490787269681742"/>
    <x v="0"/>
    <x v="0"/>
    <n v="0"/>
    <n v="0"/>
    <n v="0"/>
  </r>
  <r>
    <s v="ORD-10565"/>
    <s v="24-Oct-2024"/>
    <x v="11"/>
    <x v="2"/>
    <s v="Shoes"/>
    <s v="Shoes - Model 599"/>
    <s v="Pune"/>
    <s v="West"/>
    <n v="16"/>
    <n v="4204"/>
    <n v="2817"/>
    <n v="0.33"/>
    <n v="3058"/>
    <n v="-3856"/>
    <n v="-8.5552005679801202E-2"/>
    <n v="166"/>
    <n v="-6512"/>
    <n v="-0.14447994320198793"/>
    <x v="0"/>
    <x v="0"/>
    <n v="0"/>
    <n v="0"/>
    <n v="0.46199999999999997"/>
  </r>
  <r>
    <s v="ORD-10566"/>
    <s v="14-Jan-2024"/>
    <x v="9"/>
    <x v="1"/>
    <s v="Comic"/>
    <s v="Comic - Model 165"/>
    <s v="Chennai"/>
    <s v="South"/>
    <n v="14"/>
    <n v="7135"/>
    <n v="6778"/>
    <n v="0.05"/>
    <n v="4409"/>
    <n v="33166"/>
    <n v="0.34951313071702567"/>
    <n v="127"/>
    <n v="31388"/>
    <n v="0.33077604012983181"/>
    <x v="0"/>
    <x v="0"/>
    <n v="0"/>
    <n v="0"/>
    <n v="6.9999999999999993E-2"/>
  </r>
  <r>
    <s v="ORD-10567"/>
    <s v="24-May-2024"/>
    <x v="6"/>
    <x v="5"/>
    <s v="Perfume"/>
    <s v="Perfume - Model 452"/>
    <s v="Ahmedabad"/>
    <s v="West"/>
    <n v="8"/>
    <n v="4160"/>
    <n v="3078"/>
    <n v="0.26"/>
    <n v="2661"/>
    <n v="3336"/>
    <n v="0.13547758284600389"/>
    <n v="168"/>
    <n v="1992"/>
    <n v="8.089668615984405E-2"/>
    <x v="0"/>
    <x v="0"/>
    <n v="0"/>
    <n v="0"/>
    <n v="0.36399999999999999"/>
  </r>
  <r>
    <s v="ORD-10568"/>
    <s v="13-Dec-2024"/>
    <x v="10"/>
    <x v="4"/>
    <s v="Puzzle"/>
    <s v="Puzzle - Model 915"/>
    <s v="Ahmedabad"/>
    <s v="West"/>
    <n v="6"/>
    <n v="5050"/>
    <n v="4394"/>
    <n v="0.13"/>
    <n v="3344"/>
    <n v="6300"/>
    <n v="0.23896222121074193"/>
    <n v="130"/>
    <n v="5520"/>
    <n v="0.20937642239417387"/>
    <x v="1"/>
    <x v="0"/>
    <n v="0"/>
    <n v="1"/>
    <n v="0.53200000000000003"/>
  </r>
  <r>
    <s v="ORD-10569"/>
    <s v="04-Aug-2024"/>
    <x v="8"/>
    <x v="4"/>
    <s v="Remote Car"/>
    <s v="Remote Car - Model 410"/>
    <s v="Hyderabad"/>
    <s v="South"/>
    <n v="7"/>
    <n v="4543"/>
    <n v="2499"/>
    <n v="0.45"/>
    <n v="2388"/>
    <n v="777"/>
    <n v="4.441776710684274E-2"/>
    <n v="69"/>
    <n v="294"/>
    <n v="1.680672268907563E-2"/>
    <x v="1"/>
    <x v="1"/>
    <n v="0"/>
    <n v="1"/>
    <n v="0.98"/>
  </r>
  <r>
    <s v="ORD-10570"/>
    <s v="02-Sep-2024"/>
    <x v="7"/>
    <x v="7"/>
    <s v="Saree"/>
    <s v="Saree - Model 540"/>
    <s v="Delhi"/>
    <s v="North"/>
    <n v="20"/>
    <n v="1968"/>
    <n v="1476"/>
    <n v="0.25"/>
    <n v="1122"/>
    <n v="7080"/>
    <n v="0.23983739837398374"/>
    <n v="179"/>
    <n v="3500"/>
    <n v="0.11856368563685638"/>
    <x v="4"/>
    <x v="3"/>
    <n v="1"/>
    <n v="0"/>
    <n v="0.35"/>
  </r>
  <r>
    <s v="ORD-10571"/>
    <s v="09-Sep-2024"/>
    <x v="7"/>
    <x v="6"/>
    <s v="Lamp"/>
    <s v="Lamp - Model 718"/>
    <s v="Delhi"/>
    <s v="North"/>
    <n v="2"/>
    <n v="7428"/>
    <n v="5942"/>
    <n v="0.2"/>
    <n v="4160"/>
    <n v="3564"/>
    <n v="0.29989902389767753"/>
    <n v="156"/>
    <n v="3252"/>
    <n v="0.27364523729384044"/>
    <x v="2"/>
    <x v="3"/>
    <n v="1"/>
    <n v="0"/>
    <n v="0.27999999999999997"/>
  </r>
  <r>
    <s v="ORD-10572"/>
    <s v="26-Oct-2024"/>
    <x v="11"/>
    <x v="7"/>
    <s v="Jacket"/>
    <s v="Jacket - Model 142"/>
    <s v="Jaipur"/>
    <s v="North"/>
    <n v="4"/>
    <n v="1503"/>
    <n v="1428"/>
    <n v="0.05"/>
    <n v="709"/>
    <n v="2876"/>
    <n v="0.50350140056022408"/>
    <n v="84"/>
    <n v="2540"/>
    <n v="0.44467787114845936"/>
    <x v="4"/>
    <x v="3"/>
    <n v="1"/>
    <n v="0"/>
    <n v="6.9999999999999993E-2"/>
  </r>
  <r>
    <s v="ORD-10573"/>
    <s v="24-Aug-2024"/>
    <x v="8"/>
    <x v="7"/>
    <s v="Jeans"/>
    <s v="Jeans - Model 762"/>
    <s v="Kolkata"/>
    <s v="East"/>
    <n v="11"/>
    <n v="6589"/>
    <n v="6194"/>
    <n v="0.06"/>
    <n v="3101"/>
    <n v="34023"/>
    <n v="0.49935421375524702"/>
    <n v="175"/>
    <n v="32098"/>
    <n v="0.47110106554730385"/>
    <x v="2"/>
    <x v="3"/>
    <n v="1"/>
    <n v="0"/>
    <n v="8.3999999999999991E-2"/>
  </r>
  <r>
    <s v="ORD-10574"/>
    <s v="10-Jun-2024"/>
    <x v="5"/>
    <x v="6"/>
    <s v="Mixer"/>
    <s v="Mixer - Model 372"/>
    <s v="Kolkata"/>
    <s v="East"/>
    <n v="14"/>
    <n v="3013"/>
    <n v="2109"/>
    <n v="0.3"/>
    <n v="1365"/>
    <n v="10416"/>
    <n v="0.35277382645803701"/>
    <n v="143"/>
    <n v="8414"/>
    <n v="0.28496917970602181"/>
    <x v="0"/>
    <x v="0"/>
    <n v="0"/>
    <n v="0"/>
    <n v="0.42"/>
  </r>
  <r>
    <s v="ORD-10575"/>
    <s v="14-Jul-2024"/>
    <x v="3"/>
    <x v="4"/>
    <s v="Remote Car"/>
    <s v="Remote Car - Model 972"/>
    <s v="Jaipur"/>
    <s v="North"/>
    <n v="12"/>
    <n v="7561"/>
    <n v="6049"/>
    <n v="0.2"/>
    <n v="5062"/>
    <n v="11844"/>
    <n v="0.1631674656968094"/>
    <n v="138"/>
    <n v="10188"/>
    <n v="0.14035377748388164"/>
    <x v="3"/>
    <x v="0"/>
    <n v="0"/>
    <n v="0"/>
    <n v="0.27999999999999997"/>
  </r>
  <r>
    <s v="ORD-10576"/>
    <s v="13-Jun-2024"/>
    <x v="5"/>
    <x v="6"/>
    <s v="Curtain"/>
    <s v="Curtain - Model 162"/>
    <s v="Pune"/>
    <s v="West"/>
    <n v="2"/>
    <n v="5349"/>
    <n v="3798"/>
    <n v="0.28999999999999998"/>
    <n v="3829"/>
    <n v="-62"/>
    <n v="-8.1621906266456032E-3"/>
    <n v="39"/>
    <n v="-140"/>
    <n v="-1.8430753027909426E-2"/>
    <x v="3"/>
    <x v="0"/>
    <n v="0"/>
    <n v="0"/>
    <n v="0.40599999999999997"/>
  </r>
  <r>
    <s v="ORD-10577"/>
    <s v="23-Nov-2024"/>
    <x v="0"/>
    <x v="2"/>
    <s v="Yoga Mat"/>
    <s v="Yoga Mat - Model 452"/>
    <s v="Mumbai"/>
    <s v="West"/>
    <n v="9"/>
    <n v="7222"/>
    <n v="5272"/>
    <n v="0.27"/>
    <n v="3260"/>
    <n v="18108"/>
    <n v="0.38163884673748105"/>
    <n v="91"/>
    <n v="17289"/>
    <n v="0.36437784522003036"/>
    <x v="1"/>
    <x v="3"/>
    <n v="1"/>
    <n v="1"/>
    <n v="0.72799999999999998"/>
  </r>
  <r>
    <s v="ORD-10578"/>
    <s v="21-Oct-2024"/>
    <x v="11"/>
    <x v="3"/>
    <s v="Rice"/>
    <s v="Rice - Model 931"/>
    <s v="Pune"/>
    <s v="West"/>
    <n v="7"/>
    <n v="7072"/>
    <n v="6789"/>
    <n v="0.04"/>
    <n v="4159"/>
    <n v="18410"/>
    <n v="0.38739136839004273"/>
    <n v="88"/>
    <n v="17794"/>
    <n v="0.37442922374429222"/>
    <x v="1"/>
    <x v="0"/>
    <n v="0"/>
    <n v="1"/>
    <n v="0.40599999999999997"/>
  </r>
  <r>
    <s v="ORD-10579"/>
    <s v="03-Apr-2024"/>
    <x v="1"/>
    <x v="2"/>
    <s v="Cycle"/>
    <s v="Cycle - Model 448"/>
    <s v="Bangalore"/>
    <s v="South"/>
    <n v="1"/>
    <n v="418"/>
    <n v="268"/>
    <n v="0.36"/>
    <n v="254"/>
    <n v="14"/>
    <n v="5.2238805970149252E-2"/>
    <n v="66"/>
    <n v="-52"/>
    <n v="-0.19402985074626866"/>
    <x v="4"/>
    <x v="1"/>
    <n v="0"/>
    <n v="0"/>
    <n v="0.504"/>
  </r>
  <r>
    <s v="ORD-10580"/>
    <s v="24-Feb-2024"/>
    <x v="4"/>
    <x v="0"/>
    <s v="Headphones"/>
    <s v="Headphones - Model 365"/>
    <s v="Jaipur"/>
    <s v="North"/>
    <n v="12"/>
    <n v="1166"/>
    <n v="770"/>
    <n v="0.34"/>
    <n v="851"/>
    <n v="-972"/>
    <n v="-0.10519480519480519"/>
    <n v="97"/>
    <n v="-2136"/>
    <n v="-0.23116883116883116"/>
    <x v="3"/>
    <x v="0"/>
    <n v="0"/>
    <n v="0"/>
    <n v="0.47599999999999998"/>
  </r>
  <r>
    <s v="ORD-10581"/>
    <s v="26-Apr-2024"/>
    <x v="1"/>
    <x v="5"/>
    <s v="Lipstick"/>
    <s v="Lipstick - Model 406"/>
    <s v="Chennai"/>
    <s v="South"/>
    <n v="19"/>
    <n v="5445"/>
    <n v="3703"/>
    <n v="0.32"/>
    <n v="3168"/>
    <n v="10165"/>
    <n v="0.14447745071563597"/>
    <n v="67"/>
    <n v="8892"/>
    <n v="0.12638401296246288"/>
    <x v="4"/>
    <x v="0"/>
    <n v="0"/>
    <n v="0"/>
    <n v="0.44799999999999995"/>
  </r>
  <r>
    <s v="ORD-10582"/>
    <s v="15-Jun-2024"/>
    <x v="5"/>
    <x v="7"/>
    <s v="Jeans"/>
    <s v="Jeans - Model 828"/>
    <s v="Pune"/>
    <s v="West"/>
    <n v="14"/>
    <n v="839"/>
    <n v="814"/>
    <n v="0.03"/>
    <n v="597"/>
    <n v="3038"/>
    <n v="0.2665847665847666"/>
    <n v="101"/>
    <n v="1624"/>
    <n v="0.14250614250614252"/>
    <x v="0"/>
    <x v="0"/>
    <n v="0"/>
    <n v="0"/>
    <n v="4.1999999999999996E-2"/>
  </r>
  <r>
    <s v="ORD-10583"/>
    <s v="19-Jul-2024"/>
    <x v="3"/>
    <x v="4"/>
    <s v="Puzzle"/>
    <s v="Puzzle - Model 698"/>
    <s v="Ahmedabad"/>
    <s v="West"/>
    <n v="14"/>
    <n v="7973"/>
    <n v="5501"/>
    <n v="0.31"/>
    <n v="5834"/>
    <n v="-4662"/>
    <n v="-6.0534448282130525E-2"/>
    <n v="140"/>
    <n v="-6622"/>
    <n v="-8.598436647882203E-2"/>
    <x v="0"/>
    <x v="0"/>
    <n v="0"/>
    <n v="0"/>
    <n v="0.434"/>
  </r>
  <r>
    <s v="ORD-10584"/>
    <s v="16-Mar-2024"/>
    <x v="2"/>
    <x v="3"/>
    <s v="Oil"/>
    <s v="Oil - Model 821"/>
    <s v="Jaipur"/>
    <s v="North"/>
    <n v="17"/>
    <n v="1121"/>
    <n v="1009"/>
    <n v="0.1"/>
    <n v="634"/>
    <n v="6375"/>
    <n v="0.37165510406342916"/>
    <n v="142"/>
    <n v="3961"/>
    <n v="0.23092170465807729"/>
    <x v="3"/>
    <x v="1"/>
    <n v="0"/>
    <n v="0"/>
    <n v="0.13999999999999999"/>
  </r>
  <r>
    <s v="ORD-10585"/>
    <s v="28-Oct-2024"/>
    <x v="11"/>
    <x v="4"/>
    <s v="Action Figure"/>
    <s v="Action Figure - Model 223"/>
    <s v="Kolkata"/>
    <s v="East"/>
    <n v="19"/>
    <n v="2459"/>
    <n v="1869"/>
    <n v="0.24"/>
    <n v="1085"/>
    <n v="14896"/>
    <n v="0.41947565543071164"/>
    <n v="76"/>
    <n v="13452"/>
    <n v="0.37881219903691815"/>
    <x v="4"/>
    <x v="0"/>
    <n v="0"/>
    <n v="0"/>
    <n v="0.33599999999999997"/>
  </r>
  <r>
    <s v="ORD-10586"/>
    <s v="05-Mar-2024"/>
    <x v="2"/>
    <x v="4"/>
    <s v="Action Figure"/>
    <s v="Action Figure - Model 412"/>
    <s v="Chennai"/>
    <s v="South"/>
    <n v="7"/>
    <n v="1628"/>
    <n v="1091"/>
    <n v="0.33"/>
    <n v="652"/>
    <n v="3073"/>
    <n v="0.40238313473877174"/>
    <n v="112"/>
    <n v="2289"/>
    <n v="0.29972502291475711"/>
    <x v="2"/>
    <x v="0"/>
    <n v="0"/>
    <n v="0"/>
    <n v="0.46199999999999997"/>
  </r>
  <r>
    <s v="ORD-10587"/>
    <s v="10-Oct-2024"/>
    <x v="11"/>
    <x v="3"/>
    <s v="Rice"/>
    <s v="Rice - Model 900"/>
    <s v="Pune"/>
    <s v="West"/>
    <n v="16"/>
    <n v="6709"/>
    <n v="4160"/>
    <n v="0.38"/>
    <n v="2995"/>
    <n v="18640"/>
    <n v="0.28004807692307693"/>
    <n v="51"/>
    <n v="17824"/>
    <n v="0.26778846153846153"/>
    <x v="0"/>
    <x v="0"/>
    <n v="0"/>
    <n v="0"/>
    <n v="0.53199999999999992"/>
  </r>
  <r>
    <s v="ORD-10588"/>
    <s v="28-Mar-2024"/>
    <x v="2"/>
    <x v="1"/>
    <s v="Fiction"/>
    <s v="Fiction - Model 919"/>
    <s v="Lucknow"/>
    <s v="North"/>
    <n v="20"/>
    <n v="3395"/>
    <n v="3056"/>
    <n v="0.1"/>
    <n v="1828"/>
    <n v="24560"/>
    <n v="0.40183246073298429"/>
    <n v="111"/>
    <n v="22340"/>
    <n v="0.3655104712041885"/>
    <x v="0"/>
    <x v="0"/>
    <n v="0"/>
    <n v="0"/>
    <n v="0.13999999999999999"/>
  </r>
  <r>
    <s v="ORD-10589"/>
    <s v="23-Mar-2024"/>
    <x v="2"/>
    <x v="0"/>
    <s v="Tablet"/>
    <s v="Tablet - Model 745"/>
    <s v="Chennai"/>
    <s v="South"/>
    <n v="18"/>
    <n v="5232"/>
    <n v="3715"/>
    <n v="0.28999999999999998"/>
    <n v="2249"/>
    <n v="26388"/>
    <n v="0.39461641991924629"/>
    <n v="173"/>
    <n v="23274"/>
    <n v="0.34804845222072678"/>
    <x v="3"/>
    <x v="0"/>
    <n v="0"/>
    <n v="0"/>
    <n v="0.40599999999999997"/>
  </r>
  <r>
    <s v="ORD-10590"/>
    <s v="17-Oct-2024"/>
    <x v="11"/>
    <x v="5"/>
    <s v="Perfume"/>
    <s v="Perfume - Model 614"/>
    <s v="Mumbai"/>
    <s v="West"/>
    <n v="4"/>
    <n v="5334"/>
    <n v="4054"/>
    <n v="0.24"/>
    <n v="3930"/>
    <n v="496"/>
    <n v="3.0587074494326592E-2"/>
    <n v="71"/>
    <n v="212"/>
    <n v="1.3073507646768623E-2"/>
    <x v="1"/>
    <x v="3"/>
    <n v="1"/>
    <n v="1"/>
    <n v="0.68599999999999994"/>
  </r>
  <r>
    <s v="ORD-10591"/>
    <s v="15-Oct-2024"/>
    <x v="11"/>
    <x v="7"/>
    <s v="Jacket"/>
    <s v="Jacket - Model 721"/>
    <s v="Kolkata"/>
    <s v="East"/>
    <n v="13"/>
    <n v="4793"/>
    <n v="3739"/>
    <n v="0.22"/>
    <n v="3484"/>
    <n v="3315"/>
    <n v="6.8200053490238027E-2"/>
    <n v="81"/>
    <n v="2262"/>
    <n v="4.653650708745654E-2"/>
    <x v="1"/>
    <x v="1"/>
    <n v="0"/>
    <n v="1"/>
    <n v="0.65799999999999992"/>
  </r>
  <r>
    <s v="ORD-10592"/>
    <s v="13-Jun-2024"/>
    <x v="5"/>
    <x v="2"/>
    <s v="Shoes"/>
    <s v="Shoes - Model 217"/>
    <s v="Delhi"/>
    <s v="North"/>
    <n v="18"/>
    <n v="1512"/>
    <n v="1421"/>
    <n v="0.06"/>
    <n v="740"/>
    <n v="12258"/>
    <n v="0.4792399718508093"/>
    <n v="43"/>
    <n v="11484"/>
    <n v="0.44897959183673469"/>
    <x v="4"/>
    <x v="0"/>
    <n v="0"/>
    <n v="0"/>
    <n v="8.3999999999999991E-2"/>
  </r>
  <r>
    <s v="ORD-10593"/>
    <s v="20-Jan-2024"/>
    <x v="9"/>
    <x v="1"/>
    <s v="Self-Help"/>
    <s v="Self-Help - Model 127"/>
    <s v="Mumbai"/>
    <s v="West"/>
    <n v="10"/>
    <n v="3242"/>
    <n v="2788"/>
    <n v="0.14000000000000001"/>
    <n v="1765"/>
    <n v="10230"/>
    <n v="0.36692969870875181"/>
    <n v="79"/>
    <n v="9440"/>
    <n v="0.33859397417503589"/>
    <x v="0"/>
    <x v="1"/>
    <n v="0"/>
    <n v="0"/>
    <n v="0.19600000000000001"/>
  </r>
  <r>
    <s v="ORD-10594"/>
    <s v="07-Jan-2024"/>
    <x v="9"/>
    <x v="5"/>
    <s v="Sunscreen"/>
    <s v="Sunscreen - Model 700"/>
    <s v="Hyderabad"/>
    <s v="South"/>
    <n v="16"/>
    <n v="4167"/>
    <n v="3209"/>
    <n v="0.23"/>
    <n v="3051"/>
    <n v="2528"/>
    <n v="4.9236522281084452E-2"/>
    <n v="70"/>
    <n v="1408"/>
    <n v="2.7422873169211593E-2"/>
    <x v="4"/>
    <x v="0"/>
    <n v="0"/>
    <n v="0"/>
    <n v="0.32200000000000001"/>
  </r>
  <r>
    <s v="ORD-10595"/>
    <s v="01-Aug-2024"/>
    <x v="8"/>
    <x v="4"/>
    <s v="Board Game"/>
    <s v="Board Game - Model 119"/>
    <s v="Chennai"/>
    <s v="South"/>
    <n v="18"/>
    <n v="7715"/>
    <n v="5400"/>
    <n v="0.3"/>
    <n v="3751"/>
    <n v="29682"/>
    <n v="0.30537037037037035"/>
    <n v="113"/>
    <n v="27648"/>
    <n v="0.28444444444444444"/>
    <x v="1"/>
    <x v="0"/>
    <n v="0"/>
    <n v="1"/>
    <n v="0.77"/>
  </r>
  <r>
    <s v="ORD-10596"/>
    <s v="28-Feb-2024"/>
    <x v="4"/>
    <x v="5"/>
    <s v="Serum"/>
    <s v="Serum - Model 482"/>
    <s v="Jaipur"/>
    <s v="North"/>
    <n v="6"/>
    <n v="6300"/>
    <n v="4788"/>
    <n v="0.24"/>
    <n v="3454"/>
    <n v="8004"/>
    <n v="0.27861319966583126"/>
    <n v="167"/>
    <n v="7002"/>
    <n v="0.243734335839599"/>
    <x v="0"/>
    <x v="3"/>
    <n v="1"/>
    <n v="0"/>
    <n v="0.33599999999999997"/>
  </r>
  <r>
    <s v="ORD-10597"/>
    <s v="10-Oct-2024"/>
    <x v="11"/>
    <x v="6"/>
    <s v="Mixer"/>
    <s v="Mixer - Model 161"/>
    <s v="Ahmedabad"/>
    <s v="West"/>
    <n v="9"/>
    <n v="4863"/>
    <n v="3015"/>
    <n v="0.38"/>
    <n v="2592"/>
    <n v="3807"/>
    <n v="0.14029850746268657"/>
    <n v="83"/>
    <n v="3060"/>
    <n v="0.11276948590381426"/>
    <x v="1"/>
    <x v="0"/>
    <n v="0"/>
    <n v="1"/>
    <n v="0.8819999999999999"/>
  </r>
  <r>
    <s v="ORD-10598"/>
    <s v="06-Jan-2024"/>
    <x v="9"/>
    <x v="7"/>
    <s v="Saree"/>
    <s v="Saree - Model 191"/>
    <s v="Pune"/>
    <s v="West"/>
    <n v="4"/>
    <n v="6678"/>
    <n v="4474"/>
    <n v="0.33"/>
    <n v="5006"/>
    <n v="-2128"/>
    <n v="-0.11890925346446134"/>
    <n v="162"/>
    <n v="-2776"/>
    <n v="-0.1551184622261958"/>
    <x v="1"/>
    <x v="1"/>
    <n v="0"/>
    <n v="1"/>
    <n v="0.81199999999999994"/>
  </r>
  <r>
    <s v="ORD-10599"/>
    <s v="22-Jun-2024"/>
    <x v="5"/>
    <x v="1"/>
    <s v="Textbook"/>
    <s v="Textbook - Model 870"/>
    <s v="Ahmedabad"/>
    <s v="West"/>
    <n v="9"/>
    <n v="2118"/>
    <n v="1186"/>
    <n v="0.44"/>
    <n v="1100"/>
    <n v="774"/>
    <n v="7.2512647554806076E-2"/>
    <n v="99"/>
    <n v="-117"/>
    <n v="-1.0961214165261383E-2"/>
    <x v="3"/>
    <x v="1"/>
    <n v="0"/>
    <n v="0"/>
    <n v="0.61599999999999999"/>
  </r>
  <r>
    <s v="ORD-10600"/>
    <s v="21-Mar-2024"/>
    <x v="2"/>
    <x v="0"/>
    <s v="Tablet"/>
    <s v="Tablet - Model 587"/>
    <s v="Mumbai"/>
    <s v="West"/>
    <n v="1"/>
    <n v="5447"/>
    <n v="4412"/>
    <n v="0.19"/>
    <n v="3886"/>
    <n v="526"/>
    <n v="0.11922030825022666"/>
    <n v="135"/>
    <n v="391"/>
    <n v="8.862194016319129E-2"/>
    <x v="0"/>
    <x v="3"/>
    <n v="1"/>
    <n v="0"/>
    <n v="0.26599999999999996"/>
  </r>
  <r>
    <s v="ORD-10601"/>
    <s v="21-Nov-2024"/>
    <x v="0"/>
    <x v="7"/>
    <s v="Jacket"/>
    <s v="Jacket - Model 131"/>
    <s v="Ahmedabad"/>
    <s v="West"/>
    <n v="4"/>
    <n v="2953"/>
    <n v="1860"/>
    <n v="0.37"/>
    <n v="2036"/>
    <n v="-704"/>
    <n v="-9.4623655913978491E-2"/>
    <n v="84"/>
    <n v="-1040"/>
    <n v="-0.13978494623655913"/>
    <x v="1"/>
    <x v="2"/>
    <n v="0"/>
    <n v="1"/>
    <n v="0.86799999999999999"/>
  </r>
  <r>
    <s v="ORD-10602"/>
    <s v="04-Jan-2024"/>
    <x v="9"/>
    <x v="3"/>
    <s v="Rice"/>
    <s v="Rice - Model 297"/>
    <s v="Ahmedabad"/>
    <s v="West"/>
    <n v="1"/>
    <n v="1928"/>
    <n v="1909"/>
    <n v="0.01"/>
    <n v="961"/>
    <n v="948"/>
    <n v="0.49659507595599789"/>
    <n v="168"/>
    <n v="780"/>
    <n v="0.40859088528025145"/>
    <x v="4"/>
    <x v="3"/>
    <n v="1"/>
    <n v="0"/>
    <n v="1.3999999999999999E-2"/>
  </r>
  <r>
    <s v="ORD-10603"/>
    <s v="10-Nov-2024"/>
    <x v="0"/>
    <x v="5"/>
    <s v="Serum"/>
    <s v="Serum - Model 605"/>
    <s v="Kolkata"/>
    <s v="East"/>
    <n v="2"/>
    <n v="2390"/>
    <n v="1410"/>
    <n v="0.41"/>
    <n v="1547"/>
    <n v="-274"/>
    <n v="-9.7163120567375888E-2"/>
    <n v="61"/>
    <n v="-396"/>
    <n v="-0.14042553191489363"/>
    <x v="1"/>
    <x v="3"/>
    <n v="1"/>
    <n v="1"/>
    <n v="0.92399999999999993"/>
  </r>
  <r>
    <s v="ORD-10604"/>
    <s v="28-Feb-2024"/>
    <x v="4"/>
    <x v="2"/>
    <s v="Cycle"/>
    <s v="Cycle - Model 612"/>
    <s v="Ahmedabad"/>
    <s v="West"/>
    <n v="6"/>
    <n v="4504"/>
    <n v="3153"/>
    <n v="0.3"/>
    <n v="2693"/>
    <n v="2760"/>
    <n v="0.14589280050745321"/>
    <n v="132"/>
    <n v="1968"/>
    <n v="0.1040279099270536"/>
    <x v="3"/>
    <x v="0"/>
    <n v="0"/>
    <n v="0"/>
    <n v="0.42"/>
  </r>
  <r>
    <s v="ORD-10605"/>
    <s v="03-Dec-2024"/>
    <x v="10"/>
    <x v="6"/>
    <s v="Bedsheet"/>
    <s v="Bedsheet - Model 683"/>
    <s v="Hyderabad"/>
    <s v="South"/>
    <n v="17"/>
    <n v="5885"/>
    <n v="5179"/>
    <n v="0.12"/>
    <n v="4100"/>
    <n v="18343"/>
    <n v="0.20834137864452598"/>
    <n v="33"/>
    <n v="17782"/>
    <n v="0.20196949217995752"/>
    <x v="3"/>
    <x v="0"/>
    <n v="0"/>
    <n v="0"/>
    <n v="0.16799999999999998"/>
  </r>
  <r>
    <s v="ORD-10606"/>
    <s v="01-Aug-2024"/>
    <x v="8"/>
    <x v="4"/>
    <s v="Action Figure"/>
    <s v="Action Figure - Model 974"/>
    <s v="Kolkata"/>
    <s v="East"/>
    <n v="14"/>
    <n v="6786"/>
    <n v="5565"/>
    <n v="0.18"/>
    <n v="3003"/>
    <n v="35868"/>
    <n v="0.46037735849056605"/>
    <n v="108"/>
    <n v="34356"/>
    <n v="0.44097035040431265"/>
    <x v="0"/>
    <x v="3"/>
    <n v="1"/>
    <n v="0"/>
    <n v="0.252"/>
  </r>
  <r>
    <s v="ORD-10607"/>
    <s v="08-Dec-2024"/>
    <x v="10"/>
    <x v="0"/>
    <s v="Headphones"/>
    <s v="Headphones - Model 530"/>
    <s v="Jaipur"/>
    <s v="North"/>
    <n v="15"/>
    <n v="2667"/>
    <n v="2187"/>
    <n v="0.18"/>
    <n v="1379"/>
    <n v="12120"/>
    <n v="0.36945587562871512"/>
    <n v="162"/>
    <n v="9690"/>
    <n v="0.29538180155464105"/>
    <x v="2"/>
    <x v="0"/>
    <n v="0"/>
    <n v="0"/>
    <n v="0.252"/>
  </r>
  <r>
    <s v="ORD-10608"/>
    <s v="14-Dec-2024"/>
    <x v="10"/>
    <x v="7"/>
    <s v="Jeans"/>
    <s v="Jeans - Model 301"/>
    <s v="Bangalore"/>
    <s v="South"/>
    <n v="11"/>
    <n v="2624"/>
    <n v="1889"/>
    <n v="0.28000000000000003"/>
    <n v="1138"/>
    <n v="8261"/>
    <n v="0.39756484912652196"/>
    <n v="102"/>
    <n v="7139"/>
    <n v="0.34356802541026998"/>
    <x v="2"/>
    <x v="0"/>
    <n v="0"/>
    <n v="0"/>
    <n v="0.39200000000000002"/>
  </r>
  <r>
    <s v="ORD-10609"/>
    <s v="27-Jun-2024"/>
    <x v="5"/>
    <x v="2"/>
    <s v="Cricket Bat"/>
    <s v="Cricket Bat - Model 210"/>
    <s v="Ahmedabad"/>
    <s v="West"/>
    <n v="8"/>
    <n v="7679"/>
    <n v="4838"/>
    <n v="0.37"/>
    <n v="5280"/>
    <n v="-3536"/>
    <n v="-9.136006614303431E-2"/>
    <n v="108"/>
    <n v="-4400"/>
    <n v="-0.11368334022323275"/>
    <x v="1"/>
    <x v="2"/>
    <n v="0"/>
    <n v="1"/>
    <n v="0.86799999999999999"/>
  </r>
  <r>
    <s v="ORD-10610"/>
    <s v="15-Oct-2024"/>
    <x v="11"/>
    <x v="7"/>
    <s v="Shoes"/>
    <s v="Shoes - Model 692"/>
    <s v="Delhi"/>
    <s v="North"/>
    <n v="3"/>
    <n v="7801"/>
    <n v="4603"/>
    <n v="0.41"/>
    <n v="4151"/>
    <n v="1356"/>
    <n v="9.8196828155550725E-2"/>
    <n v="164"/>
    <n v="864"/>
    <n v="6.2567890506191617E-2"/>
    <x v="2"/>
    <x v="0"/>
    <n v="0"/>
    <n v="0"/>
    <n v="0.57399999999999995"/>
  </r>
  <r>
    <s v="ORD-10611"/>
    <s v="02-Aug-2024"/>
    <x v="8"/>
    <x v="2"/>
    <s v="Cycle"/>
    <s v="Cycle - Model 741"/>
    <s v="Pune"/>
    <s v="West"/>
    <n v="3"/>
    <n v="994"/>
    <n v="964"/>
    <n v="0.03"/>
    <n v="416"/>
    <n v="1644"/>
    <n v="0.56846473029045641"/>
    <n v="157"/>
    <n v="1173"/>
    <n v="0.40560165975103735"/>
    <x v="0"/>
    <x v="3"/>
    <n v="1"/>
    <n v="0"/>
    <n v="4.1999999999999996E-2"/>
  </r>
  <r>
    <s v="ORD-10612"/>
    <s v="28-Apr-2024"/>
    <x v="1"/>
    <x v="0"/>
    <s v="Smartwatch"/>
    <s v="Smartwatch - Model 493"/>
    <s v="Ahmedabad"/>
    <s v="West"/>
    <n v="14"/>
    <n v="7064"/>
    <n v="5086"/>
    <n v="0.28000000000000003"/>
    <n v="3665"/>
    <n v="19894"/>
    <n v="0.27939441604404247"/>
    <n v="171"/>
    <n v="17500"/>
    <n v="0.24577270939834842"/>
    <x v="2"/>
    <x v="0"/>
    <n v="0"/>
    <n v="0"/>
    <n v="0.39200000000000002"/>
  </r>
  <r>
    <s v="ORD-10613"/>
    <s v="04-Apr-2024"/>
    <x v="1"/>
    <x v="7"/>
    <s v="Kurta"/>
    <s v="Kurta - Model 709"/>
    <s v="Delhi"/>
    <s v="North"/>
    <n v="19"/>
    <n v="6357"/>
    <n v="5785"/>
    <n v="0.09"/>
    <n v="3818"/>
    <n v="37373"/>
    <n v="0.34001728608470183"/>
    <n v="126"/>
    <n v="34979"/>
    <n v="0.31823681936041487"/>
    <x v="4"/>
    <x v="0"/>
    <n v="0"/>
    <n v="0"/>
    <n v="0.126"/>
  </r>
  <r>
    <s v="ORD-10614"/>
    <s v="15-Oct-2024"/>
    <x v="11"/>
    <x v="6"/>
    <s v="Pressure Cooker"/>
    <s v="Pressure Cooker - Model 240"/>
    <s v="Mumbai"/>
    <s v="West"/>
    <n v="2"/>
    <n v="1196"/>
    <n v="885"/>
    <n v="0.26"/>
    <n v="693"/>
    <n v="384"/>
    <n v="0.21694915254237288"/>
    <n v="128"/>
    <n v="128"/>
    <n v="7.2316384180790963E-2"/>
    <x v="4"/>
    <x v="1"/>
    <n v="0"/>
    <n v="0"/>
    <n v="0.36399999999999999"/>
  </r>
  <r>
    <s v="ORD-10615"/>
    <s v="05-Mar-2024"/>
    <x v="2"/>
    <x v="3"/>
    <s v="Rice"/>
    <s v="Rice - Model 717"/>
    <s v="Kolkata"/>
    <s v="East"/>
    <n v="10"/>
    <n v="3077"/>
    <n v="3077"/>
    <n v="0"/>
    <n v="1862"/>
    <n v="12150"/>
    <n v="0.39486512837179072"/>
    <n v="132"/>
    <n v="10830"/>
    <n v="0.35196620084497887"/>
    <x v="2"/>
    <x v="3"/>
    <n v="1"/>
    <n v="0"/>
    <n v="0"/>
  </r>
  <r>
    <s v="ORD-10616"/>
    <s v="28-Sep-2024"/>
    <x v="7"/>
    <x v="0"/>
    <s v="Smartwatch"/>
    <s v="Smartwatch - Model 452"/>
    <s v="Hyderabad"/>
    <s v="South"/>
    <n v="7"/>
    <n v="5196"/>
    <n v="4728"/>
    <n v="0.09"/>
    <n v="2203"/>
    <n v="17675"/>
    <n v="0.53405245346869712"/>
    <n v="58"/>
    <n v="17269"/>
    <n v="0.52178510998307948"/>
    <x v="0"/>
    <x v="1"/>
    <n v="0"/>
    <n v="0"/>
    <n v="0.126"/>
  </r>
  <r>
    <s v="ORD-10617"/>
    <s v="23-Oct-2024"/>
    <x v="11"/>
    <x v="1"/>
    <s v="Comic"/>
    <s v="Comic - Model 679"/>
    <s v="Kolkata"/>
    <s v="East"/>
    <n v="20"/>
    <n v="2537"/>
    <n v="2156"/>
    <n v="0.15"/>
    <n v="1108"/>
    <n v="20960"/>
    <n v="0.48608534322820035"/>
    <n v="161"/>
    <n v="17740"/>
    <n v="0.41141001855287568"/>
    <x v="2"/>
    <x v="1"/>
    <n v="0"/>
    <n v="0"/>
    <n v="0.21"/>
  </r>
  <r>
    <s v="ORD-10618"/>
    <s v="08-Nov-2024"/>
    <x v="0"/>
    <x v="5"/>
    <s v="Perfume"/>
    <s v="Perfume - Model 738"/>
    <s v="Hyderabad"/>
    <s v="South"/>
    <n v="8"/>
    <n v="3950"/>
    <n v="2568"/>
    <n v="0.35"/>
    <n v="2706"/>
    <n v="-1104"/>
    <n v="-5.3738317757009345E-2"/>
    <n v="151"/>
    <n v="-2312"/>
    <n v="-0.11253894080996885"/>
    <x v="0"/>
    <x v="0"/>
    <n v="0"/>
    <n v="0"/>
    <n v="0.48999999999999994"/>
  </r>
  <r>
    <s v="ORD-10619"/>
    <s v="12-Jan-2024"/>
    <x v="9"/>
    <x v="0"/>
    <s v="Mobile"/>
    <s v="Mobile - Model 466"/>
    <s v="Mumbai"/>
    <s v="West"/>
    <n v="18"/>
    <n v="1098"/>
    <n v="955"/>
    <n v="0.13"/>
    <n v="514"/>
    <n v="7938"/>
    <n v="0.46178010471204189"/>
    <n v="118"/>
    <n v="5814"/>
    <n v="0.33821989528795809"/>
    <x v="4"/>
    <x v="0"/>
    <n v="0"/>
    <n v="0"/>
    <n v="0.182"/>
  </r>
  <r>
    <s v="ORD-10620"/>
    <s v="10-Apr-2024"/>
    <x v="1"/>
    <x v="6"/>
    <s v="Pressure Cooker"/>
    <s v="Pressure Cooker - Model 368"/>
    <s v="Bangalore"/>
    <s v="South"/>
    <n v="11"/>
    <n v="6811"/>
    <n v="6062"/>
    <n v="0.11"/>
    <n v="3192"/>
    <n v="31570"/>
    <n v="0.47344110854503463"/>
    <n v="56"/>
    <n v="30954"/>
    <n v="0.46420323325635104"/>
    <x v="4"/>
    <x v="0"/>
    <n v="0"/>
    <n v="0"/>
    <n v="0.154"/>
  </r>
  <r>
    <s v="ORD-10621"/>
    <s v="05-Nov-2024"/>
    <x v="0"/>
    <x v="4"/>
    <s v="Action Figure"/>
    <s v="Action Figure - Model 446"/>
    <s v="Hyderabad"/>
    <s v="South"/>
    <n v="10"/>
    <n v="3758"/>
    <n v="3119"/>
    <n v="0.17"/>
    <n v="1993"/>
    <n v="11260"/>
    <n v="0.36101314523885863"/>
    <n v="56"/>
    <n v="10700"/>
    <n v="0.34305867265149087"/>
    <x v="3"/>
    <x v="1"/>
    <n v="0"/>
    <n v="0"/>
    <n v="0.23799999999999999"/>
  </r>
  <r>
    <s v="ORD-10622"/>
    <s v="23-Jul-2024"/>
    <x v="3"/>
    <x v="7"/>
    <s v="Kurta"/>
    <s v="Kurta - Model 247"/>
    <s v="Bangalore"/>
    <s v="South"/>
    <n v="7"/>
    <n v="1695"/>
    <n v="1407"/>
    <n v="0.17"/>
    <n v="900"/>
    <n v="3549"/>
    <n v="0.36034115138592748"/>
    <n v="120"/>
    <n v="2709"/>
    <n v="0.27505330490405117"/>
    <x v="1"/>
    <x v="2"/>
    <n v="0"/>
    <n v="1"/>
    <n v="0.58799999999999997"/>
  </r>
  <r>
    <s v="ORD-10623"/>
    <s v="07-Oct-2024"/>
    <x v="11"/>
    <x v="2"/>
    <s v="Cricket Bat"/>
    <s v="Cricket Bat - Model 435"/>
    <s v="Hyderabad"/>
    <s v="South"/>
    <n v="2"/>
    <n v="5110"/>
    <n v="4446"/>
    <n v="0.13"/>
    <n v="2270"/>
    <n v="4352"/>
    <n v="0.48942869995501576"/>
    <n v="106"/>
    <n v="4140"/>
    <n v="0.46558704453441296"/>
    <x v="3"/>
    <x v="0"/>
    <n v="0"/>
    <n v="0"/>
    <n v="0.182"/>
  </r>
  <r>
    <s v="ORD-10624"/>
    <s v="26-Feb-2024"/>
    <x v="4"/>
    <x v="3"/>
    <s v="Spices"/>
    <s v="Spices - Model 166"/>
    <s v="Bangalore"/>
    <s v="South"/>
    <n v="17"/>
    <n v="3227"/>
    <n v="1936"/>
    <n v="0.4"/>
    <n v="2139"/>
    <n v="-3451"/>
    <n v="-0.10485537190082644"/>
    <n v="86"/>
    <n v="-4913"/>
    <n v="-0.14927685950413222"/>
    <x v="3"/>
    <x v="0"/>
    <n v="0"/>
    <n v="0"/>
    <n v="0.55999999999999994"/>
  </r>
  <r>
    <s v="ORD-10625"/>
    <s v="17-Jun-2024"/>
    <x v="5"/>
    <x v="3"/>
    <s v="Pulses"/>
    <s v="Pulses - Model 585"/>
    <s v="Chennai"/>
    <s v="South"/>
    <n v="19"/>
    <n v="3327"/>
    <n v="1963"/>
    <n v="0.41"/>
    <n v="2011"/>
    <n v="-912"/>
    <n v="-2.445236882322975E-2"/>
    <n v="35"/>
    <n v="-1577"/>
    <n v="-4.2282221090168111E-2"/>
    <x v="1"/>
    <x v="0"/>
    <n v="0"/>
    <n v="1"/>
    <n v="0.92399999999999993"/>
  </r>
  <r>
    <s v="ORD-10626"/>
    <s v="13-Apr-2024"/>
    <x v="1"/>
    <x v="5"/>
    <s v="Lipstick"/>
    <s v="Lipstick - Model 535"/>
    <s v="Pune"/>
    <s v="West"/>
    <n v="19"/>
    <n v="1426"/>
    <n v="884"/>
    <n v="0.38"/>
    <n v="697"/>
    <n v="3553"/>
    <n v="0.21153846153846154"/>
    <n v="43"/>
    <n v="2736"/>
    <n v="0.16289592760180996"/>
    <x v="2"/>
    <x v="0"/>
    <n v="0"/>
    <n v="0"/>
    <n v="0.53199999999999992"/>
  </r>
  <r>
    <s v="ORD-10627"/>
    <s v="19-Apr-2024"/>
    <x v="1"/>
    <x v="0"/>
    <s v="Smartwatch"/>
    <s v="Smartwatch - Model 624"/>
    <s v="Lucknow"/>
    <s v="North"/>
    <n v="11"/>
    <n v="3524"/>
    <n v="2784"/>
    <n v="0.21"/>
    <n v="1914"/>
    <n v="9570"/>
    <n v="0.3125"/>
    <n v="151"/>
    <n v="7909"/>
    <n v="0.25826149425287354"/>
    <x v="4"/>
    <x v="0"/>
    <n v="0"/>
    <n v="0"/>
    <n v="0.29399999999999998"/>
  </r>
  <r>
    <s v="ORD-10628"/>
    <s v="08-Aug-2024"/>
    <x v="8"/>
    <x v="2"/>
    <s v="Shoes"/>
    <s v="Shoes - Model 467"/>
    <s v="Delhi"/>
    <s v="North"/>
    <n v="10"/>
    <n v="6772"/>
    <n v="5214"/>
    <n v="0.23"/>
    <n v="4234"/>
    <n v="9800"/>
    <n v="0.18795550441120062"/>
    <n v="148"/>
    <n v="8320"/>
    <n v="0.1595703874184887"/>
    <x v="1"/>
    <x v="0"/>
    <n v="0"/>
    <n v="1"/>
    <n v="0.67199999999999993"/>
  </r>
  <r>
    <s v="ORD-10629"/>
    <s v="18-Jan-2024"/>
    <x v="9"/>
    <x v="5"/>
    <s v="Lipstick"/>
    <s v="Lipstick - Model 301"/>
    <s v="Kolkata"/>
    <s v="East"/>
    <n v="9"/>
    <n v="2561"/>
    <n v="1613"/>
    <n v="0.37"/>
    <n v="1637"/>
    <n v="-216"/>
    <n v="-1.4879107253564786E-2"/>
    <n v="71"/>
    <n v="-855"/>
    <n v="-5.8896466212027279E-2"/>
    <x v="3"/>
    <x v="1"/>
    <n v="0"/>
    <n v="0"/>
    <n v="0.51800000000000002"/>
  </r>
  <r>
    <s v="ORD-10630"/>
    <s v="24-Dec-2024"/>
    <x v="10"/>
    <x v="2"/>
    <s v="Shoes"/>
    <s v="Shoes - Model 888"/>
    <s v="Chennai"/>
    <s v="South"/>
    <n v="10"/>
    <n v="6614"/>
    <n v="4299"/>
    <n v="0.35"/>
    <n v="3580"/>
    <n v="7190"/>
    <n v="0.16724819725517562"/>
    <n v="91"/>
    <n v="6280"/>
    <n v="0.14608048383344963"/>
    <x v="3"/>
    <x v="0"/>
    <n v="0"/>
    <n v="0"/>
    <n v="0.48999999999999994"/>
  </r>
  <r>
    <s v="ORD-10631"/>
    <s v="17-Nov-2024"/>
    <x v="0"/>
    <x v="6"/>
    <s v="Curtain"/>
    <s v="Curtain - Model 333"/>
    <s v="Hyderabad"/>
    <s v="South"/>
    <n v="7"/>
    <n v="3901"/>
    <n v="3004"/>
    <n v="0.23"/>
    <n v="2634"/>
    <n v="2590"/>
    <n v="0.12316910785619174"/>
    <n v="144"/>
    <n v="1582"/>
    <n v="7.5233022636484681E-2"/>
    <x v="0"/>
    <x v="0"/>
    <n v="0"/>
    <n v="0"/>
    <n v="0.32200000000000001"/>
  </r>
  <r>
    <s v="ORD-10632"/>
    <s v="14-Apr-2024"/>
    <x v="1"/>
    <x v="4"/>
    <s v="Board Game"/>
    <s v="Board Game - Model 549"/>
    <s v="Ahmedabad"/>
    <s v="West"/>
    <n v="18"/>
    <n v="435"/>
    <n v="409"/>
    <n v="0.06"/>
    <n v="307"/>
    <n v="1836"/>
    <n v="0.24938875305623473"/>
    <n v="76"/>
    <n v="468"/>
    <n v="6.3569682151589244E-2"/>
    <x v="2"/>
    <x v="0"/>
    <n v="0"/>
    <n v="0"/>
    <n v="8.3999999999999991E-2"/>
  </r>
  <r>
    <s v="ORD-10633"/>
    <s v="11-Jun-2024"/>
    <x v="5"/>
    <x v="5"/>
    <s v="Perfume"/>
    <s v="Perfume - Model 535"/>
    <s v="Pune"/>
    <s v="West"/>
    <n v="18"/>
    <n v="2537"/>
    <n v="1877"/>
    <n v="0.26"/>
    <n v="1519"/>
    <n v="6444"/>
    <n v="0.19072988811933936"/>
    <n v="35"/>
    <n v="5814"/>
    <n v="0.17208311134789558"/>
    <x v="1"/>
    <x v="1"/>
    <n v="0"/>
    <n v="1"/>
    <n v="0.71399999999999997"/>
  </r>
  <r>
    <s v="ORD-10634"/>
    <s v="19-Jun-2024"/>
    <x v="5"/>
    <x v="4"/>
    <s v="Remote Car"/>
    <s v="Remote Car - Model 309"/>
    <s v="Pune"/>
    <s v="West"/>
    <n v="3"/>
    <n v="4369"/>
    <n v="4019"/>
    <n v="0.08"/>
    <n v="1914"/>
    <n v="6315"/>
    <n v="0.52376212988305548"/>
    <n v="115"/>
    <n v="5970"/>
    <n v="0.49514804677780544"/>
    <x v="0"/>
    <x v="0"/>
    <n v="0"/>
    <n v="0"/>
    <n v="0.11199999999999999"/>
  </r>
  <r>
    <s v="ORD-10635"/>
    <s v="04-Mar-2024"/>
    <x v="2"/>
    <x v="6"/>
    <s v="Mixer"/>
    <s v="Mixer - Model 946"/>
    <s v="Lucknow"/>
    <s v="North"/>
    <n v="16"/>
    <n v="409"/>
    <n v="372"/>
    <n v="0.09"/>
    <n v="294"/>
    <n v="1248"/>
    <n v="0.20967741935483872"/>
    <n v="88"/>
    <n v="-160"/>
    <n v="-2.6881720430107527E-2"/>
    <x v="1"/>
    <x v="3"/>
    <n v="1"/>
    <n v="1"/>
    <n v="0.47599999999999998"/>
  </r>
  <r>
    <s v="ORD-10636"/>
    <s v="15-Feb-2024"/>
    <x v="4"/>
    <x v="0"/>
    <s v="Headphones"/>
    <s v="Headphones - Model 630"/>
    <s v="Mumbai"/>
    <s v="West"/>
    <n v="6"/>
    <n v="2749"/>
    <n v="1622"/>
    <n v="0.41"/>
    <n v="1476"/>
    <n v="876"/>
    <n v="9.0012330456226877E-2"/>
    <n v="178"/>
    <n v="-192"/>
    <n v="-1.9728729963008632E-2"/>
    <x v="1"/>
    <x v="0"/>
    <n v="0"/>
    <n v="1"/>
    <n v="0.92399999999999993"/>
  </r>
  <r>
    <s v="ORD-10637"/>
    <s v="13-Feb-2024"/>
    <x v="4"/>
    <x v="5"/>
    <s v="Serum"/>
    <s v="Serum - Model 991"/>
    <s v="Hyderabad"/>
    <s v="South"/>
    <n v="10"/>
    <n v="3571"/>
    <n v="2428"/>
    <n v="0.32"/>
    <n v="2022"/>
    <n v="4060"/>
    <n v="0.1672158154859967"/>
    <n v="121"/>
    <n v="2850"/>
    <n v="0.11738056013179572"/>
    <x v="4"/>
    <x v="0"/>
    <n v="0"/>
    <n v="0"/>
    <n v="0.44799999999999995"/>
  </r>
  <r>
    <s v="ORD-10638"/>
    <s v="15-Nov-2024"/>
    <x v="0"/>
    <x v="2"/>
    <s v="Cricket Bat"/>
    <s v="Cricket Bat - Model 107"/>
    <s v="Bangalore"/>
    <s v="South"/>
    <n v="15"/>
    <n v="699"/>
    <n v="573"/>
    <n v="0.18"/>
    <n v="477"/>
    <n v="1440"/>
    <n v="0.16753926701570682"/>
    <n v="109"/>
    <n v="-195"/>
    <n v="-2.2687609075043629E-2"/>
    <x v="3"/>
    <x v="0"/>
    <n v="0"/>
    <n v="0"/>
    <n v="0.252"/>
  </r>
  <r>
    <s v="ORD-10639"/>
    <s v="02-Oct-2024"/>
    <x v="11"/>
    <x v="7"/>
    <s v="Saree"/>
    <s v="Saree - Model 761"/>
    <s v="Ahmedabad"/>
    <s v="West"/>
    <n v="12"/>
    <n v="5662"/>
    <n v="3850"/>
    <n v="0.32"/>
    <n v="2854"/>
    <n v="11952"/>
    <n v="0.25870129870129871"/>
    <n v="122"/>
    <n v="10488"/>
    <n v="0.227012987012987"/>
    <x v="1"/>
    <x v="0"/>
    <n v="0"/>
    <n v="1"/>
    <n v="0.79799999999999993"/>
  </r>
  <r>
    <s v="ORD-10640"/>
    <s v="24-Oct-2024"/>
    <x v="11"/>
    <x v="4"/>
    <s v="Remote Car"/>
    <s v="Remote Car - Model 493"/>
    <s v="Bangalore"/>
    <s v="South"/>
    <n v="19"/>
    <n v="945"/>
    <n v="652"/>
    <n v="0.31"/>
    <n v="392"/>
    <n v="4940"/>
    <n v="0.3987730061349693"/>
    <n v="163"/>
    <n v="1843"/>
    <n v="0.14877300613496933"/>
    <x v="1"/>
    <x v="3"/>
    <n v="1"/>
    <n v="1"/>
    <n v="0.78400000000000003"/>
  </r>
  <r>
    <s v="ORD-10641"/>
    <s v="22-May-2024"/>
    <x v="6"/>
    <x v="7"/>
    <s v="Jeans"/>
    <s v="Jeans - Model 605"/>
    <s v="Pune"/>
    <s v="West"/>
    <n v="18"/>
    <n v="1146"/>
    <n v="951"/>
    <n v="0.17"/>
    <n v="761"/>
    <n v="3420"/>
    <n v="0.19978969505783387"/>
    <n v="106"/>
    <n v="1512"/>
    <n v="8.8328075709779186E-2"/>
    <x v="4"/>
    <x v="0"/>
    <n v="0"/>
    <n v="0"/>
    <n v="0.23799999999999999"/>
  </r>
  <r>
    <s v="ORD-10642"/>
    <s v="17-Apr-2024"/>
    <x v="1"/>
    <x v="0"/>
    <s v="Smartwatch"/>
    <s v="Smartwatch - Model 127"/>
    <s v="Delhi"/>
    <s v="North"/>
    <n v="15"/>
    <n v="3173"/>
    <n v="2094"/>
    <n v="0.34"/>
    <n v="2220"/>
    <n v="-1890"/>
    <n v="-6.0171919770773637E-2"/>
    <n v="90"/>
    <n v="-3240"/>
    <n v="-0.10315186246418338"/>
    <x v="2"/>
    <x v="0"/>
    <n v="0"/>
    <n v="0"/>
    <n v="0.47599999999999998"/>
  </r>
  <r>
    <s v="ORD-10643"/>
    <s v="11-Mar-2024"/>
    <x v="2"/>
    <x v="3"/>
    <s v="Pulses"/>
    <s v="Pulses - Model 572"/>
    <s v="Delhi"/>
    <s v="North"/>
    <n v="3"/>
    <n v="4478"/>
    <n v="3985"/>
    <n v="0.11"/>
    <n v="3280"/>
    <n v="2115"/>
    <n v="0.17691342534504392"/>
    <n v="51"/>
    <n v="1962"/>
    <n v="0.16411543287327479"/>
    <x v="4"/>
    <x v="0"/>
    <n v="0"/>
    <n v="0"/>
    <n v="0.154"/>
  </r>
  <r>
    <s v="ORD-10644"/>
    <s v="20-Jan-2024"/>
    <x v="9"/>
    <x v="7"/>
    <s v="Jeans"/>
    <s v="Jeans - Model 401"/>
    <s v="Delhi"/>
    <s v="North"/>
    <n v="18"/>
    <n v="5983"/>
    <n v="5504"/>
    <n v="0.08"/>
    <n v="3799"/>
    <n v="30690"/>
    <n v="0.30977470930232559"/>
    <n v="32"/>
    <n v="30114"/>
    <n v="0.30396075581395349"/>
    <x v="4"/>
    <x v="0"/>
    <n v="0"/>
    <n v="0"/>
    <n v="0.11199999999999999"/>
  </r>
  <r>
    <s v="ORD-10645"/>
    <s v="23-Apr-2024"/>
    <x v="1"/>
    <x v="0"/>
    <s v="Tablet"/>
    <s v="Tablet - Model 321"/>
    <s v="Ahmedabad"/>
    <s v="West"/>
    <n v="2"/>
    <n v="6725"/>
    <n v="4237"/>
    <n v="0.37"/>
    <n v="4199"/>
    <n v="76"/>
    <n v="8.9686098654708519E-3"/>
    <n v="137"/>
    <n v="-198"/>
    <n v="-2.3365588860042481E-2"/>
    <x v="2"/>
    <x v="0"/>
    <n v="0"/>
    <n v="0"/>
    <n v="0.51800000000000002"/>
  </r>
  <r>
    <s v="ORD-10646"/>
    <s v="20-Jan-2024"/>
    <x v="9"/>
    <x v="0"/>
    <s v="Mobile"/>
    <s v="Mobile - Model 890"/>
    <s v="Pune"/>
    <s v="West"/>
    <n v="7"/>
    <n v="7445"/>
    <n v="6179"/>
    <n v="0.17"/>
    <n v="3600"/>
    <n v="18053"/>
    <n v="0.41738145330959703"/>
    <n v="44"/>
    <n v="17745"/>
    <n v="0.41026055996115879"/>
    <x v="0"/>
    <x v="0"/>
    <n v="0"/>
    <n v="0"/>
    <n v="0.23799999999999999"/>
  </r>
  <r>
    <s v="ORD-10647"/>
    <s v="22-Apr-2024"/>
    <x v="1"/>
    <x v="7"/>
    <s v="Jeans"/>
    <s v="Jeans - Model 198"/>
    <s v="Bangalore"/>
    <s v="South"/>
    <n v="6"/>
    <n v="543"/>
    <n v="418"/>
    <n v="0.23"/>
    <n v="372"/>
    <n v="276"/>
    <n v="0.11004784688995216"/>
    <n v="78"/>
    <n v="-192"/>
    <n v="-7.6555023923444973E-2"/>
    <x v="1"/>
    <x v="1"/>
    <n v="0"/>
    <n v="1"/>
    <n v="0.67199999999999993"/>
  </r>
  <r>
    <s v="ORD-10648"/>
    <s v="14-Jul-2024"/>
    <x v="3"/>
    <x v="7"/>
    <s v="Jeans"/>
    <s v="Jeans - Model 318"/>
    <s v="Delhi"/>
    <s v="North"/>
    <n v="12"/>
    <n v="2722"/>
    <n v="2695"/>
    <n v="0.01"/>
    <n v="1712"/>
    <n v="11796"/>
    <n v="0.36474953617810763"/>
    <n v="32"/>
    <n v="11412"/>
    <n v="0.35287569573283861"/>
    <x v="1"/>
    <x v="0"/>
    <n v="0"/>
    <n v="1"/>
    <n v="0.36399999999999999"/>
  </r>
  <r>
    <s v="ORD-10649"/>
    <s v="21-May-2024"/>
    <x v="6"/>
    <x v="1"/>
    <s v="Fiction"/>
    <s v="Fiction - Model 168"/>
    <s v="Hyderabad"/>
    <s v="South"/>
    <n v="14"/>
    <n v="2552"/>
    <n v="1863"/>
    <n v="0.27"/>
    <n v="1899"/>
    <n v="-504"/>
    <n v="-1.932367149758454E-2"/>
    <n v="45"/>
    <n v="-1134"/>
    <n v="-4.3478260869565216E-2"/>
    <x v="3"/>
    <x v="1"/>
    <n v="0"/>
    <n v="0"/>
    <n v="0.378"/>
  </r>
  <r>
    <s v="ORD-10650"/>
    <s v="06-Oct-2024"/>
    <x v="11"/>
    <x v="2"/>
    <s v="Shoes"/>
    <s v="Shoes - Model 714"/>
    <s v="Kolkata"/>
    <s v="East"/>
    <n v="13"/>
    <n v="5488"/>
    <n v="3073"/>
    <n v="0.44"/>
    <n v="3528"/>
    <n v="-5915"/>
    <n v="-0.1480637813211845"/>
    <n v="80"/>
    <n v="-6955"/>
    <n v="-0.17409697364139279"/>
    <x v="4"/>
    <x v="0"/>
    <n v="0"/>
    <n v="0"/>
    <n v="0.61599999999999999"/>
  </r>
  <r>
    <s v="ORD-10651"/>
    <s v="11-Feb-2024"/>
    <x v="4"/>
    <x v="0"/>
    <s v="Tablet"/>
    <s v="Tablet - Model 699"/>
    <s v="Ahmedabad"/>
    <s v="West"/>
    <n v="13"/>
    <n v="4186"/>
    <n v="2805"/>
    <n v="0.33"/>
    <n v="2412"/>
    <n v="5109"/>
    <n v="0.14010695187165775"/>
    <n v="136"/>
    <n v="3341"/>
    <n v="9.1622103386809275E-2"/>
    <x v="2"/>
    <x v="0"/>
    <n v="0"/>
    <n v="0"/>
    <n v="0.46199999999999997"/>
  </r>
  <r>
    <s v="ORD-10652"/>
    <s v="10-Feb-2024"/>
    <x v="4"/>
    <x v="5"/>
    <s v="Perfume"/>
    <s v="Perfume - Model 875"/>
    <s v="Hyderabad"/>
    <s v="South"/>
    <n v="20"/>
    <n v="819"/>
    <n v="770"/>
    <n v="0.06"/>
    <n v="471"/>
    <n v="5980"/>
    <n v="0.38831168831168833"/>
    <n v="60"/>
    <n v="4780"/>
    <n v="0.31038961038961038"/>
    <x v="0"/>
    <x v="0"/>
    <n v="0"/>
    <n v="0"/>
    <n v="8.3999999999999991E-2"/>
  </r>
  <r>
    <s v="ORD-10653"/>
    <s v="20-Dec-2024"/>
    <x v="10"/>
    <x v="3"/>
    <s v="Rice"/>
    <s v="Rice - Model 237"/>
    <s v="Chennai"/>
    <s v="South"/>
    <n v="11"/>
    <n v="5220"/>
    <n v="3445"/>
    <n v="0.34"/>
    <n v="3040"/>
    <n v="4455"/>
    <n v="0.11756168359941944"/>
    <n v="177"/>
    <n v="2508"/>
    <n v="6.6182873730043543E-2"/>
    <x v="4"/>
    <x v="0"/>
    <n v="0"/>
    <n v="0"/>
    <n v="0.47599999999999998"/>
  </r>
  <r>
    <s v="ORD-10654"/>
    <s v="11-Dec-2024"/>
    <x v="10"/>
    <x v="1"/>
    <s v="Self-Help"/>
    <s v="Self-Help - Model 310"/>
    <s v="Jaipur"/>
    <s v="North"/>
    <n v="2"/>
    <n v="7272"/>
    <n v="5090"/>
    <n v="0.3"/>
    <n v="3541"/>
    <n v="3098"/>
    <n v="0.30432220039292729"/>
    <n v="133"/>
    <n v="2832"/>
    <n v="0.2781925343811395"/>
    <x v="1"/>
    <x v="0"/>
    <n v="0"/>
    <n v="1"/>
    <n v="0.77"/>
  </r>
  <r>
    <s v="ORD-10655"/>
    <s v="06-Jun-2024"/>
    <x v="5"/>
    <x v="3"/>
    <s v="Atta"/>
    <s v="Atta - Model 166"/>
    <s v="Ahmedabad"/>
    <s v="West"/>
    <n v="3"/>
    <n v="7639"/>
    <n v="7486"/>
    <n v="0.02"/>
    <n v="5708"/>
    <n v="5334"/>
    <n v="0.23751001870157629"/>
    <n v="171"/>
    <n v="4821"/>
    <n v="0.21466737910766764"/>
    <x v="1"/>
    <x v="0"/>
    <n v="0"/>
    <n v="1"/>
    <n v="0.378"/>
  </r>
  <r>
    <s v="ORD-10656"/>
    <s v="08-Apr-2024"/>
    <x v="1"/>
    <x v="7"/>
    <s v="Shoes"/>
    <s v="Shoes - Model 842"/>
    <s v="Ahmedabad"/>
    <s v="West"/>
    <n v="10"/>
    <n v="1480"/>
    <n v="1347"/>
    <n v="0.09"/>
    <n v="812"/>
    <n v="5350"/>
    <n v="0.39717891610987377"/>
    <n v="121"/>
    <n v="4140"/>
    <n v="0.30734966592427615"/>
    <x v="4"/>
    <x v="0"/>
    <n v="0"/>
    <n v="0"/>
    <n v="0.126"/>
  </r>
  <r>
    <s v="ORD-10657"/>
    <s v="07-Nov-2024"/>
    <x v="0"/>
    <x v="2"/>
    <s v="Dumbbells"/>
    <s v="Dumbbells - Model 181"/>
    <s v="Kolkata"/>
    <s v="East"/>
    <n v="13"/>
    <n v="3146"/>
    <n v="2485"/>
    <n v="0.21"/>
    <n v="1724"/>
    <n v="9893"/>
    <n v="0.3062374245472837"/>
    <n v="121"/>
    <n v="8320"/>
    <n v="0.25754527162977869"/>
    <x v="0"/>
    <x v="3"/>
    <n v="1"/>
    <n v="0"/>
    <n v="0.29399999999999998"/>
  </r>
  <r>
    <s v="ORD-10658"/>
    <s v="01-Aug-2024"/>
    <x v="8"/>
    <x v="4"/>
    <s v="Remote Car"/>
    <s v="Remote Car - Model 974"/>
    <s v="Delhi"/>
    <s v="North"/>
    <n v="10"/>
    <n v="4842"/>
    <n v="4503"/>
    <n v="7.0000000000000007E-2"/>
    <n v="3168"/>
    <n v="13350"/>
    <n v="0.29646902065289804"/>
    <n v="69"/>
    <n v="12660"/>
    <n v="0.2811459027315123"/>
    <x v="0"/>
    <x v="0"/>
    <n v="0"/>
    <n v="0"/>
    <n v="9.8000000000000004E-2"/>
  </r>
  <r>
    <s v="ORD-10659"/>
    <s v="20-Sep-2024"/>
    <x v="7"/>
    <x v="3"/>
    <s v="Atta"/>
    <s v="Atta - Model 441"/>
    <s v="Bangalore"/>
    <s v="South"/>
    <n v="16"/>
    <n v="1727"/>
    <n v="1019"/>
    <n v="0.41"/>
    <n v="693"/>
    <n v="5216"/>
    <n v="0.31992149165848871"/>
    <n v="159"/>
    <n v="2672"/>
    <n v="0.16388616290480865"/>
    <x v="4"/>
    <x v="1"/>
    <n v="0"/>
    <n v="0"/>
    <n v="0.57399999999999995"/>
  </r>
  <r>
    <s v="ORD-10660"/>
    <s v="24-Jul-2024"/>
    <x v="3"/>
    <x v="1"/>
    <s v="Children"/>
    <s v="Children - Model 601"/>
    <s v="Chennai"/>
    <s v="South"/>
    <n v="19"/>
    <n v="756"/>
    <n v="454"/>
    <n v="0.4"/>
    <n v="565"/>
    <n v="-2109"/>
    <n v="-0.24449339207048459"/>
    <n v="49"/>
    <n v="-3040"/>
    <n v="-0.3524229074889868"/>
    <x v="3"/>
    <x v="3"/>
    <n v="1"/>
    <n v="0"/>
    <n v="0.55999999999999994"/>
  </r>
  <r>
    <s v="ORD-10661"/>
    <s v="25-May-2024"/>
    <x v="6"/>
    <x v="1"/>
    <s v="Comic"/>
    <s v="Comic - Model 826"/>
    <s v="Ahmedabad"/>
    <s v="West"/>
    <n v="12"/>
    <n v="5632"/>
    <n v="3999"/>
    <n v="0.28999999999999998"/>
    <n v="4079"/>
    <n v="-960"/>
    <n v="-2.0005001250312578E-2"/>
    <n v="140"/>
    <n v="-2640"/>
    <n v="-5.501375343835959E-2"/>
    <x v="1"/>
    <x v="1"/>
    <n v="0"/>
    <n v="1"/>
    <n v="0.75600000000000001"/>
  </r>
  <r>
    <s v="ORD-10662"/>
    <s v="21-Jun-2024"/>
    <x v="5"/>
    <x v="0"/>
    <s v="Laptop"/>
    <s v="Laptop - Model 367"/>
    <s v="Lucknow"/>
    <s v="North"/>
    <n v="15"/>
    <n v="7565"/>
    <n v="7035"/>
    <n v="7.0000000000000007E-2"/>
    <n v="3681"/>
    <n v="50310"/>
    <n v="0.47675906183368871"/>
    <n v="117"/>
    <n v="48555"/>
    <n v="0.46012793176972283"/>
    <x v="1"/>
    <x v="2"/>
    <n v="0"/>
    <n v="1"/>
    <n v="0.44799999999999995"/>
  </r>
  <r>
    <s v="ORD-10663"/>
    <s v="23-Nov-2024"/>
    <x v="0"/>
    <x v="4"/>
    <s v="Remote Car"/>
    <s v="Remote Car - Model 823"/>
    <s v="Lucknow"/>
    <s v="North"/>
    <n v="3"/>
    <n v="4245"/>
    <n v="3905"/>
    <n v="0.08"/>
    <n v="2326"/>
    <n v="4737"/>
    <n v="0.40435339308578744"/>
    <n v="154"/>
    <n v="4275"/>
    <n v="0.36491677336747758"/>
    <x v="4"/>
    <x v="0"/>
    <n v="0"/>
    <n v="0"/>
    <n v="0.11199999999999999"/>
  </r>
  <r>
    <s v="ORD-10664"/>
    <s v="22-Sep-2024"/>
    <x v="7"/>
    <x v="4"/>
    <s v="Doll"/>
    <s v="Doll - Model 415"/>
    <s v="Pune"/>
    <s v="West"/>
    <n v="3"/>
    <n v="1052"/>
    <n v="778"/>
    <n v="0.26"/>
    <n v="714"/>
    <n v="192"/>
    <n v="8.2262210796915161E-2"/>
    <n v="152"/>
    <n v="-264"/>
    <n v="-0.11311053984575835"/>
    <x v="4"/>
    <x v="1"/>
    <n v="0"/>
    <n v="0"/>
    <n v="0.36399999999999999"/>
  </r>
  <r>
    <s v="ORD-10665"/>
    <s v="23-Jul-2024"/>
    <x v="3"/>
    <x v="2"/>
    <s v="Shoes"/>
    <s v="Shoes - Model 272"/>
    <s v="Ahmedabad"/>
    <s v="West"/>
    <n v="1"/>
    <n v="956"/>
    <n v="621"/>
    <n v="0.35"/>
    <n v="522"/>
    <n v="99"/>
    <n v="0.15942028985507245"/>
    <n v="93"/>
    <n v="6"/>
    <n v="9.6618357487922701E-3"/>
    <x v="4"/>
    <x v="0"/>
    <n v="0"/>
    <n v="0"/>
    <n v="0.48999999999999994"/>
  </r>
  <r>
    <s v="ORD-10666"/>
    <s v="06-Jun-2024"/>
    <x v="5"/>
    <x v="6"/>
    <s v="Pressure Cooker"/>
    <s v="Pressure Cooker - Model 598"/>
    <s v="Bangalore"/>
    <s v="South"/>
    <n v="17"/>
    <n v="7598"/>
    <n v="6078"/>
    <n v="0.2"/>
    <n v="5205"/>
    <n v="14841"/>
    <n v="0.14363277393879564"/>
    <n v="58"/>
    <n v="13855"/>
    <n v="0.13409016123724909"/>
    <x v="2"/>
    <x v="3"/>
    <n v="1"/>
    <n v="0"/>
    <n v="0.27999999999999997"/>
  </r>
  <r>
    <s v="ORD-10667"/>
    <s v="09-Apr-2024"/>
    <x v="1"/>
    <x v="4"/>
    <s v="Remote Car"/>
    <s v="Remote Car - Model 741"/>
    <s v="Lucknow"/>
    <s v="North"/>
    <n v="4"/>
    <n v="6973"/>
    <n v="6485"/>
    <n v="7.0000000000000007E-2"/>
    <n v="3505"/>
    <n v="11920"/>
    <n v="0.45952197378565923"/>
    <n v="87"/>
    <n v="11572"/>
    <n v="0.44610639938319196"/>
    <x v="4"/>
    <x v="0"/>
    <n v="0"/>
    <n v="0"/>
    <n v="9.8000000000000004E-2"/>
  </r>
  <r>
    <s v="ORD-10668"/>
    <s v="16-Apr-2024"/>
    <x v="1"/>
    <x v="3"/>
    <s v="Atta"/>
    <s v="Atta - Model 109"/>
    <s v="Mumbai"/>
    <s v="West"/>
    <n v="9"/>
    <n v="6064"/>
    <n v="6064"/>
    <n v="0"/>
    <n v="3662"/>
    <n v="21618"/>
    <n v="0.39610817941952509"/>
    <n v="178"/>
    <n v="20016"/>
    <n v="0.36675461741424803"/>
    <x v="2"/>
    <x v="3"/>
    <n v="1"/>
    <n v="0"/>
    <n v="0"/>
  </r>
  <r>
    <s v="ORD-10669"/>
    <s v="20-Jul-2024"/>
    <x v="3"/>
    <x v="2"/>
    <s v="Dumbbells"/>
    <s v="Dumbbells - Model 584"/>
    <s v="Kolkata"/>
    <s v="East"/>
    <n v="20"/>
    <n v="3550"/>
    <n v="2946"/>
    <n v="0.17"/>
    <n v="2526"/>
    <n v="8400"/>
    <n v="0.1425661914460285"/>
    <n v="180"/>
    <n v="4800"/>
    <n v="8.1466395112016296E-2"/>
    <x v="1"/>
    <x v="3"/>
    <n v="1"/>
    <n v="1"/>
    <n v="0.58799999999999997"/>
  </r>
  <r>
    <s v="ORD-10670"/>
    <s v="20-Jul-2024"/>
    <x v="3"/>
    <x v="0"/>
    <s v="Headphones"/>
    <s v="Headphones - Model 994"/>
    <s v="Kolkata"/>
    <s v="East"/>
    <n v="4"/>
    <n v="224"/>
    <n v="137"/>
    <n v="0.39"/>
    <n v="121"/>
    <n v="64"/>
    <n v="0.11678832116788321"/>
    <n v="155"/>
    <n v="-556"/>
    <n v="-1.0145985401459854"/>
    <x v="1"/>
    <x v="0"/>
    <n v="0"/>
    <n v="1"/>
    <n v="0.89599999999999991"/>
  </r>
  <r>
    <s v="ORD-10671"/>
    <s v="09-Sep-2024"/>
    <x v="7"/>
    <x v="5"/>
    <s v="Lipstick"/>
    <s v="Lipstick - Model 562"/>
    <s v="Lucknow"/>
    <s v="North"/>
    <n v="16"/>
    <n v="4216"/>
    <n v="2951"/>
    <n v="0.3"/>
    <n v="1691"/>
    <n v="20160"/>
    <n v="0.42697390715011863"/>
    <n v="126"/>
    <n v="18144"/>
    <n v="0.38427651643510674"/>
    <x v="4"/>
    <x v="0"/>
    <n v="0"/>
    <n v="0"/>
    <n v="0.42"/>
  </r>
  <r>
    <s v="ORD-10672"/>
    <s v="26-Jan-2024"/>
    <x v="9"/>
    <x v="1"/>
    <s v="Children"/>
    <s v="Children - Model 339"/>
    <s v="Lucknow"/>
    <s v="North"/>
    <n v="16"/>
    <n v="3321"/>
    <n v="2391"/>
    <n v="0.28000000000000003"/>
    <n v="1423"/>
    <n v="15488"/>
    <n v="0.40485152655792556"/>
    <n v="94"/>
    <n v="13984"/>
    <n v="0.36553743203680467"/>
    <x v="0"/>
    <x v="2"/>
    <n v="0"/>
    <n v="0"/>
    <n v="0.39200000000000002"/>
  </r>
  <r>
    <s v="ORD-10673"/>
    <s v="24-Feb-2024"/>
    <x v="4"/>
    <x v="4"/>
    <s v="Puzzle"/>
    <s v="Puzzle - Model 721"/>
    <s v="Hyderabad"/>
    <s v="South"/>
    <n v="5"/>
    <n v="6985"/>
    <n v="4261"/>
    <n v="0.39"/>
    <n v="4713"/>
    <n v="-2260"/>
    <n v="-0.10607838535555034"/>
    <n v="137"/>
    <n v="-2945"/>
    <n v="-0.13823046233278574"/>
    <x v="2"/>
    <x v="3"/>
    <n v="1"/>
    <n v="0"/>
    <n v="0.54599999999999993"/>
  </r>
  <r>
    <s v="ORD-10674"/>
    <s v="27-May-2024"/>
    <x v="6"/>
    <x v="3"/>
    <s v="Oil"/>
    <s v="Oil - Model 556"/>
    <s v="Delhi"/>
    <s v="North"/>
    <n v="16"/>
    <n v="5369"/>
    <n v="4778"/>
    <n v="0.11"/>
    <n v="2545"/>
    <n v="35728"/>
    <n v="0.46735035579740475"/>
    <n v="143"/>
    <n v="33440"/>
    <n v="0.43742151527835915"/>
    <x v="2"/>
    <x v="1"/>
    <n v="0"/>
    <n v="0"/>
    <n v="0.154"/>
  </r>
  <r>
    <s v="ORD-10675"/>
    <s v="06-Jan-2024"/>
    <x v="9"/>
    <x v="1"/>
    <s v="Children"/>
    <s v="Children - Model 884"/>
    <s v="Chennai"/>
    <s v="South"/>
    <n v="8"/>
    <n v="5810"/>
    <n v="4067"/>
    <n v="0.3"/>
    <n v="4259"/>
    <n v="-1536"/>
    <n v="-4.7209245143840665E-2"/>
    <n v="131"/>
    <n v="-2584"/>
    <n v="-7.9419719695106958E-2"/>
    <x v="1"/>
    <x v="3"/>
    <n v="1"/>
    <n v="1"/>
    <n v="0.77"/>
  </r>
  <r>
    <s v="ORD-10676"/>
    <s v="03-Aug-2024"/>
    <x v="8"/>
    <x v="1"/>
    <s v="Self-Help"/>
    <s v="Self-Help - Model 689"/>
    <s v="Lucknow"/>
    <s v="North"/>
    <n v="3"/>
    <n v="5223"/>
    <n v="4335"/>
    <n v="0.17"/>
    <n v="3401"/>
    <n v="2802"/>
    <n v="0.21545559400230679"/>
    <n v="140"/>
    <n v="2382"/>
    <n v="0.18316032295271051"/>
    <x v="0"/>
    <x v="3"/>
    <n v="1"/>
    <n v="0"/>
    <n v="0.23799999999999999"/>
  </r>
  <r>
    <s v="ORD-10677"/>
    <s v="26-Jul-2024"/>
    <x v="3"/>
    <x v="5"/>
    <s v="Serum"/>
    <s v="Serum - Model 365"/>
    <s v="Delhi"/>
    <s v="North"/>
    <n v="10"/>
    <n v="884"/>
    <n v="849"/>
    <n v="0.04"/>
    <n v="583"/>
    <n v="2660"/>
    <n v="0.31330977620730271"/>
    <n v="171"/>
    <n v="950"/>
    <n v="0.11189634864546526"/>
    <x v="2"/>
    <x v="0"/>
    <n v="0"/>
    <n v="0"/>
    <n v="5.5999999999999994E-2"/>
  </r>
  <r>
    <s v="ORD-10678"/>
    <s v="13-Jun-2024"/>
    <x v="5"/>
    <x v="0"/>
    <s v="Headphones"/>
    <s v="Headphones - Model 163"/>
    <s v="Lucknow"/>
    <s v="North"/>
    <n v="18"/>
    <n v="1681"/>
    <n v="1395"/>
    <n v="0.17"/>
    <n v="922"/>
    <n v="8514"/>
    <n v="0.33906810035842294"/>
    <n v="146"/>
    <n v="5886"/>
    <n v="0.23440860215053763"/>
    <x v="1"/>
    <x v="3"/>
    <n v="1"/>
    <n v="1"/>
    <n v="0.58799999999999997"/>
  </r>
  <r>
    <s v="ORD-10679"/>
    <s v="04-Apr-2024"/>
    <x v="1"/>
    <x v="4"/>
    <s v="Action Figure"/>
    <s v="Action Figure - Model 651"/>
    <s v="Ahmedabad"/>
    <s v="West"/>
    <n v="11"/>
    <n v="1329"/>
    <n v="771"/>
    <n v="0.42"/>
    <n v="921"/>
    <n v="-1650"/>
    <n v="-0.19455252918287938"/>
    <n v="105"/>
    <n v="-2805"/>
    <n v="-0.33073929961089493"/>
    <x v="0"/>
    <x v="0"/>
    <n v="0"/>
    <n v="0"/>
    <n v="0.58799999999999997"/>
  </r>
  <r>
    <s v="ORD-10680"/>
    <s v="22-Dec-2024"/>
    <x v="10"/>
    <x v="0"/>
    <s v="Tablet"/>
    <s v="Tablet - Model 427"/>
    <s v="Chennai"/>
    <s v="South"/>
    <n v="17"/>
    <n v="7925"/>
    <n v="7450"/>
    <n v="0.06"/>
    <n v="5935"/>
    <n v="25755"/>
    <n v="0.20335570469798658"/>
    <n v="136"/>
    <n v="23443"/>
    <n v="0.18510067114093959"/>
    <x v="0"/>
    <x v="0"/>
    <n v="0"/>
    <n v="0"/>
    <n v="8.3999999999999991E-2"/>
  </r>
  <r>
    <s v="ORD-10681"/>
    <s v="23-May-2024"/>
    <x v="6"/>
    <x v="4"/>
    <s v="Action Figure"/>
    <s v="Action Figure - Model 929"/>
    <s v="Kolkata"/>
    <s v="East"/>
    <n v="5"/>
    <n v="6658"/>
    <n v="6059"/>
    <n v="0.09"/>
    <n v="4371"/>
    <n v="8440"/>
    <n v="0.27859382736425153"/>
    <n v="152"/>
    <n v="7680"/>
    <n v="0.25350717940254169"/>
    <x v="2"/>
    <x v="3"/>
    <n v="1"/>
    <n v="0"/>
    <n v="0.126"/>
  </r>
  <r>
    <s v="ORD-10682"/>
    <s v="24-Aug-2024"/>
    <x v="8"/>
    <x v="4"/>
    <s v="Puzzle"/>
    <s v="Puzzle - Model 934"/>
    <s v="Bangalore"/>
    <s v="South"/>
    <n v="1"/>
    <n v="4474"/>
    <n v="3803"/>
    <n v="0.15"/>
    <n v="2851"/>
    <n v="952"/>
    <n v="0.25032868787799106"/>
    <n v="179"/>
    <n v="773"/>
    <n v="0.20326058374967132"/>
    <x v="0"/>
    <x v="0"/>
    <n v="0"/>
    <n v="0"/>
    <n v="0.21"/>
  </r>
  <r>
    <s v="ORD-10683"/>
    <s v="10-May-2024"/>
    <x v="6"/>
    <x v="5"/>
    <s v="Sunscreen"/>
    <s v="Sunscreen - Model 503"/>
    <s v="Delhi"/>
    <s v="North"/>
    <n v="5"/>
    <n v="2723"/>
    <n v="1743"/>
    <n v="0.36"/>
    <n v="1914"/>
    <n v="-855"/>
    <n v="-9.8106712564543896E-2"/>
    <n v="38"/>
    <n v="-1045"/>
    <n v="-0.11990820424555364"/>
    <x v="4"/>
    <x v="0"/>
    <n v="0"/>
    <n v="0"/>
    <n v="0.504"/>
  </r>
  <r>
    <s v="ORD-10684"/>
    <s v="15-Mar-2024"/>
    <x v="2"/>
    <x v="3"/>
    <s v="Rice"/>
    <s v="Rice - Model 248"/>
    <s v="Hyderabad"/>
    <s v="South"/>
    <n v="7"/>
    <n v="6474"/>
    <n v="5891"/>
    <n v="0.09"/>
    <n v="4065"/>
    <n v="12782"/>
    <n v="0.30996435240196912"/>
    <n v="84"/>
    <n v="12194"/>
    <n v="0.2957053131896113"/>
    <x v="3"/>
    <x v="3"/>
    <n v="1"/>
    <n v="0"/>
    <n v="0.126"/>
  </r>
  <r>
    <s v="ORD-10685"/>
    <s v="13-Mar-2024"/>
    <x v="2"/>
    <x v="4"/>
    <s v="Board Game"/>
    <s v="Board Game - Model 157"/>
    <s v="Delhi"/>
    <s v="North"/>
    <n v="12"/>
    <n v="7798"/>
    <n v="7174"/>
    <n v="0.08"/>
    <n v="3262"/>
    <n v="46944"/>
    <n v="0.54530248118204627"/>
    <n v="177"/>
    <n v="44820"/>
    <n v="0.52063005296905496"/>
    <x v="4"/>
    <x v="1"/>
    <n v="0"/>
    <n v="0"/>
    <n v="0.11199999999999999"/>
  </r>
  <r>
    <s v="ORD-10686"/>
    <s v="24-Nov-2024"/>
    <x v="0"/>
    <x v="4"/>
    <s v="Board Game"/>
    <s v="Board Game - Model 134"/>
    <s v="Delhi"/>
    <s v="North"/>
    <n v="8"/>
    <n v="3294"/>
    <n v="2833"/>
    <n v="0.14000000000000001"/>
    <n v="2005"/>
    <n v="6624"/>
    <n v="0.29226967878573951"/>
    <n v="56"/>
    <n v="6176"/>
    <n v="0.27250264737027885"/>
    <x v="0"/>
    <x v="1"/>
    <n v="0"/>
    <n v="0"/>
    <n v="0.19600000000000001"/>
  </r>
  <r>
    <s v="ORD-10687"/>
    <s v="22-Nov-2024"/>
    <x v="0"/>
    <x v="7"/>
    <s v="Shoes"/>
    <s v="Shoes - Model 985"/>
    <s v="Pune"/>
    <s v="West"/>
    <n v="9"/>
    <n v="5132"/>
    <n v="4106"/>
    <n v="0.2"/>
    <n v="2074"/>
    <n v="18288"/>
    <n v="0.49488553336580615"/>
    <n v="47"/>
    <n v="17865"/>
    <n v="0.48343886994641988"/>
    <x v="2"/>
    <x v="0"/>
    <n v="0"/>
    <n v="0"/>
    <n v="0.27999999999999997"/>
  </r>
  <r>
    <s v="ORD-10688"/>
    <s v="08-Sep-2024"/>
    <x v="7"/>
    <x v="0"/>
    <s v="Tablet"/>
    <s v="Tablet - Model 686"/>
    <s v="Lucknow"/>
    <s v="North"/>
    <n v="16"/>
    <n v="2335"/>
    <n v="1541"/>
    <n v="0.34"/>
    <n v="1583"/>
    <n v="-672"/>
    <n v="-2.7255029201817001E-2"/>
    <n v="57"/>
    <n v="-1584"/>
    <n v="-6.4243997404282938E-2"/>
    <x v="0"/>
    <x v="0"/>
    <n v="0"/>
    <n v="0"/>
    <n v="0.47599999999999998"/>
  </r>
  <r>
    <s v="ORD-10689"/>
    <s v="19-May-2024"/>
    <x v="6"/>
    <x v="6"/>
    <s v="Mixer"/>
    <s v="Mixer - Model 433"/>
    <s v="Delhi"/>
    <s v="North"/>
    <n v="18"/>
    <n v="1642"/>
    <n v="1034"/>
    <n v="0.37"/>
    <n v="668"/>
    <n v="6588"/>
    <n v="0.35396518375241781"/>
    <n v="113"/>
    <n v="4554"/>
    <n v="0.24468085106382978"/>
    <x v="3"/>
    <x v="0"/>
    <n v="0"/>
    <n v="0"/>
    <n v="0.51800000000000002"/>
  </r>
  <r>
    <s v="ORD-10690"/>
    <s v="17-Feb-2024"/>
    <x v="4"/>
    <x v="7"/>
    <s v="Jeans"/>
    <s v="Jeans - Model 774"/>
    <s v="Delhi"/>
    <s v="North"/>
    <n v="6"/>
    <n v="6924"/>
    <n v="4778"/>
    <n v="0.31"/>
    <n v="2783"/>
    <n v="11970"/>
    <n v="0.41753871912934282"/>
    <n v="97"/>
    <n v="11388"/>
    <n v="0.39723733779824194"/>
    <x v="4"/>
    <x v="0"/>
    <n v="0"/>
    <n v="0"/>
    <n v="0.434"/>
  </r>
  <r>
    <s v="ORD-10691"/>
    <s v="21-Apr-2024"/>
    <x v="1"/>
    <x v="6"/>
    <s v="Mixer"/>
    <s v="Mixer - Model 675"/>
    <s v="Chennai"/>
    <s v="South"/>
    <n v="2"/>
    <n v="860"/>
    <n v="808"/>
    <n v="0.06"/>
    <n v="434"/>
    <n v="748"/>
    <n v="0.46287128712871289"/>
    <n v="175"/>
    <n v="398"/>
    <n v="0.24628712871287128"/>
    <x v="1"/>
    <x v="1"/>
    <n v="0"/>
    <n v="1"/>
    <n v="0.43399999999999994"/>
  </r>
  <r>
    <s v="ORD-10692"/>
    <s v="08-Jan-2024"/>
    <x v="9"/>
    <x v="2"/>
    <s v="Shoes"/>
    <s v="Shoes - Model 631"/>
    <s v="Chennai"/>
    <s v="South"/>
    <n v="18"/>
    <n v="3670"/>
    <n v="2716"/>
    <n v="0.26"/>
    <n v="2361"/>
    <n v="6390"/>
    <n v="0.13070692194403535"/>
    <n v="108"/>
    <n v="4446"/>
    <n v="9.0942562592047124E-2"/>
    <x v="4"/>
    <x v="0"/>
    <n v="0"/>
    <n v="0"/>
    <n v="0.36399999999999999"/>
  </r>
  <r>
    <s v="ORD-10693"/>
    <s v="04-Dec-2024"/>
    <x v="10"/>
    <x v="0"/>
    <s v="Laptop"/>
    <s v="Laptop - Model 137"/>
    <s v="Hyderabad"/>
    <s v="South"/>
    <n v="5"/>
    <n v="2538"/>
    <n v="1599"/>
    <n v="0.37"/>
    <n v="1866"/>
    <n v="-1335"/>
    <n v="-0.16697936210131331"/>
    <n v="120"/>
    <n v="-1935"/>
    <n v="-0.24202626641651032"/>
    <x v="1"/>
    <x v="0"/>
    <n v="0"/>
    <n v="1"/>
    <n v="0.86799999999999999"/>
  </r>
  <r>
    <s v="ORD-10694"/>
    <s v="20-Dec-2024"/>
    <x v="10"/>
    <x v="4"/>
    <s v="Action Figure"/>
    <s v="Action Figure - Model 663"/>
    <s v="Chennai"/>
    <s v="South"/>
    <n v="9"/>
    <n v="3178"/>
    <n v="1875"/>
    <n v="0.41"/>
    <n v="1716"/>
    <n v="1431"/>
    <n v="8.48E-2"/>
    <n v="42"/>
    <n v="1053"/>
    <n v="6.2399999999999997E-2"/>
    <x v="4"/>
    <x v="1"/>
    <n v="0"/>
    <n v="0"/>
    <n v="0.57399999999999995"/>
  </r>
  <r>
    <s v="ORD-10695"/>
    <s v="18-Mar-2024"/>
    <x v="2"/>
    <x v="5"/>
    <s v="Moisturizer"/>
    <s v="Moisturizer - Model 744"/>
    <s v="Chennai"/>
    <s v="South"/>
    <n v="7"/>
    <n v="5773"/>
    <n v="4330"/>
    <n v="0.25"/>
    <n v="3618"/>
    <n v="4984"/>
    <n v="0.16443418013856814"/>
    <n v="107"/>
    <n v="4235"/>
    <n v="0.13972286374133949"/>
    <x v="1"/>
    <x v="0"/>
    <n v="0"/>
    <n v="1"/>
    <n v="0.7"/>
  </r>
  <r>
    <s v="ORD-10696"/>
    <s v="13-Jul-2024"/>
    <x v="3"/>
    <x v="0"/>
    <s v="Tablet"/>
    <s v="Tablet - Model 353"/>
    <s v="Delhi"/>
    <s v="North"/>
    <n v="9"/>
    <n v="1172"/>
    <n v="1113"/>
    <n v="0.05"/>
    <n v="694"/>
    <n v="3771"/>
    <n v="0.37646001796945194"/>
    <n v="40"/>
    <n v="3411"/>
    <n v="0.34052111410601976"/>
    <x v="2"/>
    <x v="0"/>
    <n v="0"/>
    <n v="0"/>
    <n v="6.9999999999999993E-2"/>
  </r>
  <r>
    <s v="ORD-10697"/>
    <s v="05-May-2024"/>
    <x v="6"/>
    <x v="5"/>
    <s v="Lipstick"/>
    <s v="Lipstick - Model 110"/>
    <s v="Delhi"/>
    <s v="North"/>
    <n v="13"/>
    <n v="7840"/>
    <n v="7056"/>
    <n v="0.1"/>
    <n v="5748"/>
    <n v="17004"/>
    <n v="0.18537414965986396"/>
    <n v="147"/>
    <n v="15093"/>
    <n v="0.16454081632653061"/>
    <x v="2"/>
    <x v="0"/>
    <n v="0"/>
    <n v="0"/>
    <n v="0.13999999999999999"/>
  </r>
  <r>
    <s v="ORD-10698"/>
    <s v="19-May-2024"/>
    <x v="6"/>
    <x v="3"/>
    <s v="Atta"/>
    <s v="Atta - Model 641"/>
    <s v="Kolkata"/>
    <s v="East"/>
    <n v="19"/>
    <n v="6950"/>
    <n v="5212"/>
    <n v="0.25"/>
    <n v="4258"/>
    <n v="18126"/>
    <n v="0.18303914044512662"/>
    <n v="164"/>
    <n v="15010"/>
    <n v="0.1515732924021489"/>
    <x v="1"/>
    <x v="2"/>
    <n v="0"/>
    <n v="1"/>
    <n v="0.7"/>
  </r>
  <r>
    <s v="ORD-10699"/>
    <s v="12-Mar-2024"/>
    <x v="2"/>
    <x v="4"/>
    <s v="Remote Car"/>
    <s v="Remote Car - Model 706"/>
    <s v="Bangalore"/>
    <s v="South"/>
    <n v="9"/>
    <n v="274"/>
    <n v="211"/>
    <n v="0.23"/>
    <n v="125"/>
    <n v="774"/>
    <n v="0.40758293838862558"/>
    <n v="49"/>
    <n v="333"/>
    <n v="0.17535545023696683"/>
    <x v="0"/>
    <x v="0"/>
    <n v="0"/>
    <n v="0"/>
    <n v="0.32200000000000001"/>
  </r>
  <r>
    <s v="ORD-10700"/>
    <s v="21-Dec-2024"/>
    <x v="10"/>
    <x v="1"/>
    <s v="Self-Help"/>
    <s v="Self-Help - Model 794"/>
    <s v="Lucknow"/>
    <s v="North"/>
    <n v="14"/>
    <n v="5713"/>
    <n v="5256"/>
    <n v="0.08"/>
    <n v="4257"/>
    <n v="13986"/>
    <n v="0.19006849315068494"/>
    <n v="150"/>
    <n v="11886"/>
    <n v="0.1615296803652968"/>
    <x v="3"/>
    <x v="1"/>
    <n v="0"/>
    <n v="0"/>
    <n v="0.11199999999999999"/>
  </r>
  <r>
    <s v="ORD-10701"/>
    <s v="23-Sep-2024"/>
    <x v="7"/>
    <x v="5"/>
    <s v="Lipstick"/>
    <s v="Lipstick - Model 750"/>
    <s v="Delhi"/>
    <s v="North"/>
    <n v="10"/>
    <n v="3371"/>
    <n v="2899"/>
    <n v="0.14000000000000001"/>
    <n v="1455"/>
    <n v="14440"/>
    <n v="0.49810279406691965"/>
    <n v="42"/>
    <n v="14020"/>
    <n v="0.48361503966885133"/>
    <x v="1"/>
    <x v="0"/>
    <n v="0"/>
    <n v="1"/>
    <n v="0.54600000000000004"/>
  </r>
  <r>
    <s v="ORD-10702"/>
    <s v="03-Jan-2024"/>
    <x v="9"/>
    <x v="2"/>
    <s v="Cycle"/>
    <s v="Cycle - Model 604"/>
    <s v="Mumbai"/>
    <s v="West"/>
    <n v="14"/>
    <n v="5481"/>
    <n v="3179"/>
    <n v="0.42"/>
    <n v="2454"/>
    <n v="10150"/>
    <n v="0.22805913809374018"/>
    <n v="105"/>
    <n v="8680"/>
    <n v="0.1950298836111985"/>
    <x v="3"/>
    <x v="0"/>
    <n v="0"/>
    <n v="0"/>
    <n v="0.58799999999999997"/>
  </r>
  <r>
    <s v="ORD-10703"/>
    <s v="07-Oct-2024"/>
    <x v="11"/>
    <x v="0"/>
    <s v="Smartwatch"/>
    <s v="Smartwatch - Model 819"/>
    <s v="Jaipur"/>
    <s v="North"/>
    <n v="12"/>
    <n v="2105"/>
    <n v="1410"/>
    <n v="0.33"/>
    <n v="1543"/>
    <n v="-1596"/>
    <n v="-9.432624113475177E-2"/>
    <n v="154"/>
    <n v="-3444"/>
    <n v="-0.20354609929078013"/>
    <x v="3"/>
    <x v="0"/>
    <n v="0"/>
    <n v="0"/>
    <n v="0.46199999999999997"/>
  </r>
  <r>
    <s v="ORD-10704"/>
    <s v="06-Aug-2024"/>
    <x v="8"/>
    <x v="5"/>
    <s v="Serum"/>
    <s v="Serum - Model 176"/>
    <s v="Kolkata"/>
    <s v="East"/>
    <n v="5"/>
    <n v="4207"/>
    <n v="2398"/>
    <n v="0.43"/>
    <n v="2305"/>
    <n v="465"/>
    <n v="3.8782318598832362E-2"/>
    <n v="87"/>
    <n v="30"/>
    <n v="2.5020850708924102E-3"/>
    <x v="4"/>
    <x v="0"/>
    <n v="0"/>
    <n v="0"/>
    <n v="0.60199999999999998"/>
  </r>
  <r>
    <s v="ORD-10705"/>
    <s v="08-Nov-2024"/>
    <x v="0"/>
    <x v="7"/>
    <s v="Saree"/>
    <s v="Saree - Model 406"/>
    <s v="Ahmedabad"/>
    <s v="West"/>
    <n v="10"/>
    <n v="2265"/>
    <n v="2265"/>
    <n v="0"/>
    <n v="1406"/>
    <n v="8590"/>
    <n v="0.37924944812362033"/>
    <n v="89"/>
    <n v="7700"/>
    <n v="0.33995584988962474"/>
    <x v="4"/>
    <x v="1"/>
    <n v="0"/>
    <n v="0"/>
    <n v="0"/>
  </r>
  <r>
    <s v="ORD-10706"/>
    <s v="27-Sep-2024"/>
    <x v="7"/>
    <x v="0"/>
    <s v="Smartwatch"/>
    <s v="Smartwatch - Model 732"/>
    <s v="Ahmedabad"/>
    <s v="West"/>
    <n v="2"/>
    <n v="2975"/>
    <n v="2142"/>
    <n v="0.28000000000000003"/>
    <n v="1532"/>
    <n v="1220"/>
    <n v="0.28478057889822594"/>
    <n v="83"/>
    <n v="1054"/>
    <n v="0.24603174603174602"/>
    <x v="2"/>
    <x v="0"/>
    <n v="0"/>
    <n v="0"/>
    <n v="0.39200000000000002"/>
  </r>
  <r>
    <s v="ORD-10707"/>
    <s v="12-Jul-2024"/>
    <x v="3"/>
    <x v="0"/>
    <s v="Mobile"/>
    <s v="Mobile - Model 541"/>
    <s v="Ahmedabad"/>
    <s v="West"/>
    <n v="7"/>
    <n v="861"/>
    <n v="663"/>
    <n v="0.23"/>
    <n v="391"/>
    <n v="1904"/>
    <n v="0.41025641025641024"/>
    <n v="49"/>
    <n v="1561"/>
    <n v="0.33634992458521873"/>
    <x v="0"/>
    <x v="3"/>
    <n v="1"/>
    <n v="0"/>
    <n v="0.32200000000000001"/>
  </r>
  <r>
    <s v="ORD-10708"/>
    <s v="08-May-2024"/>
    <x v="6"/>
    <x v="3"/>
    <s v="Pulses"/>
    <s v="Pulses - Model 483"/>
    <s v="Chennai"/>
    <s v="South"/>
    <n v="12"/>
    <n v="3541"/>
    <n v="3258"/>
    <n v="0.08"/>
    <n v="2422"/>
    <n v="10032"/>
    <n v="0.25659914057704114"/>
    <n v="46"/>
    <n v="9480"/>
    <n v="0.24248004910988336"/>
    <x v="0"/>
    <x v="0"/>
    <n v="0"/>
    <n v="0"/>
    <n v="0.11199999999999999"/>
  </r>
  <r>
    <s v="ORD-10709"/>
    <s v="12-Mar-2024"/>
    <x v="2"/>
    <x v="4"/>
    <s v="Action Figure"/>
    <s v="Action Figure - Model 467"/>
    <s v="Hyderabad"/>
    <s v="South"/>
    <n v="4"/>
    <n v="1679"/>
    <n v="1645"/>
    <n v="0.02"/>
    <n v="903"/>
    <n v="2968"/>
    <n v="0.45106382978723403"/>
    <n v="142"/>
    <n v="2400"/>
    <n v="0.36474164133738601"/>
    <x v="2"/>
    <x v="0"/>
    <n v="0"/>
    <n v="0"/>
    <n v="2.7999999999999997E-2"/>
  </r>
  <r>
    <s v="ORD-10710"/>
    <s v="22-Aug-2024"/>
    <x v="8"/>
    <x v="2"/>
    <s v="Shoes"/>
    <s v="Shoes - Model 531"/>
    <s v="Ahmedabad"/>
    <s v="West"/>
    <n v="18"/>
    <n v="4065"/>
    <n v="2805"/>
    <n v="0.31"/>
    <n v="1807"/>
    <n v="17964"/>
    <n v="0.35579322638146166"/>
    <n v="143"/>
    <n v="15390"/>
    <n v="0.30481283422459893"/>
    <x v="0"/>
    <x v="1"/>
    <n v="0"/>
    <n v="0"/>
    <n v="0.434"/>
  </r>
  <r>
    <s v="ORD-10711"/>
    <s v="05-Jul-2024"/>
    <x v="3"/>
    <x v="7"/>
    <s v="Kurta"/>
    <s v="Kurta - Model 911"/>
    <s v="Mumbai"/>
    <s v="West"/>
    <n v="5"/>
    <n v="1413"/>
    <n v="1088"/>
    <n v="0.23"/>
    <n v="945"/>
    <n v="715"/>
    <n v="0.13143382352941177"/>
    <n v="65"/>
    <n v="390"/>
    <n v="7.169117647058823E-2"/>
    <x v="4"/>
    <x v="0"/>
    <n v="0"/>
    <n v="0"/>
    <n v="0.32200000000000001"/>
  </r>
  <r>
    <s v="ORD-10712"/>
    <s v="14-Jan-2024"/>
    <x v="9"/>
    <x v="3"/>
    <s v="Rice"/>
    <s v="Rice - Model 388"/>
    <s v="Ahmedabad"/>
    <s v="West"/>
    <n v="3"/>
    <n v="6135"/>
    <n v="5460"/>
    <n v="0.11"/>
    <n v="2781"/>
    <n v="8037"/>
    <n v="0.49065934065934064"/>
    <n v="107"/>
    <n v="7716"/>
    <n v="0.47106227106227105"/>
    <x v="1"/>
    <x v="0"/>
    <n v="0"/>
    <n v="1"/>
    <n v="0.504"/>
  </r>
  <r>
    <s v="ORD-10713"/>
    <s v="23-May-2024"/>
    <x v="6"/>
    <x v="5"/>
    <s v="Perfume"/>
    <s v="Perfume - Model 303"/>
    <s v="Ahmedabad"/>
    <s v="West"/>
    <n v="4"/>
    <n v="5669"/>
    <n v="4365"/>
    <n v="0.23"/>
    <n v="2627"/>
    <n v="6952"/>
    <n v="0.39816723940435278"/>
    <n v="179"/>
    <n v="6236"/>
    <n v="0.35715922107674686"/>
    <x v="3"/>
    <x v="0"/>
    <n v="0"/>
    <n v="0"/>
    <n v="0.32200000000000001"/>
  </r>
  <r>
    <s v="ORD-10714"/>
    <s v="05-Feb-2024"/>
    <x v="4"/>
    <x v="4"/>
    <s v="Action Figure"/>
    <s v="Action Figure - Model 380"/>
    <s v="Hyderabad"/>
    <s v="South"/>
    <n v="5"/>
    <n v="3525"/>
    <n v="2538"/>
    <n v="0.28000000000000003"/>
    <n v="1522"/>
    <n v="5080"/>
    <n v="0.40031520882584715"/>
    <n v="38"/>
    <n v="4890"/>
    <n v="0.38534278959810875"/>
    <x v="0"/>
    <x v="0"/>
    <n v="0"/>
    <n v="0"/>
    <n v="0.39200000000000002"/>
  </r>
  <r>
    <s v="ORD-10715"/>
    <s v="08-Apr-2024"/>
    <x v="1"/>
    <x v="1"/>
    <s v="Children"/>
    <s v="Children - Model 590"/>
    <s v="Mumbai"/>
    <s v="West"/>
    <n v="17"/>
    <n v="3531"/>
    <n v="3460"/>
    <n v="0.02"/>
    <n v="1548"/>
    <n v="32504"/>
    <n v="0.55260115606936411"/>
    <n v="85"/>
    <n v="31059"/>
    <n v="0.52803468208092486"/>
    <x v="4"/>
    <x v="0"/>
    <n v="0"/>
    <n v="0"/>
    <n v="2.7999999999999997E-2"/>
  </r>
  <r>
    <s v="ORD-10716"/>
    <s v="06-Jan-2024"/>
    <x v="9"/>
    <x v="0"/>
    <s v="Mobile"/>
    <s v="Mobile - Model 153"/>
    <s v="Kolkata"/>
    <s v="East"/>
    <n v="7"/>
    <n v="2425"/>
    <n v="2110"/>
    <n v="0.13"/>
    <n v="1485"/>
    <n v="4375"/>
    <n v="0.29620853080568721"/>
    <n v="95"/>
    <n v="3710"/>
    <n v="0.25118483412322273"/>
    <x v="4"/>
    <x v="0"/>
    <n v="0"/>
    <n v="0"/>
    <n v="0.182"/>
  </r>
  <r>
    <s v="ORD-10717"/>
    <s v="04-May-2024"/>
    <x v="6"/>
    <x v="7"/>
    <s v="Kurta"/>
    <s v="Kurta - Model 799"/>
    <s v="Jaipur"/>
    <s v="North"/>
    <n v="5"/>
    <n v="2783"/>
    <n v="1865"/>
    <n v="0.33"/>
    <n v="1465"/>
    <n v="2000"/>
    <n v="0.21447721179624665"/>
    <n v="147"/>
    <n v="1265"/>
    <n v="0.135656836461126"/>
    <x v="3"/>
    <x v="0"/>
    <n v="0"/>
    <n v="0"/>
    <n v="0.46199999999999997"/>
  </r>
  <r>
    <s v="ORD-10718"/>
    <s v="07-May-2024"/>
    <x v="6"/>
    <x v="4"/>
    <s v="Action Figure"/>
    <s v="Action Figure - Model 208"/>
    <s v="Bangalore"/>
    <s v="South"/>
    <n v="20"/>
    <n v="1139"/>
    <n v="843"/>
    <n v="0.26"/>
    <n v="819"/>
    <n v="480"/>
    <n v="2.8469750889679714E-2"/>
    <n v="128"/>
    <n v="-2080"/>
    <n v="-0.12336892052194544"/>
    <x v="1"/>
    <x v="0"/>
    <n v="0"/>
    <n v="1"/>
    <n v="0.71399999999999997"/>
  </r>
  <r>
    <s v="ORD-10719"/>
    <s v="03-Feb-2024"/>
    <x v="4"/>
    <x v="1"/>
    <s v="Textbook"/>
    <s v="Textbook - Model 842"/>
    <s v="Ahmedabad"/>
    <s v="West"/>
    <n v="7"/>
    <n v="4362"/>
    <n v="4057"/>
    <n v="7.0000000000000007E-2"/>
    <n v="1940"/>
    <n v="14819"/>
    <n v="0.52181414838550655"/>
    <n v="93"/>
    <n v="14168"/>
    <n v="0.49889080601429625"/>
    <x v="4"/>
    <x v="3"/>
    <n v="1"/>
    <n v="0"/>
    <n v="9.8000000000000004E-2"/>
  </r>
  <r>
    <s v="ORD-10720"/>
    <s v="12-Sep-2024"/>
    <x v="7"/>
    <x v="1"/>
    <s v="Children"/>
    <s v="Children - Model 744"/>
    <s v="Delhi"/>
    <s v="North"/>
    <n v="14"/>
    <n v="728"/>
    <n v="590"/>
    <n v="0.19"/>
    <n v="529"/>
    <n v="854"/>
    <n v="0.10338983050847457"/>
    <n v="106"/>
    <n v="-630"/>
    <n v="-7.6271186440677971E-2"/>
    <x v="2"/>
    <x v="0"/>
    <n v="0"/>
    <n v="0"/>
    <n v="0.26599999999999996"/>
  </r>
  <r>
    <s v="ORD-10721"/>
    <s v="10-Mar-2024"/>
    <x v="2"/>
    <x v="0"/>
    <s v="Tablet"/>
    <s v="Tablet - Model 162"/>
    <s v="Hyderabad"/>
    <s v="South"/>
    <n v="13"/>
    <n v="4061"/>
    <n v="3086"/>
    <n v="0.24"/>
    <n v="2354"/>
    <n v="9516"/>
    <n v="0.23720025923525601"/>
    <n v="41"/>
    <n v="8983"/>
    <n v="0.22391445236552171"/>
    <x v="0"/>
    <x v="0"/>
    <n v="0"/>
    <n v="0"/>
    <n v="0.33599999999999997"/>
  </r>
  <r>
    <s v="ORD-10722"/>
    <s v="13-Jul-2024"/>
    <x v="3"/>
    <x v="2"/>
    <s v="Cricket Bat"/>
    <s v="Cricket Bat - Model 288"/>
    <s v="Mumbai"/>
    <s v="West"/>
    <n v="6"/>
    <n v="4661"/>
    <n v="3403"/>
    <n v="0.27"/>
    <n v="1879"/>
    <n v="9144"/>
    <n v="0.44784014105201292"/>
    <n v="169"/>
    <n v="8130"/>
    <n v="0.39817807816632383"/>
    <x v="3"/>
    <x v="0"/>
    <n v="0"/>
    <n v="0"/>
    <n v="0.378"/>
  </r>
  <r>
    <s v="ORD-10723"/>
    <s v="09-Sep-2024"/>
    <x v="7"/>
    <x v="2"/>
    <s v="Cricket Bat"/>
    <s v="Cricket Bat - Model 403"/>
    <s v="Chennai"/>
    <s v="South"/>
    <n v="18"/>
    <n v="1129"/>
    <n v="1016"/>
    <n v="0.1"/>
    <n v="662"/>
    <n v="6372"/>
    <n v="0.34842519685039369"/>
    <n v="74"/>
    <n v="5040"/>
    <n v="0.27559055118110237"/>
    <x v="1"/>
    <x v="0"/>
    <n v="0"/>
    <n v="1"/>
    <n v="0.49"/>
  </r>
  <r>
    <s v="ORD-10724"/>
    <s v="09-Mar-2024"/>
    <x v="2"/>
    <x v="0"/>
    <s v="Laptop"/>
    <s v="Laptop - Model 943"/>
    <s v="Hyderabad"/>
    <s v="South"/>
    <n v="18"/>
    <n v="1106"/>
    <n v="785"/>
    <n v="0.28999999999999998"/>
    <n v="687"/>
    <n v="1764"/>
    <n v="0.12484076433121019"/>
    <n v="176"/>
    <n v="-1404"/>
    <n v="-9.936305732484077E-2"/>
    <x v="4"/>
    <x v="0"/>
    <n v="0"/>
    <n v="0"/>
    <n v="0.40599999999999997"/>
  </r>
  <r>
    <s v="ORD-10725"/>
    <s v="09-Sep-2024"/>
    <x v="7"/>
    <x v="6"/>
    <s v="Curtain"/>
    <s v="Curtain - Model 726"/>
    <s v="Chennai"/>
    <s v="South"/>
    <n v="11"/>
    <n v="7885"/>
    <n v="5677"/>
    <n v="0.28000000000000003"/>
    <n v="3183"/>
    <n v="27434"/>
    <n v="0.43931654042628149"/>
    <n v="83"/>
    <n v="26521"/>
    <n v="0.42469614232869474"/>
    <x v="4"/>
    <x v="1"/>
    <n v="0"/>
    <n v="0"/>
    <n v="0.39200000000000002"/>
  </r>
  <r>
    <s v="ORD-10726"/>
    <s v="22-Sep-2024"/>
    <x v="7"/>
    <x v="7"/>
    <s v="Shoes"/>
    <s v="Shoes - Model 769"/>
    <s v="Chennai"/>
    <s v="South"/>
    <n v="20"/>
    <n v="4497"/>
    <n v="2833"/>
    <n v="0.37"/>
    <n v="2146"/>
    <n v="13740"/>
    <n v="0.24249911754324038"/>
    <n v="70"/>
    <n v="12340"/>
    <n v="0.21779032827391459"/>
    <x v="3"/>
    <x v="2"/>
    <n v="0"/>
    <n v="0"/>
    <n v="0.51800000000000002"/>
  </r>
  <r>
    <s v="ORD-10727"/>
    <s v="05-Jul-2024"/>
    <x v="3"/>
    <x v="3"/>
    <s v="Oil"/>
    <s v="Oil - Model 847"/>
    <s v="Pune"/>
    <s v="West"/>
    <n v="12"/>
    <n v="1357"/>
    <n v="1058"/>
    <n v="0.22"/>
    <n v="778"/>
    <n v="3360"/>
    <n v="0.26465028355387521"/>
    <n v="99"/>
    <n v="2172"/>
    <n v="0.17107750472589792"/>
    <x v="1"/>
    <x v="0"/>
    <n v="0"/>
    <n v="1"/>
    <n v="0.65799999999999992"/>
  </r>
  <r>
    <s v="ORD-10728"/>
    <s v="06-Dec-2024"/>
    <x v="10"/>
    <x v="2"/>
    <s v="Shoes"/>
    <s v="Shoes - Model 417"/>
    <s v="Bangalore"/>
    <s v="South"/>
    <n v="6"/>
    <n v="6576"/>
    <n v="4537"/>
    <n v="0.31"/>
    <n v="3063"/>
    <n v="8844"/>
    <n v="0.32488428476967157"/>
    <n v="52"/>
    <n v="8532"/>
    <n v="0.31342296671809566"/>
    <x v="0"/>
    <x v="1"/>
    <n v="0"/>
    <n v="0"/>
    <n v="0.434"/>
  </r>
  <r>
    <s v="ORD-10729"/>
    <s v="04-Jul-2024"/>
    <x v="3"/>
    <x v="6"/>
    <s v="Mixer"/>
    <s v="Mixer - Model 717"/>
    <s v="Delhi"/>
    <s v="North"/>
    <n v="13"/>
    <n v="3195"/>
    <n v="3035"/>
    <n v="0.05"/>
    <n v="1293"/>
    <n v="22646"/>
    <n v="0.57397034596375618"/>
    <n v="155"/>
    <n v="20631"/>
    <n v="0.52289950576606259"/>
    <x v="2"/>
    <x v="3"/>
    <n v="1"/>
    <n v="0"/>
    <n v="6.9999999999999993E-2"/>
  </r>
  <r>
    <s v="ORD-10730"/>
    <s v="05-May-2024"/>
    <x v="6"/>
    <x v="0"/>
    <s v="Mobile"/>
    <s v="Mobile - Model 910"/>
    <s v="Delhi"/>
    <s v="North"/>
    <n v="18"/>
    <n v="5942"/>
    <n v="5051"/>
    <n v="0.15"/>
    <n v="3848"/>
    <n v="21654"/>
    <n v="0.23817065927539102"/>
    <n v="60"/>
    <n v="20574"/>
    <n v="0.22629182340130669"/>
    <x v="0"/>
    <x v="1"/>
    <n v="0"/>
    <n v="0"/>
    <n v="0.21"/>
  </r>
  <r>
    <s v="ORD-10731"/>
    <s v="10-Mar-2024"/>
    <x v="2"/>
    <x v="1"/>
    <s v="Children"/>
    <s v="Children - Model 258"/>
    <s v="Hyderabad"/>
    <s v="South"/>
    <n v="2"/>
    <n v="4440"/>
    <n v="3907"/>
    <n v="0.12"/>
    <n v="2621"/>
    <n v="2572"/>
    <n v="0.3291528026618889"/>
    <n v="33"/>
    <n v="2506"/>
    <n v="0.32070642436652164"/>
    <x v="2"/>
    <x v="0"/>
    <n v="0"/>
    <n v="0"/>
    <n v="0.16799999999999998"/>
  </r>
  <r>
    <s v="ORD-10732"/>
    <s v="27-Sep-2024"/>
    <x v="7"/>
    <x v="4"/>
    <s v="Board Game"/>
    <s v="Board Game - Model 101"/>
    <s v="Hyderabad"/>
    <s v="South"/>
    <n v="1"/>
    <n v="1968"/>
    <n v="1633"/>
    <n v="0.17"/>
    <n v="1031"/>
    <n v="602"/>
    <n v="0.36864666258420087"/>
    <n v="73"/>
    <n v="529"/>
    <n v="0.323943661971831"/>
    <x v="0"/>
    <x v="0"/>
    <n v="0"/>
    <n v="0"/>
    <n v="0.23799999999999999"/>
  </r>
  <r>
    <s v="ORD-10733"/>
    <s v="16-Feb-2024"/>
    <x v="4"/>
    <x v="6"/>
    <s v="Mixer"/>
    <s v="Mixer - Model 329"/>
    <s v="Delhi"/>
    <s v="North"/>
    <n v="10"/>
    <n v="2987"/>
    <n v="2151"/>
    <n v="0.28000000000000003"/>
    <n v="1319"/>
    <n v="8320"/>
    <n v="0.38679683867968384"/>
    <n v="168"/>
    <n v="6640"/>
    <n v="0.30869363086936308"/>
    <x v="2"/>
    <x v="0"/>
    <n v="0"/>
    <n v="0"/>
    <n v="0.39200000000000002"/>
  </r>
  <r>
    <s v="ORD-10734"/>
    <s v="14-Mar-2024"/>
    <x v="2"/>
    <x v="1"/>
    <s v="Comic"/>
    <s v="Comic - Model 285"/>
    <s v="Pune"/>
    <s v="West"/>
    <n v="5"/>
    <n v="7166"/>
    <n v="4945"/>
    <n v="0.31"/>
    <n v="4433"/>
    <n v="2560"/>
    <n v="0.10353892821031345"/>
    <n v="73"/>
    <n v="2195"/>
    <n v="8.8776541961577346E-2"/>
    <x v="2"/>
    <x v="0"/>
    <n v="0"/>
    <n v="0"/>
    <n v="0.434"/>
  </r>
  <r>
    <s v="ORD-10735"/>
    <s v="09-Jun-2024"/>
    <x v="5"/>
    <x v="7"/>
    <s v="Kurta"/>
    <s v="Kurta - Model 982"/>
    <s v="Bangalore"/>
    <s v="South"/>
    <n v="5"/>
    <n v="2698"/>
    <n v="2212"/>
    <n v="0.18"/>
    <n v="1760"/>
    <n v="2260"/>
    <n v="0.20433996383363473"/>
    <n v="148"/>
    <n v="1520"/>
    <n v="0.13743218806509946"/>
    <x v="0"/>
    <x v="0"/>
    <n v="0"/>
    <n v="0"/>
    <n v="0.252"/>
  </r>
  <r>
    <s v="ORD-10736"/>
    <s v="24-Jul-2024"/>
    <x v="3"/>
    <x v="2"/>
    <s v="Cricket Bat"/>
    <s v="Cricket Bat - Model 192"/>
    <s v="Kolkata"/>
    <s v="East"/>
    <n v="5"/>
    <n v="1619"/>
    <n v="1344"/>
    <n v="0.17"/>
    <n v="829"/>
    <n v="2575"/>
    <n v="0.38318452380952384"/>
    <n v="94"/>
    <n v="2105"/>
    <n v="0.31324404761904762"/>
    <x v="0"/>
    <x v="0"/>
    <n v="0"/>
    <n v="0"/>
    <n v="0.23799999999999999"/>
  </r>
  <r>
    <s v="ORD-10737"/>
    <s v="26-Mar-2024"/>
    <x v="2"/>
    <x v="5"/>
    <s v="Perfume"/>
    <s v="Perfume - Model 528"/>
    <s v="Jaipur"/>
    <s v="North"/>
    <n v="16"/>
    <n v="4402"/>
    <n v="3434"/>
    <n v="0.22"/>
    <n v="2587"/>
    <n v="13552"/>
    <n v="0.24665113570180547"/>
    <n v="65"/>
    <n v="12512"/>
    <n v="0.22772277227722773"/>
    <x v="2"/>
    <x v="0"/>
    <n v="0"/>
    <n v="0"/>
    <n v="0.308"/>
  </r>
  <r>
    <s v="ORD-10738"/>
    <s v="25-Oct-2024"/>
    <x v="11"/>
    <x v="5"/>
    <s v="Moisturizer"/>
    <s v="Moisturizer - Model 340"/>
    <s v="Kolkata"/>
    <s v="East"/>
    <n v="1"/>
    <n v="1786"/>
    <n v="1107"/>
    <n v="0.38"/>
    <n v="941"/>
    <n v="166"/>
    <n v="0.14995483288166214"/>
    <n v="101"/>
    <n v="65"/>
    <n v="5.8717253839205057E-2"/>
    <x v="1"/>
    <x v="0"/>
    <n v="0"/>
    <n v="1"/>
    <n v="0.8819999999999999"/>
  </r>
  <r>
    <s v="ORD-10739"/>
    <s v="12-Jun-2024"/>
    <x v="5"/>
    <x v="6"/>
    <s v="Bedsheet"/>
    <s v="Bedsheet - Model 571"/>
    <s v="Bangalore"/>
    <s v="South"/>
    <n v="18"/>
    <n v="7780"/>
    <n v="4590"/>
    <n v="0.41"/>
    <n v="3772"/>
    <n v="14724"/>
    <n v="0.17821350762527233"/>
    <n v="154"/>
    <n v="11952"/>
    <n v="0.14466230936819172"/>
    <x v="2"/>
    <x v="0"/>
    <n v="0"/>
    <n v="0"/>
    <n v="0.57399999999999995"/>
  </r>
  <r>
    <s v="ORD-10740"/>
    <s v="23-Dec-2024"/>
    <x v="10"/>
    <x v="6"/>
    <s v="Curtain"/>
    <s v="Curtain - Model 850"/>
    <s v="Mumbai"/>
    <s v="West"/>
    <n v="14"/>
    <n v="3099"/>
    <n v="2107"/>
    <n v="0.32"/>
    <n v="1958"/>
    <n v="2086"/>
    <n v="7.0716658756525871E-2"/>
    <n v="41"/>
    <n v="1512"/>
    <n v="5.1257712387280496E-2"/>
    <x v="3"/>
    <x v="0"/>
    <n v="0"/>
    <n v="0"/>
    <n v="0.44799999999999995"/>
  </r>
  <r>
    <s v="ORD-10741"/>
    <s v="05-Jun-2024"/>
    <x v="5"/>
    <x v="7"/>
    <s v="Jeans"/>
    <s v="Jeans - Model 178"/>
    <s v="Mumbai"/>
    <s v="West"/>
    <n v="19"/>
    <n v="6682"/>
    <n v="5412"/>
    <n v="0.19"/>
    <n v="4463"/>
    <n v="18031"/>
    <n v="0.17535107169253511"/>
    <n v="100"/>
    <n v="16131"/>
    <n v="0.15687361419068735"/>
    <x v="1"/>
    <x v="3"/>
    <n v="1"/>
    <n v="1"/>
    <n v="0.61599999999999988"/>
  </r>
  <r>
    <s v="ORD-10742"/>
    <s v="16-May-2024"/>
    <x v="6"/>
    <x v="4"/>
    <s v="Puzzle"/>
    <s v="Puzzle - Model 554"/>
    <s v="Mumbai"/>
    <s v="West"/>
    <n v="10"/>
    <n v="1068"/>
    <n v="1036"/>
    <n v="0.03"/>
    <n v="667"/>
    <n v="3690"/>
    <n v="0.35617760617760619"/>
    <n v="121"/>
    <n v="2480"/>
    <n v="0.23938223938223938"/>
    <x v="1"/>
    <x v="0"/>
    <n v="0"/>
    <n v="1"/>
    <n v="0.39199999999999996"/>
  </r>
  <r>
    <s v="ORD-10743"/>
    <s v="22-Jul-2024"/>
    <x v="3"/>
    <x v="3"/>
    <s v="Spices"/>
    <s v="Spices - Model 828"/>
    <s v="Chennai"/>
    <s v="South"/>
    <n v="19"/>
    <n v="4115"/>
    <n v="2798"/>
    <n v="0.32"/>
    <n v="2256"/>
    <n v="10298"/>
    <n v="0.1937097927090779"/>
    <n v="54"/>
    <n v="9272"/>
    <n v="0.17441029306647604"/>
    <x v="2"/>
    <x v="1"/>
    <n v="0"/>
    <n v="0"/>
    <n v="0.44799999999999995"/>
  </r>
  <r>
    <s v="ORD-10744"/>
    <s v="24-Mar-2024"/>
    <x v="2"/>
    <x v="5"/>
    <s v="Perfume"/>
    <s v="Perfume - Model 733"/>
    <s v="Mumbai"/>
    <s v="West"/>
    <n v="8"/>
    <n v="3260"/>
    <n v="2054"/>
    <n v="0.37"/>
    <n v="2418"/>
    <n v="-2912"/>
    <n v="-0.17721518987341772"/>
    <n v="121"/>
    <n v="-3880"/>
    <n v="-0.23612463485881208"/>
    <x v="2"/>
    <x v="0"/>
    <n v="0"/>
    <n v="0"/>
    <n v="0.51800000000000002"/>
  </r>
  <r>
    <s v="ORD-10745"/>
    <s v="21-Jun-2024"/>
    <x v="5"/>
    <x v="4"/>
    <s v="Remote Car"/>
    <s v="Remote Car - Model 268"/>
    <s v="Mumbai"/>
    <s v="West"/>
    <n v="12"/>
    <n v="5244"/>
    <n v="4772"/>
    <n v="0.09"/>
    <n v="2297"/>
    <n v="29700"/>
    <n v="0.51865046102263201"/>
    <n v="42"/>
    <n v="29196"/>
    <n v="0.50984911986588433"/>
    <x v="3"/>
    <x v="0"/>
    <n v="0"/>
    <n v="0"/>
    <n v="0.126"/>
  </r>
  <r>
    <s v="ORD-10746"/>
    <s v="10-Apr-2024"/>
    <x v="1"/>
    <x v="6"/>
    <s v="Lamp"/>
    <s v="Lamp - Model 209"/>
    <s v="Delhi"/>
    <s v="North"/>
    <n v="7"/>
    <n v="4857"/>
    <n v="3206"/>
    <n v="0.34"/>
    <n v="2468"/>
    <n v="5166"/>
    <n v="0.23019338739862757"/>
    <n v="113"/>
    <n v="4375"/>
    <n v="0.19494697442295694"/>
    <x v="2"/>
    <x v="0"/>
    <n v="0"/>
    <n v="0"/>
    <n v="0.47599999999999998"/>
  </r>
  <r>
    <s v="ORD-10747"/>
    <s v="19-Oct-2024"/>
    <x v="11"/>
    <x v="0"/>
    <s v="Tablet"/>
    <s v="Tablet - Model 909"/>
    <s v="Ahmedabad"/>
    <s v="West"/>
    <n v="2"/>
    <n v="575"/>
    <n v="552"/>
    <n v="0.04"/>
    <n v="292"/>
    <n v="520"/>
    <n v="0.47101449275362317"/>
    <n v="177"/>
    <n v="166"/>
    <n v="0.15036231884057971"/>
    <x v="4"/>
    <x v="0"/>
    <n v="0"/>
    <n v="0"/>
    <n v="5.5999999999999994E-2"/>
  </r>
  <r>
    <s v="ORD-10748"/>
    <s v="25-Jun-2024"/>
    <x v="5"/>
    <x v="4"/>
    <s v="Puzzle"/>
    <s v="Puzzle - Model 232"/>
    <s v="Delhi"/>
    <s v="North"/>
    <n v="11"/>
    <n v="3377"/>
    <n v="2263"/>
    <n v="0.33"/>
    <n v="1470"/>
    <n v="8723"/>
    <n v="0.3504197967300044"/>
    <n v="151"/>
    <n v="7062"/>
    <n v="0.28369421122403887"/>
    <x v="1"/>
    <x v="2"/>
    <n v="0"/>
    <n v="1"/>
    <n v="0.81199999999999994"/>
  </r>
  <r>
    <s v="ORD-10749"/>
    <s v="19-Aug-2024"/>
    <x v="8"/>
    <x v="0"/>
    <s v="Headphones"/>
    <s v="Headphones - Model 265"/>
    <s v="Bangalore"/>
    <s v="South"/>
    <n v="15"/>
    <n v="814"/>
    <n v="586"/>
    <n v="0.28000000000000003"/>
    <n v="597"/>
    <n v="-165"/>
    <n v="-1.877133105802048E-2"/>
    <n v="65"/>
    <n v="-1140"/>
    <n v="-0.12969283276450511"/>
    <x v="1"/>
    <x v="3"/>
    <n v="1"/>
    <n v="1"/>
    <n v="0.74199999999999999"/>
  </r>
  <r>
    <s v="ORD-10750"/>
    <s v="06-Dec-2024"/>
    <x v="10"/>
    <x v="1"/>
    <s v="Children"/>
    <s v="Children - Model 904"/>
    <s v="Bangalore"/>
    <s v="South"/>
    <n v="11"/>
    <n v="2469"/>
    <n v="1778"/>
    <n v="0.28000000000000003"/>
    <n v="1800"/>
    <n v="-242"/>
    <n v="-1.2373453318335208E-2"/>
    <n v="36"/>
    <n v="-638"/>
    <n v="-3.2620922384701913E-2"/>
    <x v="0"/>
    <x v="1"/>
    <n v="0"/>
    <n v="0"/>
    <n v="0.39200000000000002"/>
  </r>
  <r>
    <s v="ORD-10751"/>
    <s v="03-Oct-2024"/>
    <x v="11"/>
    <x v="6"/>
    <s v="Lamp"/>
    <s v="Lamp - Model 742"/>
    <s v="Ahmedabad"/>
    <s v="West"/>
    <n v="4"/>
    <n v="6477"/>
    <n v="6088"/>
    <n v="0.06"/>
    <n v="4564"/>
    <n v="6096"/>
    <n v="0.25032851511169513"/>
    <n v="112"/>
    <n v="5648"/>
    <n v="0.23193166885676741"/>
    <x v="2"/>
    <x v="0"/>
    <n v="0"/>
    <n v="0"/>
    <n v="8.3999999999999991E-2"/>
  </r>
  <r>
    <s v="ORD-10752"/>
    <s v="10-Mar-2024"/>
    <x v="2"/>
    <x v="6"/>
    <s v="Mixer"/>
    <s v="Mixer - Model 386"/>
    <s v="Lucknow"/>
    <s v="North"/>
    <n v="12"/>
    <n v="2956"/>
    <n v="2867"/>
    <n v="0.03"/>
    <n v="1918"/>
    <n v="11388"/>
    <n v="0.33100802232298571"/>
    <n v="99"/>
    <n v="10200"/>
    <n v="0.29647715381932332"/>
    <x v="0"/>
    <x v="3"/>
    <n v="1"/>
    <n v="0"/>
    <n v="4.1999999999999996E-2"/>
  </r>
  <r>
    <s v="ORD-10753"/>
    <s v="21-Aug-2024"/>
    <x v="8"/>
    <x v="6"/>
    <s v="Mixer"/>
    <s v="Mixer - Model 682"/>
    <s v="Ahmedabad"/>
    <s v="West"/>
    <n v="2"/>
    <n v="3035"/>
    <n v="2640"/>
    <n v="0.13"/>
    <n v="1648"/>
    <n v="1984"/>
    <n v="0.37575757575757573"/>
    <n v="123"/>
    <n v="1738"/>
    <n v="0.32916666666666666"/>
    <x v="1"/>
    <x v="0"/>
    <n v="0"/>
    <n v="1"/>
    <n v="0.53200000000000003"/>
  </r>
  <r>
    <s v="ORD-10754"/>
    <s v="11-Oct-2024"/>
    <x v="11"/>
    <x v="1"/>
    <s v="Fiction"/>
    <s v="Fiction - Model 798"/>
    <s v="Pune"/>
    <s v="West"/>
    <n v="17"/>
    <n v="3711"/>
    <n v="2264"/>
    <n v="0.39"/>
    <n v="2772"/>
    <n v="-8636"/>
    <n v="-0.22438162544169613"/>
    <n v="36"/>
    <n v="-9248"/>
    <n v="-0.24028268551236748"/>
    <x v="2"/>
    <x v="0"/>
    <n v="0"/>
    <n v="0"/>
    <n v="0.54599999999999993"/>
  </r>
  <r>
    <s v="ORD-10755"/>
    <s v="01-Sep-2024"/>
    <x v="7"/>
    <x v="6"/>
    <s v="Mixer"/>
    <s v="Mixer - Model 397"/>
    <s v="Pune"/>
    <s v="West"/>
    <n v="6"/>
    <n v="4647"/>
    <n v="2881"/>
    <n v="0.38"/>
    <n v="2222"/>
    <n v="3954"/>
    <n v="0.22874002082610204"/>
    <n v="161"/>
    <n v="2988"/>
    <n v="0.17285664699757028"/>
    <x v="2"/>
    <x v="0"/>
    <n v="0"/>
    <n v="0"/>
    <n v="0.53199999999999992"/>
  </r>
  <r>
    <s v="ORD-10756"/>
    <s v="27-Sep-2024"/>
    <x v="7"/>
    <x v="3"/>
    <s v="Atta"/>
    <s v="Atta - Model 187"/>
    <s v="Bangalore"/>
    <s v="South"/>
    <n v="4"/>
    <n v="7356"/>
    <n v="4266"/>
    <n v="0.42"/>
    <n v="4920"/>
    <n v="-2616"/>
    <n v="-0.15330520393811534"/>
    <n v="60"/>
    <n v="-2856"/>
    <n v="-0.16736990154711673"/>
    <x v="4"/>
    <x v="0"/>
    <n v="0"/>
    <n v="0"/>
    <n v="0.58799999999999997"/>
  </r>
  <r>
    <s v="ORD-10757"/>
    <s v="16-Oct-2024"/>
    <x v="11"/>
    <x v="5"/>
    <s v="Perfume"/>
    <s v="Perfume - Model 217"/>
    <s v="Chennai"/>
    <s v="South"/>
    <n v="15"/>
    <n v="499"/>
    <n v="464"/>
    <n v="7.0000000000000007E-2"/>
    <n v="282"/>
    <n v="2730"/>
    <n v="0.39224137931034481"/>
    <n v="126"/>
    <n v="840"/>
    <n v="0.1206896551724138"/>
    <x v="4"/>
    <x v="1"/>
    <n v="0"/>
    <n v="0"/>
    <n v="9.8000000000000004E-2"/>
  </r>
  <r>
    <s v="ORD-10758"/>
    <s v="02-Jul-2024"/>
    <x v="3"/>
    <x v="1"/>
    <s v="Children"/>
    <s v="Children - Model 584"/>
    <s v="Hyderabad"/>
    <s v="South"/>
    <n v="2"/>
    <n v="1850"/>
    <n v="1832"/>
    <n v="0.01"/>
    <n v="1231"/>
    <n v="1202"/>
    <n v="0.32805676855895194"/>
    <n v="93"/>
    <n v="1016"/>
    <n v="0.27729257641921395"/>
    <x v="4"/>
    <x v="0"/>
    <n v="0"/>
    <n v="0"/>
    <n v="1.3999999999999999E-2"/>
  </r>
  <r>
    <s v="ORD-10759"/>
    <s v="09-Feb-2024"/>
    <x v="4"/>
    <x v="4"/>
    <s v="Action Figure"/>
    <s v="Action Figure - Model 405"/>
    <s v="Ahmedabad"/>
    <s v="West"/>
    <n v="14"/>
    <n v="4293"/>
    <n v="3005"/>
    <n v="0.3"/>
    <n v="2107"/>
    <n v="12572"/>
    <n v="0.29883527454242931"/>
    <n v="155"/>
    <n v="10402"/>
    <n v="0.24725457570715476"/>
    <x v="2"/>
    <x v="0"/>
    <n v="0"/>
    <n v="0"/>
    <n v="0.42"/>
  </r>
  <r>
    <s v="ORD-10760"/>
    <s v="06-May-2024"/>
    <x v="6"/>
    <x v="5"/>
    <s v="Lipstick"/>
    <s v="Lipstick - Model 529"/>
    <s v="Ahmedabad"/>
    <s v="West"/>
    <n v="16"/>
    <n v="4377"/>
    <n v="2845"/>
    <n v="0.35"/>
    <n v="3230"/>
    <n v="-6160"/>
    <n v="-0.13532513181019332"/>
    <n v="96"/>
    <n v="-7696"/>
    <n v="-0.16906854130052723"/>
    <x v="3"/>
    <x v="0"/>
    <n v="0"/>
    <n v="0"/>
    <n v="0.48999999999999994"/>
  </r>
  <r>
    <s v="ORD-10761"/>
    <s v="07-Oct-2024"/>
    <x v="11"/>
    <x v="7"/>
    <s v="Jacket"/>
    <s v="Jacket - Model 731"/>
    <s v="Bangalore"/>
    <s v="South"/>
    <n v="11"/>
    <n v="5380"/>
    <n v="3389"/>
    <n v="0.37"/>
    <n v="3535"/>
    <n v="-1606"/>
    <n v="-4.3080554735910298E-2"/>
    <n v="154"/>
    <n v="-3300"/>
    <n v="-8.8521687813514313E-2"/>
    <x v="4"/>
    <x v="1"/>
    <n v="0"/>
    <n v="0"/>
    <n v="0.51800000000000002"/>
  </r>
  <r>
    <s v="ORD-10762"/>
    <s v="16-Mar-2024"/>
    <x v="2"/>
    <x v="1"/>
    <s v="Fiction"/>
    <s v="Fiction - Model 911"/>
    <s v="Pune"/>
    <s v="West"/>
    <n v="9"/>
    <n v="4261"/>
    <n v="4261"/>
    <n v="0"/>
    <n v="2376"/>
    <n v="16965"/>
    <n v="0.44238441680356722"/>
    <n v="155"/>
    <n v="15570"/>
    <n v="0.40600797934757099"/>
    <x v="1"/>
    <x v="3"/>
    <n v="1"/>
    <n v="1"/>
    <n v="0.35"/>
  </r>
  <r>
    <s v="ORD-10763"/>
    <s v="04-Oct-2024"/>
    <x v="11"/>
    <x v="0"/>
    <s v="Laptop"/>
    <s v="Laptop - Model 863"/>
    <s v="Hyderabad"/>
    <s v="South"/>
    <n v="14"/>
    <n v="5632"/>
    <n v="3661"/>
    <n v="0.35"/>
    <n v="3437"/>
    <n v="3136"/>
    <n v="6.1185468451242828E-2"/>
    <n v="62"/>
    <n v="2268"/>
    <n v="4.4250204862059543E-2"/>
    <x v="1"/>
    <x v="1"/>
    <n v="0"/>
    <n v="1"/>
    <n v="0.83999999999999986"/>
  </r>
  <r>
    <s v="ORD-10764"/>
    <s v="01-Oct-2024"/>
    <x v="11"/>
    <x v="1"/>
    <s v="Textbook"/>
    <s v="Textbook - Model 116"/>
    <s v="Chennai"/>
    <s v="South"/>
    <n v="10"/>
    <n v="4116"/>
    <n v="2511"/>
    <n v="0.39"/>
    <n v="2654"/>
    <n v="-1430"/>
    <n v="-5.6949422540820388E-2"/>
    <n v="127"/>
    <n v="-2700"/>
    <n v="-0.10752688172043011"/>
    <x v="0"/>
    <x v="0"/>
    <n v="0"/>
    <n v="0"/>
    <n v="0.54599999999999993"/>
  </r>
  <r>
    <s v="ORD-10765"/>
    <s v="14-Sep-2024"/>
    <x v="7"/>
    <x v="1"/>
    <s v="Fiction"/>
    <s v="Fiction - Model 280"/>
    <s v="Ahmedabad"/>
    <s v="West"/>
    <n v="14"/>
    <n v="3110"/>
    <n v="2332"/>
    <n v="0.25"/>
    <n v="1421"/>
    <n v="12754"/>
    <n v="0.39065180102915953"/>
    <n v="95"/>
    <n v="11424"/>
    <n v="0.34991423670668953"/>
    <x v="4"/>
    <x v="0"/>
    <n v="0"/>
    <n v="0"/>
    <n v="0.35"/>
  </r>
  <r>
    <s v="ORD-10766"/>
    <s v="21-Jul-2024"/>
    <x v="3"/>
    <x v="2"/>
    <s v="Cycle"/>
    <s v="Cycle - Model 977"/>
    <s v="Delhi"/>
    <s v="North"/>
    <n v="3"/>
    <n v="6486"/>
    <n v="6162"/>
    <n v="0.05"/>
    <n v="4069"/>
    <n v="6279"/>
    <n v="0.33966244725738398"/>
    <n v="122"/>
    <n v="5913"/>
    <n v="0.31986368062317427"/>
    <x v="0"/>
    <x v="0"/>
    <n v="0"/>
    <n v="0"/>
    <n v="6.9999999999999993E-2"/>
  </r>
  <r>
    <s v="ORD-10767"/>
    <s v="18-Oct-2024"/>
    <x v="11"/>
    <x v="7"/>
    <s v="Shoes"/>
    <s v="Shoes - Model 615"/>
    <s v="Lucknow"/>
    <s v="North"/>
    <n v="2"/>
    <n v="5408"/>
    <n v="3353"/>
    <n v="0.38"/>
    <n v="2564"/>
    <n v="1578"/>
    <n v="0.23531166119892633"/>
    <n v="147"/>
    <n v="1284"/>
    <n v="0.19147032508201611"/>
    <x v="3"/>
    <x v="0"/>
    <n v="0"/>
    <n v="0"/>
    <n v="0.53199999999999992"/>
  </r>
  <r>
    <s v="ORD-10768"/>
    <s v="04-Aug-2024"/>
    <x v="8"/>
    <x v="1"/>
    <s v="Children"/>
    <s v="Children - Model 522"/>
    <s v="Pune"/>
    <s v="West"/>
    <n v="1"/>
    <n v="7529"/>
    <n v="4894"/>
    <n v="0.35"/>
    <n v="4349"/>
    <n v="545"/>
    <n v="0.11136085002043318"/>
    <n v="70"/>
    <n v="475"/>
    <n v="9.7057621577441772E-2"/>
    <x v="4"/>
    <x v="1"/>
    <n v="0"/>
    <n v="0"/>
    <n v="0.48999999999999994"/>
  </r>
  <r>
    <s v="ORD-10769"/>
    <s v="22-Jul-2024"/>
    <x v="3"/>
    <x v="5"/>
    <s v="Moisturizer"/>
    <s v="Moisturizer - Model 524"/>
    <s v="Mumbai"/>
    <s v="West"/>
    <n v="1"/>
    <n v="405"/>
    <n v="259"/>
    <n v="0.36"/>
    <n v="281"/>
    <n v="-22"/>
    <n v="-8.4942084942084939E-2"/>
    <n v="108"/>
    <n v="-130"/>
    <n v="-0.50193050193050193"/>
    <x v="3"/>
    <x v="0"/>
    <n v="0"/>
    <n v="0"/>
    <n v="0.504"/>
  </r>
  <r>
    <s v="ORD-10770"/>
    <s v="14-Oct-2024"/>
    <x v="11"/>
    <x v="5"/>
    <s v="Sunscreen"/>
    <s v="Sunscreen - Model 500"/>
    <s v="Hyderabad"/>
    <s v="South"/>
    <n v="20"/>
    <n v="5227"/>
    <n v="3293"/>
    <n v="0.37"/>
    <n v="3557"/>
    <n v="-5280"/>
    <n v="-8.0170057698147584E-2"/>
    <n v="117"/>
    <n v="-7620"/>
    <n v="-0.1156999696325539"/>
    <x v="1"/>
    <x v="0"/>
    <n v="0"/>
    <n v="1"/>
    <n v="0.86799999999999999"/>
  </r>
  <r>
    <s v="ORD-10771"/>
    <s v="06-Dec-2024"/>
    <x v="10"/>
    <x v="4"/>
    <s v="Puzzle"/>
    <s v="Puzzle - Model 629"/>
    <s v="Bangalore"/>
    <s v="South"/>
    <n v="14"/>
    <n v="2002"/>
    <n v="1361"/>
    <n v="0.32"/>
    <n v="889"/>
    <n v="6608"/>
    <n v="0.34680382072005878"/>
    <n v="48"/>
    <n v="5936"/>
    <n v="0.31153563556208669"/>
    <x v="3"/>
    <x v="2"/>
    <n v="0"/>
    <n v="0"/>
    <n v="0.44799999999999995"/>
  </r>
  <r>
    <s v="ORD-10772"/>
    <s v="09-Nov-2024"/>
    <x v="0"/>
    <x v="6"/>
    <s v="Bedsheet"/>
    <s v="Bedsheet - Model 308"/>
    <s v="Delhi"/>
    <s v="North"/>
    <n v="3"/>
    <n v="400"/>
    <n v="396"/>
    <n v="0.01"/>
    <n v="268"/>
    <n v="384"/>
    <n v="0.32323232323232326"/>
    <n v="53"/>
    <n v="225"/>
    <n v="0.18939393939393939"/>
    <x v="3"/>
    <x v="1"/>
    <n v="0"/>
    <n v="0"/>
    <n v="1.3999999999999999E-2"/>
  </r>
  <r>
    <s v="ORD-10773"/>
    <s v="19-Feb-2024"/>
    <x v="4"/>
    <x v="4"/>
    <s v="Action Figure"/>
    <s v="Action Figure - Model 860"/>
    <s v="Bangalore"/>
    <s v="South"/>
    <n v="15"/>
    <n v="5149"/>
    <n v="3347"/>
    <n v="0.35"/>
    <n v="2396"/>
    <n v="14265"/>
    <n v="0.28413504631012848"/>
    <n v="128"/>
    <n v="12345"/>
    <n v="0.24589184344188825"/>
    <x v="1"/>
    <x v="0"/>
    <n v="0"/>
    <n v="1"/>
    <n v="0.83999999999999986"/>
  </r>
  <r>
    <s v="ORD-10774"/>
    <s v="24-Apr-2024"/>
    <x v="1"/>
    <x v="4"/>
    <s v="Puzzle"/>
    <s v="Puzzle - Model 775"/>
    <s v="Mumbai"/>
    <s v="West"/>
    <n v="9"/>
    <n v="847"/>
    <n v="796"/>
    <n v="0.06"/>
    <n v="346"/>
    <n v="4050"/>
    <n v="0.5653266331658291"/>
    <n v="178"/>
    <n v="2448"/>
    <n v="0.34170854271356782"/>
    <x v="2"/>
    <x v="1"/>
    <n v="0"/>
    <n v="0"/>
    <n v="8.3999999999999991E-2"/>
  </r>
  <r>
    <s v="ORD-10775"/>
    <s v="04-Feb-2024"/>
    <x v="4"/>
    <x v="6"/>
    <s v="Bedsheet"/>
    <s v="Bedsheet - Model 368"/>
    <s v="Bangalore"/>
    <s v="South"/>
    <n v="3"/>
    <n v="804"/>
    <n v="498"/>
    <n v="0.38"/>
    <n v="578"/>
    <n v="-240"/>
    <n v="-0.1606425702811245"/>
    <n v="61"/>
    <n v="-423"/>
    <n v="-0.28313253012048195"/>
    <x v="2"/>
    <x v="0"/>
    <n v="0"/>
    <n v="0"/>
    <n v="0.53199999999999992"/>
  </r>
  <r>
    <s v="ORD-10776"/>
    <s v="16-Feb-2024"/>
    <x v="4"/>
    <x v="7"/>
    <s v="Jeans"/>
    <s v="Jeans - Model 803"/>
    <s v="Pune"/>
    <s v="West"/>
    <n v="13"/>
    <n v="7140"/>
    <n v="5069"/>
    <n v="0.28999999999999998"/>
    <n v="3983"/>
    <n v="14118"/>
    <n v="0.21424344052081279"/>
    <n v="54"/>
    <n v="13416"/>
    <n v="0.20359045176563426"/>
    <x v="4"/>
    <x v="0"/>
    <n v="0"/>
    <n v="0"/>
    <n v="0.40599999999999997"/>
  </r>
  <r>
    <s v="ORD-10777"/>
    <s v="21-Oct-2024"/>
    <x v="11"/>
    <x v="0"/>
    <s v="Mobile"/>
    <s v="Mobile - Model 451"/>
    <s v="Kolkata"/>
    <s v="East"/>
    <n v="16"/>
    <n v="7960"/>
    <n v="5811"/>
    <n v="0.27"/>
    <n v="3198"/>
    <n v="41808"/>
    <n v="0.44966442953020136"/>
    <n v="108"/>
    <n v="40080"/>
    <n v="0.43107898812596801"/>
    <x v="4"/>
    <x v="0"/>
    <n v="0"/>
    <n v="0"/>
    <n v="0.378"/>
  </r>
  <r>
    <s v="ORD-10778"/>
    <s v="18-Jan-2024"/>
    <x v="9"/>
    <x v="0"/>
    <s v="Tablet"/>
    <s v="Tablet - Model 624"/>
    <s v="Bangalore"/>
    <s v="South"/>
    <n v="7"/>
    <n v="6962"/>
    <n v="6614"/>
    <n v="0.05"/>
    <n v="3313"/>
    <n v="23107"/>
    <n v="0.4990928333837315"/>
    <n v="79"/>
    <n v="22554"/>
    <n v="0.48714847293619595"/>
    <x v="1"/>
    <x v="3"/>
    <n v="1"/>
    <n v="1"/>
    <n v="0.42"/>
  </r>
  <r>
    <s v="ORD-10779"/>
    <s v="09-Mar-2024"/>
    <x v="2"/>
    <x v="2"/>
    <s v="Dumbbells"/>
    <s v="Dumbbells - Model 304"/>
    <s v="Delhi"/>
    <s v="North"/>
    <n v="12"/>
    <n v="5723"/>
    <n v="4063"/>
    <n v="0.28999999999999998"/>
    <n v="3225"/>
    <n v="10056"/>
    <n v="0.20625153827221265"/>
    <n v="151"/>
    <n v="8244"/>
    <n v="0.16908688161457053"/>
    <x v="0"/>
    <x v="0"/>
    <n v="0"/>
    <n v="0"/>
    <n v="0.40599999999999997"/>
  </r>
  <r>
    <s v="ORD-10780"/>
    <s v="09-Apr-2024"/>
    <x v="1"/>
    <x v="6"/>
    <s v="Pressure Cooker"/>
    <s v="Pressure Cooker - Model 803"/>
    <s v="Chennai"/>
    <s v="South"/>
    <n v="13"/>
    <n v="1003"/>
    <n v="642"/>
    <n v="0.36"/>
    <n v="607"/>
    <n v="455"/>
    <n v="5.4517133956386292E-2"/>
    <n v="55"/>
    <n v="-260"/>
    <n v="-3.1152647975077882E-2"/>
    <x v="1"/>
    <x v="0"/>
    <n v="0"/>
    <n v="1"/>
    <n v="0.85399999999999998"/>
  </r>
  <r>
    <s v="ORD-10781"/>
    <s v="14-Aug-2024"/>
    <x v="8"/>
    <x v="2"/>
    <s v="Yoga Mat"/>
    <s v="Yoga Mat - Model 737"/>
    <s v="Delhi"/>
    <s v="North"/>
    <n v="20"/>
    <n v="3188"/>
    <n v="2901"/>
    <n v="0.09"/>
    <n v="1669"/>
    <n v="24640"/>
    <n v="0.42468114443295413"/>
    <n v="165"/>
    <n v="21340"/>
    <n v="0.3678042054463978"/>
    <x v="2"/>
    <x v="1"/>
    <n v="0"/>
    <n v="0"/>
    <n v="0.126"/>
  </r>
  <r>
    <s v="ORD-10782"/>
    <s v="09-Sep-2024"/>
    <x v="7"/>
    <x v="4"/>
    <s v="Puzzle"/>
    <s v="Puzzle - Model 718"/>
    <s v="Jaipur"/>
    <s v="North"/>
    <n v="12"/>
    <n v="3307"/>
    <n v="3142"/>
    <n v="0.05"/>
    <n v="2259"/>
    <n v="10596"/>
    <n v="0.28103119032463397"/>
    <n v="94"/>
    <n v="9468"/>
    <n v="0.2511139401654997"/>
    <x v="1"/>
    <x v="0"/>
    <n v="0"/>
    <n v="1"/>
    <n v="0.42"/>
  </r>
  <r>
    <s v="ORD-10783"/>
    <s v="12-Nov-2024"/>
    <x v="0"/>
    <x v="1"/>
    <s v="Self-Help"/>
    <s v="Self-Help - Model 898"/>
    <s v="Kolkata"/>
    <s v="East"/>
    <n v="4"/>
    <n v="275"/>
    <n v="190"/>
    <n v="0.31"/>
    <n v="179"/>
    <n v="44"/>
    <n v="5.7894736842105263E-2"/>
    <n v="62"/>
    <n v="-204"/>
    <n v="-0.26842105263157895"/>
    <x v="3"/>
    <x v="1"/>
    <n v="0"/>
    <n v="0"/>
    <n v="0.434"/>
  </r>
  <r>
    <s v="ORD-10784"/>
    <s v="03-Sep-2024"/>
    <x v="7"/>
    <x v="4"/>
    <s v="Puzzle"/>
    <s v="Puzzle - Model 716"/>
    <s v="Hyderabad"/>
    <s v="South"/>
    <n v="17"/>
    <n v="1896"/>
    <n v="1422"/>
    <n v="0.25"/>
    <n v="1234"/>
    <n v="3196"/>
    <n v="0.13220815752461323"/>
    <n v="172"/>
    <n v="272"/>
    <n v="1.1251758087201125E-2"/>
    <x v="2"/>
    <x v="0"/>
    <n v="0"/>
    <n v="0"/>
    <n v="0.35"/>
  </r>
  <r>
    <s v="ORD-10785"/>
    <s v="25-Nov-2024"/>
    <x v="0"/>
    <x v="4"/>
    <s v="Puzzle"/>
    <s v="Puzzle - Model 932"/>
    <s v="Kolkata"/>
    <s v="East"/>
    <n v="7"/>
    <n v="1738"/>
    <n v="1112"/>
    <n v="0.36"/>
    <n v="999"/>
    <n v="791"/>
    <n v="0.10161870503597123"/>
    <n v="179"/>
    <n v="-462"/>
    <n v="-5.935251798561151E-2"/>
    <x v="0"/>
    <x v="0"/>
    <n v="0"/>
    <n v="0"/>
    <n v="0.504"/>
  </r>
  <r>
    <s v="ORD-10786"/>
    <s v="11-Oct-2024"/>
    <x v="11"/>
    <x v="4"/>
    <s v="Board Game"/>
    <s v="Board Game - Model 690"/>
    <s v="Mumbai"/>
    <s v="West"/>
    <n v="10"/>
    <n v="339"/>
    <n v="220"/>
    <n v="0.35"/>
    <n v="204"/>
    <n v="160"/>
    <n v="7.2727272727272724E-2"/>
    <n v="31"/>
    <n v="-150"/>
    <n v="-6.8181818181818177E-2"/>
    <x v="0"/>
    <x v="2"/>
    <n v="0"/>
    <n v="0"/>
    <n v="0.48999999999999994"/>
  </r>
  <r>
    <s v="ORD-10787"/>
    <s v="02-Jul-2024"/>
    <x v="3"/>
    <x v="0"/>
    <s v="Headphones"/>
    <s v="Headphones - Model 760"/>
    <s v="Mumbai"/>
    <s v="West"/>
    <n v="3"/>
    <n v="3865"/>
    <n v="2435"/>
    <n v="0.37"/>
    <n v="2107"/>
    <n v="984"/>
    <n v="0.13470225872689939"/>
    <n v="75"/>
    <n v="759"/>
    <n v="0.10390143737166324"/>
    <x v="4"/>
    <x v="0"/>
    <n v="0"/>
    <n v="0"/>
    <n v="0.51800000000000002"/>
  </r>
  <r>
    <s v="ORD-10788"/>
    <s v="25-Sep-2024"/>
    <x v="7"/>
    <x v="1"/>
    <s v="Children"/>
    <s v="Children - Model 727"/>
    <s v="Mumbai"/>
    <s v="West"/>
    <n v="13"/>
    <n v="2528"/>
    <n v="1416"/>
    <n v="0.44"/>
    <n v="1448"/>
    <n v="-416"/>
    <n v="-2.2598870056497175E-2"/>
    <n v="126"/>
    <n v="-2054"/>
    <n v="-0.1115819209039548"/>
    <x v="2"/>
    <x v="1"/>
    <n v="0"/>
    <n v="0"/>
    <n v="0.61599999999999999"/>
  </r>
  <r>
    <s v="ORD-10789"/>
    <s v="01-Feb-2024"/>
    <x v="4"/>
    <x v="5"/>
    <s v="Moisturizer"/>
    <s v="Moisturizer - Model 945"/>
    <s v="Mumbai"/>
    <s v="West"/>
    <n v="5"/>
    <n v="1020"/>
    <n v="867"/>
    <n v="0.15"/>
    <n v="653"/>
    <n v="1070"/>
    <n v="0.24682814302191464"/>
    <n v="95"/>
    <n v="595"/>
    <n v="0.13725490196078433"/>
    <x v="1"/>
    <x v="3"/>
    <n v="1"/>
    <n v="1"/>
    <n v="0.55999999999999994"/>
  </r>
  <r>
    <s v="ORD-10790"/>
    <s v="27-Jun-2024"/>
    <x v="5"/>
    <x v="0"/>
    <s v="Mobile"/>
    <s v="Mobile - Model 365"/>
    <s v="Mumbai"/>
    <s v="West"/>
    <n v="4"/>
    <n v="574"/>
    <n v="494"/>
    <n v="0.14000000000000001"/>
    <n v="283"/>
    <n v="844"/>
    <n v="0.42712550607287447"/>
    <n v="133"/>
    <n v="312"/>
    <n v="0.15789473684210525"/>
    <x v="0"/>
    <x v="0"/>
    <n v="0"/>
    <n v="0"/>
    <n v="0.19600000000000001"/>
  </r>
  <r>
    <s v="ORD-10791"/>
    <s v="19-Mar-2024"/>
    <x v="2"/>
    <x v="3"/>
    <s v="Atta"/>
    <s v="Atta - Model 229"/>
    <s v="Kolkata"/>
    <s v="East"/>
    <n v="5"/>
    <n v="6074"/>
    <n v="3644"/>
    <n v="0.4"/>
    <n v="4483"/>
    <n v="-4195"/>
    <n v="-0.23024149286498352"/>
    <n v="92"/>
    <n v="-4655"/>
    <n v="-0.25548847420417126"/>
    <x v="0"/>
    <x v="0"/>
    <n v="0"/>
    <n v="0"/>
    <n v="0.55999999999999994"/>
  </r>
  <r>
    <s v="ORD-10792"/>
    <s v="19-Apr-2024"/>
    <x v="1"/>
    <x v="3"/>
    <s v="Pulses"/>
    <s v="Pulses - Model 387"/>
    <s v="Kolkata"/>
    <s v="East"/>
    <n v="16"/>
    <n v="1961"/>
    <n v="1726"/>
    <n v="0.12"/>
    <n v="988"/>
    <n v="11808"/>
    <n v="0.42757821552723058"/>
    <n v="42"/>
    <n v="11136"/>
    <n v="0.40324449594438005"/>
    <x v="3"/>
    <x v="0"/>
    <n v="0"/>
    <n v="0"/>
    <n v="0.16799999999999998"/>
  </r>
  <r>
    <s v="ORD-10793"/>
    <s v="24-Nov-2024"/>
    <x v="0"/>
    <x v="5"/>
    <s v="Moisturizer"/>
    <s v="Moisturizer - Model 176"/>
    <s v="Ahmedabad"/>
    <s v="West"/>
    <n v="2"/>
    <n v="1857"/>
    <n v="1300"/>
    <n v="0.3"/>
    <n v="1047"/>
    <n v="506"/>
    <n v="0.19461538461538461"/>
    <n v="88"/>
    <n v="330"/>
    <n v="0.12692307692307692"/>
    <x v="0"/>
    <x v="0"/>
    <n v="0"/>
    <n v="0"/>
    <n v="0.42"/>
  </r>
  <r>
    <s v="ORD-10794"/>
    <s v="25-Oct-2024"/>
    <x v="11"/>
    <x v="1"/>
    <s v="Textbook"/>
    <s v="Textbook - Model 825"/>
    <s v="Ahmedabad"/>
    <s v="West"/>
    <n v="5"/>
    <n v="6813"/>
    <n v="6472"/>
    <n v="0.05"/>
    <n v="3035"/>
    <n v="17185"/>
    <n v="0.53105686032138444"/>
    <n v="168"/>
    <n v="16345"/>
    <n v="0.50509888751545118"/>
    <x v="0"/>
    <x v="2"/>
    <n v="0"/>
    <n v="0"/>
    <n v="6.9999999999999993E-2"/>
  </r>
  <r>
    <s v="ORD-10795"/>
    <s v="07-Sep-2024"/>
    <x v="7"/>
    <x v="4"/>
    <s v="Board Game"/>
    <s v="Board Game - Model 170"/>
    <s v="Chennai"/>
    <s v="South"/>
    <n v="14"/>
    <n v="1481"/>
    <n v="1274"/>
    <n v="0.14000000000000001"/>
    <n v="1043"/>
    <n v="3234"/>
    <n v="0.18131868131868131"/>
    <n v="127"/>
    <n v="1456"/>
    <n v="8.1632653061224483E-2"/>
    <x v="1"/>
    <x v="0"/>
    <n v="0"/>
    <n v="1"/>
    <n v="0.54600000000000004"/>
  </r>
  <r>
    <s v="ORD-10796"/>
    <s v="08-Feb-2024"/>
    <x v="4"/>
    <x v="0"/>
    <s v="Smartwatch"/>
    <s v="Smartwatch - Model 291"/>
    <s v="Chennai"/>
    <s v="South"/>
    <n v="1"/>
    <n v="3915"/>
    <n v="2975"/>
    <n v="0.24"/>
    <n v="2048"/>
    <n v="927"/>
    <n v="0.31159663865546217"/>
    <n v="48"/>
    <n v="879"/>
    <n v="0.2954621848739496"/>
    <x v="3"/>
    <x v="0"/>
    <n v="0"/>
    <n v="0"/>
    <n v="0.33599999999999997"/>
  </r>
  <r>
    <s v="ORD-10797"/>
    <s v="13-Mar-2024"/>
    <x v="2"/>
    <x v="4"/>
    <s v="Doll"/>
    <s v="Doll - Model 441"/>
    <s v="Mumbai"/>
    <s v="West"/>
    <n v="15"/>
    <n v="2326"/>
    <n v="2233"/>
    <n v="0.04"/>
    <n v="1458"/>
    <n v="11625"/>
    <n v="0.3470667263770712"/>
    <n v="140"/>
    <n v="9525"/>
    <n v="0.28437080161218092"/>
    <x v="0"/>
    <x v="0"/>
    <n v="0"/>
    <n v="0"/>
    <n v="5.5999999999999994E-2"/>
  </r>
  <r>
    <s v="ORD-10798"/>
    <s v="20-Mar-2024"/>
    <x v="2"/>
    <x v="2"/>
    <s v="Cycle"/>
    <s v="Cycle - Model 722"/>
    <s v="Ahmedabad"/>
    <s v="West"/>
    <n v="17"/>
    <n v="3582"/>
    <n v="2472"/>
    <n v="0.31"/>
    <n v="2243"/>
    <n v="3893"/>
    <n v="9.263754045307443E-2"/>
    <n v="174"/>
    <n v="935"/>
    <n v="2.2249190938511326E-2"/>
    <x v="1"/>
    <x v="1"/>
    <n v="0"/>
    <n v="1"/>
    <n v="0.78400000000000003"/>
  </r>
  <r>
    <s v="ORD-10799"/>
    <s v="09-Oct-2024"/>
    <x v="11"/>
    <x v="5"/>
    <s v="Moisturizer"/>
    <s v="Moisturizer - Model 644"/>
    <s v="Delhi"/>
    <s v="North"/>
    <n v="9"/>
    <n v="1966"/>
    <n v="1416"/>
    <n v="0.28000000000000003"/>
    <n v="1279"/>
    <n v="1233"/>
    <n v="9.6751412429378528E-2"/>
    <n v="89"/>
    <n v="432"/>
    <n v="3.3898305084745763E-2"/>
    <x v="2"/>
    <x v="3"/>
    <n v="1"/>
    <n v="0"/>
    <n v="0.39200000000000002"/>
  </r>
  <r>
    <s v="ORD-10800"/>
    <s v="09-Dec-2024"/>
    <x v="10"/>
    <x v="3"/>
    <s v="Oil"/>
    <s v="Oil - Model 275"/>
    <s v="Hyderabad"/>
    <s v="South"/>
    <n v="12"/>
    <n v="5168"/>
    <n v="3514"/>
    <n v="0.32"/>
    <n v="2588"/>
    <n v="11112"/>
    <n v="0.263517359134889"/>
    <n v="30"/>
    <n v="10752"/>
    <n v="0.2549800796812749"/>
    <x v="1"/>
    <x v="3"/>
    <n v="1"/>
    <n v="1"/>
    <n v="0.79799999999999993"/>
  </r>
  <r>
    <s v="ORD-10801"/>
    <s v="24-Aug-2024"/>
    <x v="8"/>
    <x v="2"/>
    <s v="Cricket Bat"/>
    <s v="Cricket Bat - Model 274"/>
    <s v="Kolkata"/>
    <s v="East"/>
    <n v="3"/>
    <n v="1500"/>
    <n v="1275"/>
    <n v="0.15"/>
    <n v="839"/>
    <n v="1308"/>
    <n v="0.34196078431372551"/>
    <n v="174"/>
    <n v="786"/>
    <n v="0.20549019607843139"/>
    <x v="0"/>
    <x v="0"/>
    <n v="0"/>
    <n v="0"/>
    <n v="0.21"/>
  </r>
  <r>
    <s v="ORD-10802"/>
    <s v="03-May-2024"/>
    <x v="6"/>
    <x v="6"/>
    <s v="Mixer"/>
    <s v="Mixer - Model 708"/>
    <s v="Kolkata"/>
    <s v="East"/>
    <n v="16"/>
    <n v="4749"/>
    <n v="3704"/>
    <n v="0.22"/>
    <n v="2311"/>
    <n v="22288"/>
    <n v="0.37607991360691145"/>
    <n v="46"/>
    <n v="21552"/>
    <n v="0.36366090712742982"/>
    <x v="2"/>
    <x v="1"/>
    <n v="0"/>
    <n v="0"/>
    <n v="0.308"/>
  </r>
  <r>
    <s v="ORD-10803"/>
    <s v="17-Apr-2024"/>
    <x v="1"/>
    <x v="6"/>
    <s v="Pressure Cooker"/>
    <s v="Pressure Cooker - Model 893"/>
    <s v="Delhi"/>
    <s v="North"/>
    <n v="4"/>
    <n v="2576"/>
    <n v="1726"/>
    <n v="0.33"/>
    <n v="1438"/>
    <n v="1152"/>
    <n v="0.16685979142526072"/>
    <n v="140"/>
    <n v="592"/>
    <n v="8.574739281575898E-2"/>
    <x v="3"/>
    <x v="0"/>
    <n v="0"/>
    <n v="0"/>
    <n v="0.46199999999999997"/>
  </r>
  <r>
    <s v="ORD-10804"/>
    <s v="15-Jun-2024"/>
    <x v="5"/>
    <x v="0"/>
    <s v="Headphones"/>
    <s v="Headphones - Model 408"/>
    <s v="Kolkata"/>
    <s v="East"/>
    <n v="17"/>
    <n v="6241"/>
    <n v="3807"/>
    <n v="0.39"/>
    <n v="4467"/>
    <n v="-11220"/>
    <n v="-0.17336485421591805"/>
    <n v="119"/>
    <n v="-13243"/>
    <n v="-0.20462306277909115"/>
    <x v="2"/>
    <x v="0"/>
    <n v="0"/>
    <n v="0"/>
    <n v="0.54599999999999993"/>
  </r>
  <r>
    <s v="ORD-10805"/>
    <s v="01-Nov-2024"/>
    <x v="0"/>
    <x v="6"/>
    <s v="Curtain"/>
    <s v="Curtain - Model 976"/>
    <s v="Hyderabad"/>
    <s v="South"/>
    <n v="5"/>
    <n v="2986"/>
    <n v="2956"/>
    <n v="0.01"/>
    <n v="1798"/>
    <n v="5790"/>
    <n v="0.39174560216508797"/>
    <n v="134"/>
    <n v="5120"/>
    <n v="0.34641407307171856"/>
    <x v="0"/>
    <x v="0"/>
    <n v="0"/>
    <n v="0"/>
    <n v="1.3999999999999999E-2"/>
  </r>
  <r>
    <s v="ORD-10806"/>
    <s v="13-Apr-2024"/>
    <x v="1"/>
    <x v="7"/>
    <s v="Saree"/>
    <s v="Saree - Model 998"/>
    <s v="Jaipur"/>
    <s v="North"/>
    <n v="15"/>
    <n v="7901"/>
    <n v="4820"/>
    <n v="0.39"/>
    <n v="3644"/>
    <n v="17640"/>
    <n v="0.24398340248962655"/>
    <n v="167"/>
    <n v="15135"/>
    <n v="0.20933609958506225"/>
    <x v="4"/>
    <x v="0"/>
    <n v="0"/>
    <n v="0"/>
    <n v="0.54599999999999993"/>
  </r>
  <r>
    <s v="ORD-10807"/>
    <s v="09-Jul-2024"/>
    <x v="3"/>
    <x v="2"/>
    <s v="Cricket Bat"/>
    <s v="Cricket Bat - Model 142"/>
    <s v="Lucknow"/>
    <s v="North"/>
    <n v="17"/>
    <n v="5674"/>
    <n v="3518"/>
    <n v="0.38"/>
    <n v="2514"/>
    <n v="17068"/>
    <n v="0.28538942581011939"/>
    <n v="149"/>
    <n v="14535"/>
    <n v="0.24303581580443434"/>
    <x v="3"/>
    <x v="3"/>
    <n v="1"/>
    <n v="0"/>
    <n v="0.53199999999999992"/>
  </r>
  <r>
    <s v="ORD-10808"/>
    <s v="04-May-2024"/>
    <x v="6"/>
    <x v="0"/>
    <s v="Smartwatch"/>
    <s v="Smartwatch - Model 801"/>
    <s v="Bangalore"/>
    <s v="South"/>
    <n v="15"/>
    <n v="5511"/>
    <n v="4188"/>
    <n v="0.24"/>
    <n v="2763"/>
    <n v="21375"/>
    <n v="0.34025787965616044"/>
    <n v="114"/>
    <n v="19665"/>
    <n v="0.31303724928366761"/>
    <x v="1"/>
    <x v="0"/>
    <n v="0"/>
    <n v="1"/>
    <n v="0.68599999999999994"/>
  </r>
  <r>
    <s v="ORD-10809"/>
    <s v="01-May-2024"/>
    <x v="6"/>
    <x v="3"/>
    <s v="Atta"/>
    <s v="Atta - Model 322"/>
    <s v="Chennai"/>
    <s v="South"/>
    <n v="19"/>
    <n v="1163"/>
    <n v="907"/>
    <n v="0.22"/>
    <n v="467"/>
    <n v="8360"/>
    <n v="0.48511576626240355"/>
    <n v="83"/>
    <n v="6783"/>
    <n v="0.39360529217199558"/>
    <x v="2"/>
    <x v="0"/>
    <n v="0"/>
    <n v="0"/>
    <n v="0.308"/>
  </r>
  <r>
    <s v="ORD-10810"/>
    <s v="26-May-2024"/>
    <x v="6"/>
    <x v="6"/>
    <s v="Mixer"/>
    <s v="Mixer - Model 830"/>
    <s v="Chennai"/>
    <s v="South"/>
    <n v="5"/>
    <n v="7968"/>
    <n v="7251"/>
    <n v="0.09"/>
    <n v="4819"/>
    <n v="12160"/>
    <n v="0.33540201351537718"/>
    <n v="42"/>
    <n v="11950"/>
    <n v="0.32960970900565439"/>
    <x v="1"/>
    <x v="1"/>
    <n v="0"/>
    <n v="1"/>
    <n v="0.47599999999999998"/>
  </r>
  <r>
    <s v="ORD-10811"/>
    <s v="26-Apr-2024"/>
    <x v="1"/>
    <x v="4"/>
    <s v="Remote Car"/>
    <s v="Remote Car - Model 508"/>
    <s v="Delhi"/>
    <s v="North"/>
    <n v="9"/>
    <n v="7378"/>
    <n v="5386"/>
    <n v="0.27"/>
    <n v="3399"/>
    <n v="17883"/>
    <n v="0.36891942072038619"/>
    <n v="95"/>
    <n v="17028"/>
    <n v="0.35128109914593392"/>
    <x v="4"/>
    <x v="0"/>
    <n v="0"/>
    <n v="0"/>
    <n v="0.378"/>
  </r>
  <r>
    <s v="ORD-10812"/>
    <s v="09-Apr-2024"/>
    <x v="1"/>
    <x v="6"/>
    <s v="Curtain"/>
    <s v="Curtain - Model 667"/>
    <s v="Hyderabad"/>
    <s v="South"/>
    <n v="10"/>
    <n v="2579"/>
    <n v="2244"/>
    <n v="0.13"/>
    <n v="1868"/>
    <n v="3760"/>
    <n v="0.16755793226381463"/>
    <n v="99"/>
    <n v="2770"/>
    <n v="0.12344028520499109"/>
    <x v="1"/>
    <x v="1"/>
    <n v="0"/>
    <n v="1"/>
    <n v="0.53200000000000003"/>
  </r>
  <r>
    <s v="ORD-10813"/>
    <s v="04-Jul-2024"/>
    <x v="3"/>
    <x v="6"/>
    <s v="Lamp"/>
    <s v="Lamp - Model 552"/>
    <s v="Kolkata"/>
    <s v="East"/>
    <n v="17"/>
    <n v="7492"/>
    <n v="5095"/>
    <n v="0.32"/>
    <n v="4225"/>
    <n v="14790"/>
    <n v="0.17075564278704614"/>
    <n v="94"/>
    <n v="13192"/>
    <n v="0.15230618253189401"/>
    <x v="0"/>
    <x v="0"/>
    <n v="0"/>
    <n v="0"/>
    <n v="0.44799999999999995"/>
  </r>
  <r>
    <s v="ORD-10814"/>
    <s v="01-Sep-2024"/>
    <x v="7"/>
    <x v="4"/>
    <s v="Action Figure"/>
    <s v="Action Figure - Model 873"/>
    <s v="Bangalore"/>
    <s v="South"/>
    <n v="20"/>
    <n v="7273"/>
    <n v="4727"/>
    <n v="0.35"/>
    <n v="4386"/>
    <n v="6820"/>
    <n v="7.2138777237148302E-2"/>
    <n v="86"/>
    <n v="5100"/>
    <n v="5.3945419928072773E-2"/>
    <x v="3"/>
    <x v="0"/>
    <n v="0"/>
    <n v="0"/>
    <n v="0.48999999999999994"/>
  </r>
  <r>
    <s v="ORD-10815"/>
    <s v="02-May-2024"/>
    <x v="6"/>
    <x v="4"/>
    <s v="Board Game"/>
    <s v="Board Game - Model 512"/>
    <s v="Mumbai"/>
    <s v="West"/>
    <n v="15"/>
    <n v="6498"/>
    <n v="3964"/>
    <n v="0.39"/>
    <n v="3646"/>
    <n v="4770"/>
    <n v="8.0221997981836532E-2"/>
    <n v="38"/>
    <n v="4200"/>
    <n v="7.0635721493440967E-2"/>
    <x v="2"/>
    <x v="1"/>
    <n v="0"/>
    <n v="0"/>
    <n v="0.54599999999999993"/>
  </r>
  <r>
    <s v="ORD-10816"/>
    <s v="11-Feb-2024"/>
    <x v="4"/>
    <x v="7"/>
    <s v="Saree"/>
    <s v="Saree - Model 679"/>
    <s v="Ahmedabad"/>
    <s v="West"/>
    <n v="11"/>
    <n v="6942"/>
    <n v="6595"/>
    <n v="0.05"/>
    <n v="4197"/>
    <n v="26378"/>
    <n v="0.36360879454131917"/>
    <n v="107"/>
    <n v="25201"/>
    <n v="0.34738438210765732"/>
    <x v="2"/>
    <x v="0"/>
    <n v="0"/>
    <n v="0"/>
    <n v="6.9999999999999993E-2"/>
  </r>
  <r>
    <s v="ORD-10817"/>
    <s v="24-Sep-2024"/>
    <x v="7"/>
    <x v="3"/>
    <s v="Oil"/>
    <s v="Oil - Model 328"/>
    <s v="Bangalore"/>
    <s v="South"/>
    <n v="10"/>
    <n v="5100"/>
    <n v="3468"/>
    <n v="0.32"/>
    <n v="3712"/>
    <n v="-2440"/>
    <n v="-7.0357554786620535E-2"/>
    <n v="151"/>
    <n v="-3950"/>
    <n v="-0.11389850057670127"/>
    <x v="3"/>
    <x v="0"/>
    <n v="0"/>
    <n v="0"/>
    <n v="0.44799999999999995"/>
  </r>
  <r>
    <s v="ORD-10818"/>
    <s v="05-Jan-2024"/>
    <x v="9"/>
    <x v="7"/>
    <s v="Jacket"/>
    <s v="Jacket - Model 199"/>
    <s v="Hyderabad"/>
    <s v="South"/>
    <n v="7"/>
    <n v="1008"/>
    <n v="998"/>
    <n v="0.01"/>
    <n v="582"/>
    <n v="2912"/>
    <n v="0.41683366733466931"/>
    <n v="89"/>
    <n v="2289"/>
    <n v="0.32765531062124248"/>
    <x v="2"/>
    <x v="0"/>
    <n v="0"/>
    <n v="0"/>
    <n v="1.3999999999999999E-2"/>
  </r>
  <r>
    <s v="ORD-10819"/>
    <s v="27-Mar-2024"/>
    <x v="2"/>
    <x v="5"/>
    <s v="Sunscreen"/>
    <s v="Sunscreen - Model 366"/>
    <s v="Lucknow"/>
    <s v="North"/>
    <n v="15"/>
    <n v="6903"/>
    <n v="4970"/>
    <n v="0.28000000000000003"/>
    <n v="3806"/>
    <n v="17460"/>
    <n v="0.23420523138832999"/>
    <n v="125"/>
    <n v="15585"/>
    <n v="0.20905432595573439"/>
    <x v="1"/>
    <x v="3"/>
    <n v="1"/>
    <n v="1"/>
    <n v="0.74199999999999999"/>
  </r>
  <r>
    <s v="ORD-10820"/>
    <s v="06-Apr-2024"/>
    <x v="1"/>
    <x v="5"/>
    <s v="Perfume"/>
    <s v="Perfume - Model 591"/>
    <s v="Chennai"/>
    <s v="South"/>
    <n v="10"/>
    <n v="5407"/>
    <n v="3082"/>
    <n v="0.43"/>
    <n v="3096"/>
    <n v="-140"/>
    <n v="-4.5425048669695007E-3"/>
    <n v="130"/>
    <n v="-1440"/>
    <n v="-4.6722907203114859E-2"/>
    <x v="0"/>
    <x v="3"/>
    <n v="1"/>
    <n v="0"/>
    <n v="0.60199999999999998"/>
  </r>
  <r>
    <s v="ORD-10821"/>
    <s v="14-Aug-2024"/>
    <x v="8"/>
    <x v="4"/>
    <s v="Board Game"/>
    <s v="Board Game - Model 128"/>
    <s v="Chennai"/>
    <s v="South"/>
    <n v="15"/>
    <n v="1137"/>
    <n v="932"/>
    <n v="0.18"/>
    <n v="686"/>
    <n v="3690"/>
    <n v="0.26394849785407726"/>
    <n v="35"/>
    <n v="3165"/>
    <n v="0.22639484978540772"/>
    <x v="3"/>
    <x v="1"/>
    <n v="0"/>
    <n v="0"/>
    <n v="0.252"/>
  </r>
  <r>
    <s v="ORD-10822"/>
    <s v="05-Jun-2024"/>
    <x v="5"/>
    <x v="3"/>
    <s v="Pulses"/>
    <s v="Pulses - Model 383"/>
    <s v="Mumbai"/>
    <s v="West"/>
    <n v="6"/>
    <n v="2990"/>
    <n v="1824"/>
    <n v="0.39"/>
    <n v="1723"/>
    <n v="606"/>
    <n v="5.5372807017543858E-2"/>
    <n v="82"/>
    <n v="114"/>
    <n v="1.0416666666666666E-2"/>
    <x v="3"/>
    <x v="0"/>
    <n v="0"/>
    <n v="0"/>
    <n v="0.54599999999999993"/>
  </r>
  <r>
    <s v="ORD-10823"/>
    <s v="05-Nov-2024"/>
    <x v="0"/>
    <x v="1"/>
    <s v="Comic"/>
    <s v="Comic - Model 447"/>
    <s v="Ahmedabad"/>
    <s v="West"/>
    <n v="5"/>
    <n v="2371"/>
    <n v="1565"/>
    <n v="0.34"/>
    <n v="1200"/>
    <n v="1825"/>
    <n v="0.23322683706070288"/>
    <n v="89"/>
    <n v="1380"/>
    <n v="0.17635782747603834"/>
    <x v="0"/>
    <x v="0"/>
    <n v="0"/>
    <n v="0"/>
    <n v="0.47599999999999998"/>
  </r>
  <r>
    <s v="ORD-10824"/>
    <s v="06-Nov-2024"/>
    <x v="0"/>
    <x v="2"/>
    <s v="Cricket Bat"/>
    <s v="Cricket Bat - Model 814"/>
    <s v="Kolkata"/>
    <s v="East"/>
    <n v="19"/>
    <n v="7651"/>
    <n v="6427"/>
    <n v="0.16"/>
    <n v="4714"/>
    <n v="32547"/>
    <n v="0.26653181888906174"/>
    <n v="91"/>
    <n v="30818"/>
    <n v="0.2523728022405477"/>
    <x v="2"/>
    <x v="0"/>
    <n v="0"/>
    <n v="0"/>
    <n v="0.22399999999999998"/>
  </r>
  <r>
    <s v="ORD-10825"/>
    <s v="04-Apr-2024"/>
    <x v="1"/>
    <x v="7"/>
    <s v="Shoes"/>
    <s v="Shoes - Model 795"/>
    <s v="Ahmedabad"/>
    <s v="West"/>
    <n v="11"/>
    <n v="6127"/>
    <n v="3431"/>
    <n v="0.44"/>
    <n v="4185"/>
    <n v="-8294"/>
    <n v="-0.21976100262314194"/>
    <n v="140"/>
    <n v="-9834"/>
    <n v="-0.26056543281842026"/>
    <x v="1"/>
    <x v="1"/>
    <n v="0"/>
    <n v="1"/>
    <n v="0.96599999999999997"/>
  </r>
  <r>
    <s v="ORD-10826"/>
    <s v="13-Dec-2024"/>
    <x v="10"/>
    <x v="4"/>
    <s v="Action Figure"/>
    <s v="Action Figure - Model 163"/>
    <s v="Lucknow"/>
    <s v="North"/>
    <n v="9"/>
    <n v="1093"/>
    <n v="678"/>
    <n v="0.38"/>
    <n v="465"/>
    <n v="1917"/>
    <n v="0.31415929203539822"/>
    <n v="145"/>
    <n v="612"/>
    <n v="0.10029498525073746"/>
    <x v="3"/>
    <x v="0"/>
    <n v="0"/>
    <n v="0"/>
    <n v="0.53199999999999992"/>
  </r>
  <r>
    <s v="ORD-10827"/>
    <s v="11-Mar-2024"/>
    <x v="2"/>
    <x v="7"/>
    <s v="Shoes"/>
    <s v="Shoes - Model 486"/>
    <s v="Bangalore"/>
    <s v="South"/>
    <n v="19"/>
    <n v="4540"/>
    <n v="4131"/>
    <n v="0.09"/>
    <n v="2596"/>
    <n v="29165"/>
    <n v="0.37158073105785522"/>
    <n v="132"/>
    <n v="26657"/>
    <n v="0.33962720890825465"/>
    <x v="1"/>
    <x v="0"/>
    <n v="0"/>
    <n v="1"/>
    <n v="0.47599999999999998"/>
  </r>
  <r>
    <s v="ORD-10828"/>
    <s v="26-Sep-2024"/>
    <x v="7"/>
    <x v="5"/>
    <s v="Moisturizer"/>
    <s v="Moisturizer - Model 696"/>
    <s v="Mumbai"/>
    <s v="West"/>
    <n v="4"/>
    <n v="1788"/>
    <n v="1144"/>
    <n v="0.36"/>
    <n v="1274"/>
    <n v="-520"/>
    <n v="-0.11363636363636363"/>
    <n v="84"/>
    <n v="-856"/>
    <n v="-0.18706293706293706"/>
    <x v="0"/>
    <x v="2"/>
    <n v="0"/>
    <n v="0"/>
    <n v="0.504"/>
  </r>
  <r>
    <s v="ORD-10829"/>
    <s v="06-Jun-2024"/>
    <x v="5"/>
    <x v="3"/>
    <s v="Oil"/>
    <s v="Oil - Model 952"/>
    <s v="Hyderabad"/>
    <s v="South"/>
    <n v="19"/>
    <n v="6655"/>
    <n v="5124"/>
    <n v="0.23"/>
    <n v="3492"/>
    <n v="31008"/>
    <n v="0.31850117096018737"/>
    <n v="165"/>
    <n v="27873"/>
    <n v="0.28629976580796251"/>
    <x v="1"/>
    <x v="0"/>
    <n v="0"/>
    <n v="1"/>
    <n v="0.67199999999999993"/>
  </r>
  <r>
    <s v="ORD-10830"/>
    <s v="13-Nov-2024"/>
    <x v="0"/>
    <x v="7"/>
    <s v="Jacket"/>
    <s v="Jacket - Model 180"/>
    <s v="Bangalore"/>
    <s v="South"/>
    <n v="17"/>
    <n v="2526"/>
    <n v="2400"/>
    <n v="0.05"/>
    <n v="1214"/>
    <n v="20162"/>
    <n v="0.49416666666666664"/>
    <n v="120"/>
    <n v="18122"/>
    <n v="0.44416666666666665"/>
    <x v="4"/>
    <x v="3"/>
    <n v="1"/>
    <n v="0"/>
    <n v="6.9999999999999993E-2"/>
  </r>
  <r>
    <s v="ORD-10831"/>
    <s v="27-May-2024"/>
    <x v="6"/>
    <x v="2"/>
    <s v="Dumbbells"/>
    <s v="Dumbbells - Model 820"/>
    <s v="Kolkata"/>
    <s v="East"/>
    <n v="3"/>
    <n v="7005"/>
    <n v="6515"/>
    <n v="7.0000000000000007E-2"/>
    <n v="3508"/>
    <n v="9021"/>
    <n v="0.46155026861089793"/>
    <n v="110"/>
    <n v="8691"/>
    <n v="0.44466615502686108"/>
    <x v="1"/>
    <x v="1"/>
    <n v="0"/>
    <n v="1"/>
    <n v="0.44799999999999995"/>
  </r>
  <r>
    <s v="ORD-10832"/>
    <s v="10-Sep-2024"/>
    <x v="7"/>
    <x v="4"/>
    <s v="Doll"/>
    <s v="Doll - Model 158"/>
    <s v="Jaipur"/>
    <s v="North"/>
    <n v="4"/>
    <n v="4746"/>
    <n v="2753"/>
    <n v="0.42"/>
    <n v="3534"/>
    <n v="-3124"/>
    <n v="-0.28369051943334544"/>
    <n v="128"/>
    <n v="-3636"/>
    <n v="-0.33018525245187069"/>
    <x v="2"/>
    <x v="0"/>
    <n v="0"/>
    <n v="0"/>
    <n v="0.58799999999999997"/>
  </r>
  <r>
    <s v="ORD-10833"/>
    <s v="25-Jun-2024"/>
    <x v="5"/>
    <x v="0"/>
    <s v="Laptop"/>
    <s v="Laptop - Model 309"/>
    <s v="Jaipur"/>
    <s v="North"/>
    <n v="11"/>
    <n v="7409"/>
    <n v="5186"/>
    <n v="0.3"/>
    <n v="5241"/>
    <n v="-605"/>
    <n v="-1.0605476282298496E-2"/>
    <n v="65"/>
    <n v="-1320"/>
    <n v="-2.3139220979560355E-2"/>
    <x v="2"/>
    <x v="0"/>
    <n v="0"/>
    <n v="0"/>
    <n v="0.42"/>
  </r>
  <r>
    <s v="ORD-10834"/>
    <s v="23-Oct-2024"/>
    <x v="11"/>
    <x v="0"/>
    <s v="Headphones"/>
    <s v="Headphones - Model 172"/>
    <s v="Pune"/>
    <s v="West"/>
    <n v="20"/>
    <n v="5966"/>
    <n v="3460"/>
    <n v="0.42"/>
    <n v="4240"/>
    <n v="-15600"/>
    <n v="-0.22543352601156069"/>
    <n v="102"/>
    <n v="-17640"/>
    <n v="-0.25491329479768787"/>
    <x v="1"/>
    <x v="0"/>
    <n v="0"/>
    <n v="1"/>
    <n v="0.93799999999999994"/>
  </r>
  <r>
    <s v="ORD-10835"/>
    <s v="16-Jan-2024"/>
    <x v="9"/>
    <x v="5"/>
    <s v="Lipstick"/>
    <s v="Lipstick - Model 541"/>
    <s v="Ahmedabad"/>
    <s v="West"/>
    <n v="10"/>
    <n v="6296"/>
    <n v="3841"/>
    <n v="0.39"/>
    <n v="3020"/>
    <n v="8210"/>
    <n v="0.21374642020307211"/>
    <n v="170"/>
    <n v="6510"/>
    <n v="0.16948711273105962"/>
    <x v="2"/>
    <x v="3"/>
    <n v="1"/>
    <n v="0"/>
    <n v="0.54599999999999993"/>
  </r>
  <r>
    <s v="ORD-10836"/>
    <s v="20-Sep-2024"/>
    <x v="7"/>
    <x v="4"/>
    <s v="Action Figure"/>
    <s v="Action Figure - Model 665"/>
    <s v="Ahmedabad"/>
    <s v="West"/>
    <n v="2"/>
    <n v="3220"/>
    <n v="2673"/>
    <n v="0.17"/>
    <n v="1429"/>
    <n v="2488"/>
    <n v="0.46539468761690983"/>
    <n v="135"/>
    <n v="2218"/>
    <n v="0.41488963711185933"/>
    <x v="3"/>
    <x v="0"/>
    <n v="0"/>
    <n v="0"/>
    <n v="0.23799999999999999"/>
  </r>
  <r>
    <s v="ORD-10837"/>
    <s v="12-Oct-2024"/>
    <x v="11"/>
    <x v="1"/>
    <s v="Self-Help"/>
    <s v="Self-Help - Model 451"/>
    <s v="Pune"/>
    <s v="West"/>
    <n v="2"/>
    <n v="2058"/>
    <n v="1976"/>
    <n v="0.04"/>
    <n v="830"/>
    <n v="2292"/>
    <n v="0.57995951417004044"/>
    <n v="92"/>
    <n v="2108"/>
    <n v="0.5334008097165992"/>
    <x v="3"/>
    <x v="1"/>
    <n v="0"/>
    <n v="0"/>
    <n v="5.5999999999999994E-2"/>
  </r>
  <r>
    <s v="ORD-10838"/>
    <s v="28-Jan-2024"/>
    <x v="9"/>
    <x v="5"/>
    <s v="Moisturizer"/>
    <s v="Moisturizer - Model 178"/>
    <s v="Mumbai"/>
    <s v="West"/>
    <n v="5"/>
    <n v="3621"/>
    <n v="3150"/>
    <n v="0.13"/>
    <n v="1847"/>
    <n v="6515"/>
    <n v="0.41365079365079366"/>
    <n v="120"/>
    <n v="5915"/>
    <n v="0.37555555555555553"/>
    <x v="1"/>
    <x v="0"/>
    <n v="0"/>
    <n v="1"/>
    <n v="0.53200000000000003"/>
  </r>
  <r>
    <s v="ORD-10839"/>
    <s v="16-Jul-2024"/>
    <x v="3"/>
    <x v="7"/>
    <s v="Kurta"/>
    <s v="Kurta - Model 178"/>
    <s v="Chennai"/>
    <s v="South"/>
    <n v="18"/>
    <n v="1806"/>
    <n v="1228"/>
    <n v="0.32"/>
    <n v="1237"/>
    <n v="-162"/>
    <n v="-7.3289902280130291E-3"/>
    <n v="165"/>
    <n v="-3132"/>
    <n v="-0.14169381107491857"/>
    <x v="1"/>
    <x v="0"/>
    <n v="0"/>
    <n v="1"/>
    <n v="0.79799999999999993"/>
  </r>
  <r>
    <s v="ORD-10840"/>
    <s v="25-Jun-2024"/>
    <x v="5"/>
    <x v="2"/>
    <s v="Cricket Bat"/>
    <s v="Cricket Bat - Model 639"/>
    <s v="Chennai"/>
    <s v="South"/>
    <n v="11"/>
    <n v="5643"/>
    <n v="4345"/>
    <n v="0.23"/>
    <n v="2364"/>
    <n v="21791"/>
    <n v="0.45592635212888377"/>
    <n v="165"/>
    <n v="19976"/>
    <n v="0.41795166858457999"/>
    <x v="3"/>
    <x v="0"/>
    <n v="0"/>
    <n v="0"/>
    <n v="0.32200000000000001"/>
  </r>
  <r>
    <s v="ORD-10841"/>
    <s v="27-Mar-2024"/>
    <x v="2"/>
    <x v="5"/>
    <s v="Lipstick"/>
    <s v="Lipstick - Model 859"/>
    <s v="Jaipur"/>
    <s v="North"/>
    <n v="7"/>
    <n v="1157"/>
    <n v="775"/>
    <n v="0.33"/>
    <n v="782"/>
    <n v="-49"/>
    <n v="-9.0322580645161299E-3"/>
    <n v="35"/>
    <n v="-294"/>
    <n v="-5.4193548387096772E-2"/>
    <x v="1"/>
    <x v="3"/>
    <n v="1"/>
    <n v="1"/>
    <n v="0.81199999999999994"/>
  </r>
  <r>
    <s v="ORD-10842"/>
    <s v="04-Aug-2024"/>
    <x v="8"/>
    <x v="0"/>
    <s v="Smartwatch"/>
    <s v="Smartwatch - Model 956"/>
    <s v="Mumbai"/>
    <s v="West"/>
    <n v="9"/>
    <n v="2368"/>
    <n v="1965"/>
    <n v="0.17"/>
    <n v="1633"/>
    <n v="2988"/>
    <n v="0.16895674300254454"/>
    <n v="43"/>
    <n v="2601"/>
    <n v="0.14707379134860052"/>
    <x v="4"/>
    <x v="0"/>
    <n v="0"/>
    <n v="0"/>
    <n v="0.23799999999999999"/>
  </r>
  <r>
    <s v="ORD-10843"/>
    <s v="28-Jan-2024"/>
    <x v="9"/>
    <x v="4"/>
    <s v="Remote Car"/>
    <s v="Remote Car - Model 554"/>
    <s v="Mumbai"/>
    <s v="West"/>
    <n v="8"/>
    <n v="1805"/>
    <n v="1661"/>
    <n v="0.08"/>
    <n v="994"/>
    <n v="5336"/>
    <n v="0.40156532209512341"/>
    <n v="38"/>
    <n v="5032"/>
    <n v="0.378687537627935"/>
    <x v="4"/>
    <x v="3"/>
    <n v="1"/>
    <n v="0"/>
    <n v="0.11199999999999999"/>
  </r>
  <r>
    <s v="ORD-10844"/>
    <s v="20-Jan-2024"/>
    <x v="9"/>
    <x v="1"/>
    <s v="Textbook"/>
    <s v="Textbook - Model 929"/>
    <s v="Lucknow"/>
    <s v="North"/>
    <n v="7"/>
    <n v="6107"/>
    <n v="5191"/>
    <n v="0.15"/>
    <n v="4215"/>
    <n v="6832"/>
    <n v="0.18801772298208438"/>
    <n v="95"/>
    <n v="6167"/>
    <n v="0.16971681756886919"/>
    <x v="0"/>
    <x v="1"/>
    <n v="0"/>
    <n v="0"/>
    <n v="0.21"/>
  </r>
  <r>
    <s v="ORD-10845"/>
    <s v="26-Jan-2024"/>
    <x v="9"/>
    <x v="7"/>
    <s v="Jacket"/>
    <s v="Jacket - Model 497"/>
    <s v="Chennai"/>
    <s v="South"/>
    <n v="18"/>
    <n v="3815"/>
    <n v="2823"/>
    <n v="0.26"/>
    <n v="2285"/>
    <n v="9684"/>
    <n v="0.19057739992915337"/>
    <n v="108"/>
    <n v="7740"/>
    <n v="0.15232022670917464"/>
    <x v="1"/>
    <x v="0"/>
    <n v="0"/>
    <n v="1"/>
    <n v="0.71399999999999997"/>
  </r>
  <r>
    <s v="ORD-10846"/>
    <s v="05-Apr-2024"/>
    <x v="1"/>
    <x v="0"/>
    <s v="Headphones"/>
    <s v="Headphones - Model 918"/>
    <s v="Chennai"/>
    <s v="South"/>
    <n v="3"/>
    <n v="7991"/>
    <n v="5194"/>
    <n v="0.35"/>
    <n v="4024"/>
    <n v="3510"/>
    <n v="0.22525991528686948"/>
    <n v="116"/>
    <n v="3162"/>
    <n v="0.20292645360030806"/>
    <x v="2"/>
    <x v="0"/>
    <n v="0"/>
    <n v="0"/>
    <n v="0.48999999999999994"/>
  </r>
  <r>
    <s v="ORD-10847"/>
    <s v="09-Nov-2024"/>
    <x v="0"/>
    <x v="0"/>
    <s v="Mobile"/>
    <s v="Mobile - Model 414"/>
    <s v="Lucknow"/>
    <s v="North"/>
    <n v="11"/>
    <n v="6721"/>
    <n v="4167"/>
    <n v="0.38"/>
    <n v="3732"/>
    <n v="4785"/>
    <n v="0.10439164866810655"/>
    <n v="33"/>
    <n v="4422"/>
    <n v="9.64722822174226E-2"/>
    <x v="2"/>
    <x v="1"/>
    <n v="0"/>
    <n v="0"/>
    <n v="0.53199999999999992"/>
  </r>
  <r>
    <s v="ORD-10848"/>
    <s v="21-Aug-2024"/>
    <x v="8"/>
    <x v="5"/>
    <s v="Perfume"/>
    <s v="Perfume - Model 159"/>
    <s v="Lucknow"/>
    <s v="North"/>
    <n v="3"/>
    <n v="2356"/>
    <n v="1720"/>
    <n v="0.27"/>
    <n v="1201"/>
    <n v="1557"/>
    <n v="0.30174418604651165"/>
    <n v="40"/>
    <n v="1437"/>
    <n v="0.27848837209302324"/>
    <x v="1"/>
    <x v="2"/>
    <n v="0"/>
    <n v="1"/>
    <n v="0.72799999999999998"/>
  </r>
  <r>
    <s v="ORD-10849"/>
    <s v="28-May-2024"/>
    <x v="6"/>
    <x v="3"/>
    <s v="Oil"/>
    <s v="Oil - Model 332"/>
    <s v="Bangalore"/>
    <s v="South"/>
    <n v="5"/>
    <n v="6996"/>
    <n v="4897"/>
    <n v="0.3"/>
    <n v="3368"/>
    <n v="7645"/>
    <n v="0.31223197876250763"/>
    <n v="128"/>
    <n v="7005"/>
    <n v="0.28609352664896875"/>
    <x v="1"/>
    <x v="1"/>
    <n v="0"/>
    <n v="1"/>
    <n v="0.77"/>
  </r>
  <r>
    <s v="ORD-10850"/>
    <s v="11-Oct-2024"/>
    <x v="11"/>
    <x v="0"/>
    <s v="Tablet"/>
    <s v="Tablet - Model 834"/>
    <s v="Hyderabad"/>
    <s v="South"/>
    <n v="2"/>
    <n v="7623"/>
    <n v="4193"/>
    <n v="0.45"/>
    <n v="5651"/>
    <n v="-2916"/>
    <n v="-0.34772239446696873"/>
    <n v="32"/>
    <n v="-2980"/>
    <n v="-0.35535416169806822"/>
    <x v="4"/>
    <x v="0"/>
    <n v="0"/>
    <n v="0"/>
    <n v="0.63"/>
  </r>
  <r>
    <s v="ORD-10851"/>
    <s v="12-Apr-2024"/>
    <x v="1"/>
    <x v="7"/>
    <s v="Kurta"/>
    <s v="Kurta - Model 619"/>
    <s v="Ahmedabad"/>
    <s v="West"/>
    <n v="4"/>
    <n v="4186"/>
    <n v="3726"/>
    <n v="0.11"/>
    <n v="2152"/>
    <n v="6296"/>
    <n v="0.42243692968330648"/>
    <n v="86"/>
    <n v="5952"/>
    <n v="0.39935587761674718"/>
    <x v="0"/>
    <x v="0"/>
    <n v="0"/>
    <n v="0"/>
    <n v="0.154"/>
  </r>
  <r>
    <s v="ORD-10852"/>
    <s v="05-May-2024"/>
    <x v="6"/>
    <x v="0"/>
    <s v="Headphones"/>
    <s v="Headphones - Model 721"/>
    <s v="Kolkata"/>
    <s v="East"/>
    <n v="11"/>
    <n v="7806"/>
    <n v="4684"/>
    <n v="0.4"/>
    <n v="4146"/>
    <n v="5918"/>
    <n v="0.11485909479077712"/>
    <n v="171"/>
    <n v="4037"/>
    <n v="7.8351836037574729E-2"/>
    <x v="4"/>
    <x v="0"/>
    <n v="0"/>
    <n v="0"/>
    <n v="0.55999999999999994"/>
  </r>
  <r>
    <s v="ORD-10853"/>
    <s v="10-Jan-2024"/>
    <x v="9"/>
    <x v="6"/>
    <s v="Lamp"/>
    <s v="Lamp - Model 126"/>
    <s v="Delhi"/>
    <s v="North"/>
    <n v="20"/>
    <n v="1850"/>
    <n v="1591"/>
    <n v="0.14000000000000001"/>
    <n v="1203"/>
    <n v="7760"/>
    <n v="0.24387177875549967"/>
    <n v="141"/>
    <n v="4940"/>
    <n v="0.1552482715273413"/>
    <x v="3"/>
    <x v="1"/>
    <n v="0"/>
    <n v="0"/>
    <n v="0.19600000000000001"/>
  </r>
  <r>
    <s v="ORD-10854"/>
    <s v="27-Jul-2024"/>
    <x v="3"/>
    <x v="0"/>
    <s v="Laptop"/>
    <s v="Laptop - Model 490"/>
    <s v="Delhi"/>
    <s v="North"/>
    <n v="3"/>
    <n v="7677"/>
    <n v="4222"/>
    <n v="0.45"/>
    <n v="4590"/>
    <n v="-1104"/>
    <n v="-8.7162482235907154E-2"/>
    <n v="180"/>
    <n v="-1644"/>
    <n v="-0.12979630506868783"/>
    <x v="3"/>
    <x v="0"/>
    <n v="0"/>
    <n v="0"/>
    <n v="0.63"/>
  </r>
  <r>
    <s v="ORD-10855"/>
    <s v="28-Feb-2024"/>
    <x v="4"/>
    <x v="0"/>
    <s v="Tablet"/>
    <s v="Tablet - Model 583"/>
    <s v="Jaipur"/>
    <s v="North"/>
    <n v="17"/>
    <n v="3640"/>
    <n v="3203"/>
    <n v="0.12"/>
    <n v="2521"/>
    <n v="11594"/>
    <n v="0.21292538245394943"/>
    <n v="74"/>
    <n v="10336"/>
    <n v="0.18982204183577897"/>
    <x v="1"/>
    <x v="2"/>
    <n v="0"/>
    <n v="1"/>
    <n v="0.51800000000000002"/>
  </r>
  <r>
    <s v="ORD-10856"/>
    <s v="08-Jun-2024"/>
    <x v="5"/>
    <x v="3"/>
    <s v="Rice"/>
    <s v="Rice - Model 866"/>
    <s v="Delhi"/>
    <s v="North"/>
    <n v="8"/>
    <n v="3671"/>
    <n v="2092"/>
    <n v="0.43"/>
    <n v="1995"/>
    <n v="776"/>
    <n v="4.6367112810707455E-2"/>
    <n v="42"/>
    <n v="440"/>
    <n v="2.6290630975143402E-2"/>
    <x v="3"/>
    <x v="1"/>
    <n v="0"/>
    <n v="0"/>
    <n v="0.60199999999999998"/>
  </r>
  <r>
    <s v="ORD-10857"/>
    <s v="16-Nov-2024"/>
    <x v="0"/>
    <x v="5"/>
    <s v="Perfume"/>
    <s v="Perfume - Model 905"/>
    <s v="Pune"/>
    <s v="West"/>
    <n v="8"/>
    <n v="4641"/>
    <n v="2924"/>
    <n v="0.37"/>
    <n v="2060"/>
    <n v="6912"/>
    <n v="0.29548563611491108"/>
    <n v="111"/>
    <n v="6024"/>
    <n v="0.25752393980848154"/>
    <x v="0"/>
    <x v="0"/>
    <n v="0"/>
    <n v="0"/>
    <n v="0.51800000000000002"/>
  </r>
  <r>
    <s v="ORD-10858"/>
    <s v="09-Oct-2024"/>
    <x v="11"/>
    <x v="2"/>
    <s v="Yoga Mat"/>
    <s v="Yoga Mat - Model 421"/>
    <s v="Delhi"/>
    <s v="North"/>
    <n v="3"/>
    <n v="3386"/>
    <n v="2607"/>
    <n v="0.23"/>
    <n v="1530"/>
    <n v="3231"/>
    <n v="0.41311852704257768"/>
    <n v="104"/>
    <n v="2919"/>
    <n v="0.37322593018795552"/>
    <x v="1"/>
    <x v="1"/>
    <n v="0"/>
    <n v="1"/>
    <n v="0.67199999999999993"/>
  </r>
  <r>
    <s v="ORD-10859"/>
    <s v="06-Jan-2024"/>
    <x v="9"/>
    <x v="7"/>
    <s v="Shoes"/>
    <s v="Shoes - Model 369"/>
    <s v="Jaipur"/>
    <s v="North"/>
    <n v="16"/>
    <n v="5994"/>
    <n v="5634"/>
    <n v="0.06"/>
    <n v="2469"/>
    <n v="50640"/>
    <n v="0.56176783812566555"/>
    <n v="95"/>
    <n v="49120"/>
    <n v="0.54490592829250972"/>
    <x v="1"/>
    <x v="0"/>
    <n v="0"/>
    <n v="1"/>
    <n v="0.43399999999999994"/>
  </r>
  <r>
    <s v="ORD-10860"/>
    <s v="13-Sep-2024"/>
    <x v="7"/>
    <x v="4"/>
    <s v="Puzzle"/>
    <s v="Puzzle - Model 230"/>
    <s v="Pune"/>
    <s v="West"/>
    <n v="18"/>
    <n v="2083"/>
    <n v="1812"/>
    <n v="0.13"/>
    <n v="1079"/>
    <n v="13194"/>
    <n v="0.4045253863134658"/>
    <n v="154"/>
    <n v="10422"/>
    <n v="0.31953642384105962"/>
    <x v="4"/>
    <x v="0"/>
    <n v="0"/>
    <n v="0"/>
    <n v="0.182"/>
  </r>
  <r>
    <s v="ORD-10861"/>
    <s v="02-Dec-2024"/>
    <x v="10"/>
    <x v="7"/>
    <s v="Saree"/>
    <s v="Saree - Model 559"/>
    <s v="Pune"/>
    <s v="West"/>
    <n v="15"/>
    <n v="5977"/>
    <n v="4782"/>
    <n v="0.2"/>
    <n v="3976"/>
    <n v="12090"/>
    <n v="0.16854872438310331"/>
    <n v="135"/>
    <n v="10065"/>
    <n v="0.14031785863655374"/>
    <x v="1"/>
    <x v="0"/>
    <n v="0"/>
    <n v="1"/>
    <n v="0.62999999999999989"/>
  </r>
  <r>
    <s v="ORD-10862"/>
    <s v="03-Sep-2024"/>
    <x v="7"/>
    <x v="6"/>
    <s v="Mixer"/>
    <s v="Mixer - Model 707"/>
    <s v="Lucknow"/>
    <s v="North"/>
    <n v="12"/>
    <n v="5456"/>
    <n v="4365"/>
    <n v="0.2"/>
    <n v="2794"/>
    <n v="18852"/>
    <n v="0.35990836197021764"/>
    <n v="57"/>
    <n v="18168"/>
    <n v="0.34684994272623138"/>
    <x v="3"/>
    <x v="3"/>
    <n v="1"/>
    <n v="0"/>
    <n v="0.27999999999999997"/>
  </r>
  <r>
    <s v="ORD-10863"/>
    <s v="10-Apr-2024"/>
    <x v="1"/>
    <x v="3"/>
    <s v="Rice"/>
    <s v="Rice - Model 149"/>
    <s v="Lucknow"/>
    <s v="North"/>
    <n v="17"/>
    <n v="7199"/>
    <n v="5327"/>
    <n v="0.26"/>
    <n v="5006"/>
    <n v="5457"/>
    <n v="6.0259057630936738E-2"/>
    <n v="94"/>
    <n v="3859"/>
    <n v="4.2613103059883611E-2"/>
    <x v="4"/>
    <x v="3"/>
    <n v="1"/>
    <n v="0"/>
    <n v="0.36399999999999999"/>
  </r>
  <r>
    <s v="ORD-10864"/>
    <s v="02-Mar-2024"/>
    <x v="2"/>
    <x v="5"/>
    <s v="Perfume"/>
    <s v="Perfume - Model 631"/>
    <s v="Chennai"/>
    <s v="South"/>
    <n v="19"/>
    <n v="7061"/>
    <n v="6072"/>
    <n v="0.14000000000000001"/>
    <n v="3683"/>
    <n v="45391"/>
    <n v="0.39344532279314887"/>
    <n v="55"/>
    <n v="44346"/>
    <n v="0.38438735177865613"/>
    <x v="4"/>
    <x v="0"/>
    <n v="0"/>
    <n v="0"/>
    <n v="0.19600000000000001"/>
  </r>
  <r>
    <s v="ORD-10865"/>
    <s v="10-Mar-2024"/>
    <x v="2"/>
    <x v="2"/>
    <s v="Cycle"/>
    <s v="Cycle - Model 871"/>
    <s v="Delhi"/>
    <s v="North"/>
    <n v="8"/>
    <n v="5398"/>
    <n v="5074"/>
    <n v="0.06"/>
    <n v="2550"/>
    <n v="20192"/>
    <n v="0.49743791880173432"/>
    <n v="156"/>
    <n v="18944"/>
    <n v="0.46669294442254633"/>
    <x v="1"/>
    <x v="1"/>
    <n v="0"/>
    <n v="1"/>
    <n v="0.43399999999999994"/>
  </r>
  <r>
    <s v="ORD-10866"/>
    <s v="18-Sep-2024"/>
    <x v="7"/>
    <x v="5"/>
    <s v="Moisturizer"/>
    <s v="Moisturizer - Model 600"/>
    <s v="Mumbai"/>
    <s v="West"/>
    <n v="12"/>
    <n v="1784"/>
    <n v="1035"/>
    <n v="0.42"/>
    <n v="1070"/>
    <n v="-420"/>
    <n v="-3.3816425120772944E-2"/>
    <n v="140"/>
    <n v="-2100"/>
    <n v="-0.16908212560386474"/>
    <x v="3"/>
    <x v="0"/>
    <n v="0"/>
    <n v="0"/>
    <n v="0.58799999999999997"/>
  </r>
  <r>
    <s v="ORD-10867"/>
    <s v="23-Feb-2024"/>
    <x v="4"/>
    <x v="7"/>
    <s v="Shoes"/>
    <s v="Shoes - Model 542"/>
    <s v="Ahmedabad"/>
    <s v="West"/>
    <n v="9"/>
    <n v="878"/>
    <n v="825"/>
    <n v="0.06"/>
    <n v="437"/>
    <n v="3492"/>
    <n v="0.47030303030303028"/>
    <n v="130"/>
    <n v="2322"/>
    <n v="0.31272727272727274"/>
    <x v="4"/>
    <x v="0"/>
    <n v="0"/>
    <n v="0"/>
    <n v="8.3999999999999991E-2"/>
  </r>
  <r>
    <s v="ORD-10868"/>
    <s v="24-Apr-2024"/>
    <x v="1"/>
    <x v="7"/>
    <s v="Saree"/>
    <s v="Saree - Model 260"/>
    <s v="Jaipur"/>
    <s v="North"/>
    <n v="11"/>
    <n v="2354"/>
    <n v="1695"/>
    <n v="0.28000000000000003"/>
    <n v="1364"/>
    <n v="3641"/>
    <n v="0.1952802359882006"/>
    <n v="147"/>
    <n v="2024"/>
    <n v="0.10855457227138643"/>
    <x v="4"/>
    <x v="0"/>
    <n v="0"/>
    <n v="0"/>
    <n v="0.39200000000000002"/>
  </r>
  <r>
    <s v="ORD-10869"/>
    <s v="23-Feb-2024"/>
    <x v="4"/>
    <x v="1"/>
    <s v="Self-Help"/>
    <s v="Self-Help - Model 961"/>
    <s v="Jaipur"/>
    <s v="North"/>
    <n v="2"/>
    <n v="7604"/>
    <n v="5475"/>
    <n v="0.28000000000000003"/>
    <n v="3696"/>
    <n v="3558"/>
    <n v="0.32493150684931504"/>
    <n v="118"/>
    <n v="3322"/>
    <n v="0.30337899543378993"/>
    <x v="1"/>
    <x v="0"/>
    <n v="0"/>
    <n v="1"/>
    <n v="0.74199999999999999"/>
  </r>
  <r>
    <s v="ORD-10870"/>
    <s v="16-Mar-2024"/>
    <x v="2"/>
    <x v="6"/>
    <s v="Curtain"/>
    <s v="Curtain - Model 389"/>
    <s v="Bangalore"/>
    <s v="South"/>
    <n v="7"/>
    <n v="5151"/>
    <n v="4945"/>
    <n v="0.04"/>
    <n v="2991"/>
    <n v="13678"/>
    <n v="0.39514661274014157"/>
    <n v="138"/>
    <n v="12712"/>
    <n v="0.36723963599595549"/>
    <x v="1"/>
    <x v="0"/>
    <n v="0"/>
    <n v="1"/>
    <n v="0.40599999999999997"/>
  </r>
  <r>
    <s v="ORD-10871"/>
    <s v="20-Sep-2024"/>
    <x v="7"/>
    <x v="5"/>
    <s v="Serum"/>
    <s v="Serum - Model 139"/>
    <s v="Pune"/>
    <s v="West"/>
    <n v="9"/>
    <n v="4984"/>
    <n v="3588"/>
    <n v="0.28000000000000003"/>
    <n v="2403"/>
    <n v="10665"/>
    <n v="0.3302675585284281"/>
    <n v="82"/>
    <n v="9927"/>
    <n v="0.30741360089186176"/>
    <x v="3"/>
    <x v="0"/>
    <n v="0"/>
    <n v="0"/>
    <n v="0.39200000000000002"/>
  </r>
  <r>
    <s v="ORD-10872"/>
    <s v="27-May-2024"/>
    <x v="6"/>
    <x v="5"/>
    <s v="Lipstick"/>
    <s v="Lipstick - Model 784"/>
    <s v="Ahmedabad"/>
    <s v="West"/>
    <n v="16"/>
    <n v="6415"/>
    <n v="5260"/>
    <n v="0.18"/>
    <n v="3368"/>
    <n v="30272"/>
    <n v="0.35969581749049429"/>
    <n v="102"/>
    <n v="28640"/>
    <n v="0.34030418250950573"/>
    <x v="2"/>
    <x v="1"/>
    <n v="0"/>
    <n v="0"/>
    <n v="0.252"/>
  </r>
  <r>
    <s v="ORD-10873"/>
    <s v="14-May-2024"/>
    <x v="6"/>
    <x v="3"/>
    <s v="Rice"/>
    <s v="Rice - Model 353"/>
    <s v="Pune"/>
    <s v="West"/>
    <n v="4"/>
    <n v="1574"/>
    <n v="897"/>
    <n v="0.43"/>
    <n v="994"/>
    <n v="-388"/>
    <n v="-0.10813823857302118"/>
    <n v="82"/>
    <n v="-716"/>
    <n v="-0.1995540691192865"/>
    <x v="0"/>
    <x v="3"/>
    <n v="1"/>
    <n v="0"/>
    <n v="0.60199999999999998"/>
  </r>
  <r>
    <s v="ORD-10874"/>
    <s v="27-Aug-2024"/>
    <x v="8"/>
    <x v="3"/>
    <s v="Spices"/>
    <s v="Spices - Model 521"/>
    <s v="Hyderabad"/>
    <s v="South"/>
    <n v="1"/>
    <n v="2469"/>
    <n v="1901"/>
    <n v="0.23"/>
    <n v="1757"/>
    <n v="144"/>
    <n v="7.5749605470804837E-2"/>
    <n v="147"/>
    <n v="-3"/>
    <n v="-1.5781167806417674E-3"/>
    <x v="2"/>
    <x v="0"/>
    <n v="0"/>
    <n v="0"/>
    <n v="0.32200000000000001"/>
  </r>
  <r>
    <s v="ORD-10875"/>
    <s v="11-Nov-2024"/>
    <x v="0"/>
    <x v="4"/>
    <s v="Remote Car"/>
    <s v="Remote Car - Model 928"/>
    <s v="Ahmedabad"/>
    <s v="West"/>
    <n v="14"/>
    <n v="3310"/>
    <n v="1953"/>
    <n v="0.41"/>
    <n v="1635"/>
    <n v="4452"/>
    <n v="0.16282642089093702"/>
    <n v="139"/>
    <n v="2506"/>
    <n v="9.1653865847414237E-2"/>
    <x v="4"/>
    <x v="0"/>
    <n v="0"/>
    <n v="0"/>
    <n v="0.57399999999999995"/>
  </r>
  <r>
    <s v="ORD-10876"/>
    <s v="14-Aug-2024"/>
    <x v="8"/>
    <x v="5"/>
    <s v="Sunscreen"/>
    <s v="Sunscreen - Model 996"/>
    <s v="Bangalore"/>
    <s v="South"/>
    <n v="18"/>
    <n v="1808"/>
    <n v="1302"/>
    <n v="0.28000000000000003"/>
    <n v="1323"/>
    <n v="-378"/>
    <n v="-1.6129032258064516E-2"/>
    <n v="122"/>
    <n v="-2574"/>
    <n v="-0.1098310291858679"/>
    <x v="4"/>
    <x v="0"/>
    <n v="0"/>
    <n v="0"/>
    <n v="0.39200000000000002"/>
  </r>
  <r>
    <s v="ORD-10877"/>
    <s v="01-Dec-2024"/>
    <x v="10"/>
    <x v="4"/>
    <s v="Action Figure"/>
    <s v="Action Figure - Model 899"/>
    <s v="Kolkata"/>
    <s v="East"/>
    <n v="12"/>
    <n v="6181"/>
    <n v="4636"/>
    <n v="0.25"/>
    <n v="3889"/>
    <n v="8964"/>
    <n v="0.16113028472821397"/>
    <n v="108"/>
    <n v="7668"/>
    <n v="0.13783433994823124"/>
    <x v="4"/>
    <x v="1"/>
    <n v="0"/>
    <n v="0"/>
    <n v="0.35"/>
  </r>
  <r>
    <s v="ORD-10878"/>
    <s v="13-Sep-2024"/>
    <x v="7"/>
    <x v="5"/>
    <s v="Lipstick"/>
    <s v="Lipstick - Model 920"/>
    <s v="Bangalore"/>
    <s v="South"/>
    <n v="12"/>
    <n v="2786"/>
    <n v="2507"/>
    <n v="0.1"/>
    <n v="1829"/>
    <n v="8136"/>
    <n v="0.27044276027124053"/>
    <n v="171"/>
    <n v="6084"/>
    <n v="0.20223374551256482"/>
    <x v="2"/>
    <x v="3"/>
    <n v="1"/>
    <n v="0"/>
    <n v="0.13999999999999999"/>
  </r>
  <r>
    <s v="ORD-10879"/>
    <s v="04-Sep-2024"/>
    <x v="7"/>
    <x v="4"/>
    <s v="Remote Car"/>
    <s v="Remote Car - Model 143"/>
    <s v="Bangalore"/>
    <s v="South"/>
    <n v="10"/>
    <n v="2551"/>
    <n v="2296"/>
    <n v="0.1"/>
    <n v="1710"/>
    <n v="5860"/>
    <n v="0.25522648083623695"/>
    <n v="67"/>
    <n v="5190"/>
    <n v="0.22604529616724739"/>
    <x v="4"/>
    <x v="3"/>
    <n v="1"/>
    <n v="0"/>
    <n v="0.13999999999999999"/>
  </r>
  <r>
    <s v="ORD-10880"/>
    <s v="21-Jul-2024"/>
    <x v="3"/>
    <x v="4"/>
    <s v="Board Game"/>
    <s v="Board Game - Model 937"/>
    <s v="Chennai"/>
    <s v="South"/>
    <n v="3"/>
    <n v="797"/>
    <n v="614"/>
    <n v="0.23"/>
    <n v="515"/>
    <n v="297"/>
    <n v="0.16123778501628663"/>
    <n v="140"/>
    <n v="-123"/>
    <n v="-6.6775244299674269E-2"/>
    <x v="2"/>
    <x v="2"/>
    <n v="0"/>
    <n v="0"/>
    <n v="0.32200000000000001"/>
  </r>
  <r>
    <s v="ORD-10881"/>
    <s v="05-Oct-2024"/>
    <x v="11"/>
    <x v="7"/>
    <s v="Jacket"/>
    <s v="Jacket - Model 911"/>
    <s v="Pune"/>
    <s v="West"/>
    <n v="7"/>
    <n v="6685"/>
    <n v="4078"/>
    <n v="0.39"/>
    <n v="4510"/>
    <n v="-3024"/>
    <n v="-0.10593428151054439"/>
    <n v="94"/>
    <n v="-3682"/>
    <n v="-0.12898479646885727"/>
    <x v="2"/>
    <x v="0"/>
    <n v="0"/>
    <n v="0"/>
    <n v="0.54599999999999993"/>
  </r>
  <r>
    <s v="ORD-10882"/>
    <s v="09-Feb-2024"/>
    <x v="4"/>
    <x v="3"/>
    <s v="Pulses"/>
    <s v="Pulses - Model 398"/>
    <s v="Pune"/>
    <s v="West"/>
    <n v="3"/>
    <n v="1934"/>
    <n v="1586"/>
    <n v="0.18"/>
    <n v="962"/>
    <n v="1872"/>
    <n v="0.39344262295081966"/>
    <n v="73"/>
    <n v="1653"/>
    <n v="0.34741488020176547"/>
    <x v="3"/>
    <x v="0"/>
    <n v="0"/>
    <n v="0"/>
    <n v="0.252"/>
  </r>
  <r>
    <s v="ORD-10883"/>
    <s v="24-Aug-2024"/>
    <x v="8"/>
    <x v="4"/>
    <s v="Puzzle"/>
    <s v="Puzzle - Model 881"/>
    <s v="Jaipur"/>
    <s v="North"/>
    <n v="4"/>
    <n v="3728"/>
    <n v="2759"/>
    <n v="0.26"/>
    <n v="1524"/>
    <n v="4940"/>
    <n v="0.44762595143167816"/>
    <n v="146"/>
    <n v="4356"/>
    <n v="0.39470822761870245"/>
    <x v="0"/>
    <x v="0"/>
    <n v="0"/>
    <n v="0"/>
    <n v="0.36399999999999999"/>
  </r>
  <r>
    <s v="ORD-10884"/>
    <s v="10-Nov-2024"/>
    <x v="0"/>
    <x v="1"/>
    <s v="Self-Help"/>
    <s v="Self-Help - Model 929"/>
    <s v="Delhi"/>
    <s v="North"/>
    <n v="4"/>
    <n v="4575"/>
    <n v="4163"/>
    <n v="0.09"/>
    <n v="3339"/>
    <n v="3296"/>
    <n v="0.19793418208023061"/>
    <n v="119"/>
    <n v="2820"/>
    <n v="0.16934902714388661"/>
    <x v="2"/>
    <x v="0"/>
    <n v="0"/>
    <n v="0"/>
    <n v="0.126"/>
  </r>
  <r>
    <s v="ORD-10885"/>
    <s v="17-Aug-2024"/>
    <x v="8"/>
    <x v="5"/>
    <s v="Moisturizer"/>
    <s v="Moisturizer - Model 885"/>
    <s v="Ahmedabad"/>
    <s v="West"/>
    <n v="9"/>
    <n v="3412"/>
    <n v="2286"/>
    <n v="0.33"/>
    <n v="2361"/>
    <n v="-675"/>
    <n v="-3.2808398950131233E-2"/>
    <n v="35"/>
    <n v="-990"/>
    <n v="-4.8118985126859144E-2"/>
    <x v="3"/>
    <x v="2"/>
    <n v="0"/>
    <n v="0"/>
    <n v="0.46199999999999997"/>
  </r>
  <r>
    <s v="ORD-10886"/>
    <s v="23-May-2024"/>
    <x v="6"/>
    <x v="5"/>
    <s v="Sunscreen"/>
    <s v="Sunscreen - Model 913"/>
    <s v="Ahmedabad"/>
    <s v="West"/>
    <n v="18"/>
    <n v="4099"/>
    <n v="2336"/>
    <n v="0.43"/>
    <n v="1978"/>
    <n v="6444"/>
    <n v="0.15325342465753425"/>
    <n v="99"/>
    <n v="4662"/>
    <n v="0.11087328767123288"/>
    <x v="0"/>
    <x v="2"/>
    <n v="0"/>
    <n v="0"/>
    <n v="0.60199999999999998"/>
  </r>
  <r>
    <s v="ORD-10887"/>
    <s v="03-Dec-2024"/>
    <x v="10"/>
    <x v="7"/>
    <s v="Shoes"/>
    <s v="Shoes - Model 816"/>
    <s v="Delhi"/>
    <s v="North"/>
    <n v="13"/>
    <n v="1193"/>
    <n v="1181"/>
    <n v="0.01"/>
    <n v="694"/>
    <n v="6331"/>
    <n v="0.41236240474174429"/>
    <n v="48"/>
    <n v="5707"/>
    <n v="0.37171888230313294"/>
    <x v="1"/>
    <x v="1"/>
    <n v="0"/>
    <n v="1"/>
    <n v="0.36399999999999999"/>
  </r>
  <r>
    <s v="ORD-10888"/>
    <s v="14-Jan-2024"/>
    <x v="9"/>
    <x v="3"/>
    <s v="Oil"/>
    <s v="Oil - Model 741"/>
    <s v="Jaipur"/>
    <s v="North"/>
    <n v="16"/>
    <n v="1291"/>
    <n v="788"/>
    <n v="0.39"/>
    <n v="705"/>
    <n v="1328"/>
    <n v="0.10532994923857868"/>
    <n v="31"/>
    <n v="832"/>
    <n v="6.5989847715736044E-2"/>
    <x v="2"/>
    <x v="0"/>
    <n v="0"/>
    <n v="0"/>
    <n v="0.54599999999999993"/>
  </r>
  <r>
    <s v="ORD-10889"/>
    <s v="09-Nov-2024"/>
    <x v="0"/>
    <x v="1"/>
    <s v="Comic"/>
    <s v="Comic - Model 480"/>
    <s v="Lucknow"/>
    <s v="North"/>
    <n v="6"/>
    <n v="1304"/>
    <n v="991"/>
    <n v="0.24"/>
    <n v="615"/>
    <n v="2256"/>
    <n v="0.37941473259334008"/>
    <n v="122"/>
    <n v="1524"/>
    <n v="0.25630676084762866"/>
    <x v="4"/>
    <x v="0"/>
    <n v="0"/>
    <n v="0"/>
    <n v="0.33599999999999997"/>
  </r>
  <r>
    <s v="ORD-10890"/>
    <s v="07-Aug-2024"/>
    <x v="8"/>
    <x v="1"/>
    <s v="Self-Help"/>
    <s v="Self-Help - Model 268"/>
    <s v="Jaipur"/>
    <s v="North"/>
    <n v="16"/>
    <n v="277"/>
    <n v="224"/>
    <n v="0.19"/>
    <n v="125"/>
    <n v="1584"/>
    <n v="0.4419642857142857"/>
    <n v="40"/>
    <n v="944"/>
    <n v="0.26339285714285715"/>
    <x v="2"/>
    <x v="0"/>
    <n v="0"/>
    <n v="0"/>
    <n v="0.26599999999999996"/>
  </r>
  <r>
    <s v="ORD-10891"/>
    <s v="04-Dec-2024"/>
    <x v="10"/>
    <x v="3"/>
    <s v="Rice"/>
    <s v="Rice - Model 196"/>
    <s v="Mumbai"/>
    <s v="West"/>
    <n v="20"/>
    <n v="3856"/>
    <n v="3586"/>
    <n v="7.0000000000000007E-2"/>
    <n v="2015"/>
    <n v="31420"/>
    <n v="0.43809258226436143"/>
    <n v="114"/>
    <n v="29140"/>
    <n v="0.40630228667038482"/>
    <x v="1"/>
    <x v="0"/>
    <n v="0"/>
    <n v="1"/>
    <n v="0.44799999999999995"/>
  </r>
  <r>
    <s v="ORD-10892"/>
    <s v="09-Apr-2024"/>
    <x v="1"/>
    <x v="2"/>
    <s v="Dumbbells"/>
    <s v="Dumbbells - Model 698"/>
    <s v="Chennai"/>
    <s v="South"/>
    <n v="12"/>
    <n v="5071"/>
    <n v="4158"/>
    <n v="0.18"/>
    <n v="2481"/>
    <n v="20124"/>
    <n v="0.4033189033189033"/>
    <n v="111"/>
    <n v="18792"/>
    <n v="0.37662337662337664"/>
    <x v="1"/>
    <x v="0"/>
    <n v="0"/>
    <n v="1"/>
    <n v="0.60199999999999998"/>
  </r>
  <r>
    <s v="ORD-10893"/>
    <s v="07-Dec-2024"/>
    <x v="10"/>
    <x v="2"/>
    <s v="Cricket Bat"/>
    <s v="Cricket Bat - Model 369"/>
    <s v="Lucknow"/>
    <s v="North"/>
    <n v="4"/>
    <n v="1188"/>
    <n v="903"/>
    <n v="0.24"/>
    <n v="743"/>
    <n v="640"/>
    <n v="0.17718715393133999"/>
    <n v="87"/>
    <n v="292"/>
    <n v="8.0841638981173872E-2"/>
    <x v="3"/>
    <x v="0"/>
    <n v="0"/>
    <n v="0"/>
    <n v="0.33599999999999997"/>
  </r>
  <r>
    <s v="ORD-10894"/>
    <s v="26-May-2024"/>
    <x v="6"/>
    <x v="3"/>
    <s v="Oil"/>
    <s v="Oil - Model 272"/>
    <s v="Mumbai"/>
    <s v="West"/>
    <n v="8"/>
    <n v="7915"/>
    <n v="7598"/>
    <n v="0.04"/>
    <n v="5391"/>
    <n v="17656"/>
    <n v="0.29047117662542776"/>
    <n v="52"/>
    <n v="17240"/>
    <n v="0.28362727033429852"/>
    <x v="1"/>
    <x v="0"/>
    <n v="0"/>
    <n v="1"/>
    <n v="0.40599999999999997"/>
  </r>
  <r>
    <s v="ORD-10895"/>
    <s v="02-Feb-2024"/>
    <x v="4"/>
    <x v="6"/>
    <s v="Lamp"/>
    <s v="Lamp - Model 926"/>
    <s v="Ahmedabad"/>
    <s v="West"/>
    <n v="14"/>
    <n v="5386"/>
    <n v="4578"/>
    <n v="0.15"/>
    <n v="3098"/>
    <n v="20720"/>
    <n v="0.32328527741371776"/>
    <n v="48"/>
    <n v="20048"/>
    <n v="0.31280034949759722"/>
    <x v="3"/>
    <x v="3"/>
    <n v="1"/>
    <n v="0"/>
    <n v="0.21"/>
  </r>
  <r>
    <s v="ORD-10896"/>
    <s v="16-Dec-2024"/>
    <x v="10"/>
    <x v="1"/>
    <s v="Textbook"/>
    <s v="Textbook - Model 958"/>
    <s v="Jaipur"/>
    <s v="North"/>
    <n v="11"/>
    <n v="4339"/>
    <n v="2603"/>
    <n v="0.4"/>
    <n v="3015"/>
    <n v="-4532"/>
    <n v="-0.15827890895121013"/>
    <n v="173"/>
    <n v="-6435"/>
    <n v="-0.2247406838263542"/>
    <x v="4"/>
    <x v="2"/>
    <n v="0"/>
    <n v="0"/>
    <n v="0.55999999999999994"/>
  </r>
  <r>
    <s v="ORD-10897"/>
    <s v="15-Sep-2024"/>
    <x v="7"/>
    <x v="3"/>
    <s v="Rice"/>
    <s v="Rice - Model 801"/>
    <s v="Delhi"/>
    <s v="North"/>
    <n v="18"/>
    <n v="7218"/>
    <n v="5125"/>
    <n v="0.28999999999999998"/>
    <n v="3337"/>
    <n v="32184"/>
    <n v="0.34887804878048778"/>
    <n v="160"/>
    <n v="29304"/>
    <n v="0.31765853658536586"/>
    <x v="0"/>
    <x v="0"/>
    <n v="0"/>
    <n v="0"/>
    <n v="0.40599999999999997"/>
  </r>
  <r>
    <s v="ORD-10898"/>
    <s v="07-Jul-2024"/>
    <x v="3"/>
    <x v="5"/>
    <s v="Perfume"/>
    <s v="Perfume - Model 483"/>
    <s v="Bangalore"/>
    <s v="South"/>
    <n v="1"/>
    <n v="1728"/>
    <n v="1452"/>
    <n v="0.16"/>
    <n v="809"/>
    <n v="643"/>
    <n v="0.4428374655647383"/>
    <n v="118"/>
    <n v="525"/>
    <n v="0.36157024793388431"/>
    <x v="4"/>
    <x v="0"/>
    <n v="0"/>
    <n v="0"/>
    <n v="0.22399999999999998"/>
  </r>
  <r>
    <s v="ORD-10899"/>
    <s v="17-May-2024"/>
    <x v="6"/>
    <x v="0"/>
    <s v="Tablet"/>
    <s v="Tablet - Model 379"/>
    <s v="Mumbai"/>
    <s v="West"/>
    <n v="9"/>
    <n v="5205"/>
    <n v="4268"/>
    <n v="0.18"/>
    <n v="3896"/>
    <n v="3348"/>
    <n v="8.7160262417994377E-2"/>
    <n v="136"/>
    <n v="2124"/>
    <n v="5.5295220243673851E-2"/>
    <x v="4"/>
    <x v="1"/>
    <n v="0"/>
    <n v="0"/>
    <n v="0.252"/>
  </r>
  <r>
    <s v="ORD-10900"/>
    <s v="28-Jan-2024"/>
    <x v="9"/>
    <x v="3"/>
    <s v="Spices"/>
    <s v="Spices - Model 747"/>
    <s v="Ahmedabad"/>
    <s v="West"/>
    <n v="16"/>
    <n v="1555"/>
    <n v="1026"/>
    <n v="0.34"/>
    <n v="974"/>
    <n v="832"/>
    <n v="5.0682261208576995E-2"/>
    <n v="112"/>
    <n v="-960"/>
    <n v="-5.8479532163742687E-2"/>
    <x v="2"/>
    <x v="0"/>
    <n v="0"/>
    <n v="0"/>
    <n v="0.47599999999999998"/>
  </r>
  <r>
    <s v="ORD-10901"/>
    <s v="05-Dec-2024"/>
    <x v="10"/>
    <x v="6"/>
    <s v="Pressure Cooker"/>
    <s v="Pressure Cooker - Model 184"/>
    <s v="Pune"/>
    <s v="West"/>
    <n v="4"/>
    <n v="637"/>
    <n v="452"/>
    <n v="0.28999999999999998"/>
    <n v="269"/>
    <n v="732"/>
    <n v="0.40486725663716816"/>
    <n v="45"/>
    <n v="552"/>
    <n v="0.30530973451327431"/>
    <x v="3"/>
    <x v="2"/>
    <n v="0"/>
    <n v="0"/>
    <n v="0.40599999999999997"/>
  </r>
  <r>
    <s v="ORD-10902"/>
    <s v="20-Nov-2024"/>
    <x v="0"/>
    <x v="0"/>
    <s v="Headphones"/>
    <s v="Headphones - Model 957"/>
    <s v="Kolkata"/>
    <s v="East"/>
    <n v="6"/>
    <n v="7265"/>
    <n v="5376"/>
    <n v="0.26"/>
    <n v="5307"/>
    <n v="414"/>
    <n v="1.2834821428571428E-2"/>
    <n v="107"/>
    <n v="-228"/>
    <n v="-7.068452380952381E-3"/>
    <x v="0"/>
    <x v="0"/>
    <n v="0"/>
    <n v="0"/>
    <n v="0.36399999999999999"/>
  </r>
  <r>
    <s v="ORD-10903"/>
    <s v="03-Jan-2024"/>
    <x v="9"/>
    <x v="5"/>
    <s v="Sunscreen"/>
    <s v="Sunscreen - Model 251"/>
    <s v="Chennai"/>
    <s v="South"/>
    <n v="3"/>
    <n v="1546"/>
    <n v="1515"/>
    <n v="0.02"/>
    <n v="948"/>
    <n v="1701"/>
    <n v="0.37425742574257426"/>
    <n v="133"/>
    <n v="1302"/>
    <n v="0.28646864686468648"/>
    <x v="0"/>
    <x v="0"/>
    <n v="0"/>
    <n v="0"/>
    <n v="2.7999999999999997E-2"/>
  </r>
  <r>
    <s v="ORD-10904"/>
    <s v="10-Jan-2024"/>
    <x v="9"/>
    <x v="2"/>
    <s v="Cycle"/>
    <s v="Cycle - Model 459"/>
    <s v="Delhi"/>
    <s v="North"/>
    <n v="11"/>
    <n v="3837"/>
    <n v="2379"/>
    <n v="0.38"/>
    <n v="1650"/>
    <n v="8019"/>
    <n v="0.30643127364438838"/>
    <n v="170"/>
    <n v="6149"/>
    <n v="0.23497267759562843"/>
    <x v="2"/>
    <x v="0"/>
    <n v="0"/>
    <n v="0"/>
    <n v="0.53199999999999992"/>
  </r>
  <r>
    <s v="ORD-10905"/>
    <s v="03-Dec-2024"/>
    <x v="10"/>
    <x v="6"/>
    <s v="Bedsheet"/>
    <s v="Bedsheet - Model 705"/>
    <s v="Mumbai"/>
    <s v="West"/>
    <n v="6"/>
    <n v="6352"/>
    <n v="5717"/>
    <n v="0.1"/>
    <n v="3373"/>
    <n v="14064"/>
    <n v="0.41000524750743395"/>
    <n v="42"/>
    <n v="13812"/>
    <n v="0.40265873709987754"/>
    <x v="1"/>
    <x v="3"/>
    <n v="1"/>
    <n v="1"/>
    <n v="0.49"/>
  </r>
  <r>
    <s v="ORD-10906"/>
    <s v="24-Apr-2024"/>
    <x v="1"/>
    <x v="6"/>
    <s v="Bedsheet"/>
    <s v="Bedsheet - Model 154"/>
    <s v="Pune"/>
    <s v="West"/>
    <n v="10"/>
    <n v="1588"/>
    <n v="1493"/>
    <n v="0.06"/>
    <n v="811"/>
    <n v="6820"/>
    <n v="0.45679839249832555"/>
    <n v="64"/>
    <n v="6180"/>
    <n v="0.41393168117883455"/>
    <x v="1"/>
    <x v="0"/>
    <n v="0"/>
    <n v="1"/>
    <n v="0.43399999999999994"/>
  </r>
  <r>
    <s v="ORD-10907"/>
    <s v="09-May-2024"/>
    <x v="6"/>
    <x v="3"/>
    <s v="Rice"/>
    <s v="Rice - Model 194"/>
    <s v="Ahmedabad"/>
    <s v="West"/>
    <n v="12"/>
    <n v="4714"/>
    <n v="3960"/>
    <n v="0.16"/>
    <n v="2945"/>
    <n v="12180"/>
    <n v="0.25631313131313133"/>
    <n v="97"/>
    <n v="11016"/>
    <n v="0.23181818181818181"/>
    <x v="1"/>
    <x v="1"/>
    <n v="0"/>
    <n v="1"/>
    <n v="0.57399999999999995"/>
  </r>
  <r>
    <s v="ORD-10908"/>
    <s v="05-Jul-2024"/>
    <x v="3"/>
    <x v="5"/>
    <s v="Perfume"/>
    <s v="Perfume - Model 455"/>
    <s v="Chennai"/>
    <s v="South"/>
    <n v="7"/>
    <n v="2869"/>
    <n v="1607"/>
    <n v="0.44"/>
    <n v="1702"/>
    <n v="-665"/>
    <n v="-5.9116365899191038E-2"/>
    <n v="141"/>
    <n v="-1652"/>
    <n v="-0.14685749844430615"/>
    <x v="4"/>
    <x v="3"/>
    <n v="1"/>
    <n v="0"/>
    <n v="0.61599999999999999"/>
  </r>
  <r>
    <s v="ORD-10909"/>
    <s v="07-May-2024"/>
    <x v="6"/>
    <x v="3"/>
    <s v="Rice"/>
    <s v="Rice - Model 132"/>
    <s v="Delhi"/>
    <s v="North"/>
    <n v="17"/>
    <n v="5335"/>
    <n v="4908"/>
    <n v="0.08"/>
    <n v="2395"/>
    <n v="42721"/>
    <n v="0.51202118989405054"/>
    <n v="118"/>
    <n v="40715"/>
    <n v="0.48797881010594946"/>
    <x v="4"/>
    <x v="0"/>
    <n v="0"/>
    <n v="0"/>
    <n v="0.11199999999999999"/>
  </r>
  <r>
    <s v="ORD-10910"/>
    <s v="11-Jan-2024"/>
    <x v="9"/>
    <x v="7"/>
    <s v="Saree"/>
    <s v="Saree - Model 990"/>
    <s v="Mumbai"/>
    <s v="West"/>
    <n v="6"/>
    <n v="3487"/>
    <n v="2964"/>
    <n v="0.15"/>
    <n v="2186"/>
    <n v="4668"/>
    <n v="0.26248313090418351"/>
    <n v="45"/>
    <n v="4398"/>
    <n v="0.24730094466936572"/>
    <x v="4"/>
    <x v="0"/>
    <n v="0"/>
    <n v="0"/>
    <n v="0.21"/>
  </r>
  <r>
    <s v="ORD-10911"/>
    <s v="25-Mar-2024"/>
    <x v="2"/>
    <x v="0"/>
    <s v="Smartwatch"/>
    <s v="Smartwatch - Model 928"/>
    <s v="Lucknow"/>
    <s v="North"/>
    <n v="15"/>
    <n v="4830"/>
    <n v="3333"/>
    <n v="0.31"/>
    <n v="3168"/>
    <n v="2475"/>
    <n v="4.9504950495049507E-2"/>
    <n v="101"/>
    <n v="960"/>
    <n v="1.9201920192019203E-2"/>
    <x v="1"/>
    <x v="0"/>
    <n v="0"/>
    <n v="1"/>
    <n v="0.78400000000000003"/>
  </r>
  <r>
    <s v="ORD-10912"/>
    <s v="16-Jun-2024"/>
    <x v="5"/>
    <x v="4"/>
    <s v="Puzzle"/>
    <s v="Puzzle - Model 141"/>
    <s v="Hyderabad"/>
    <s v="South"/>
    <n v="17"/>
    <n v="1041"/>
    <n v="843"/>
    <n v="0.19"/>
    <n v="515"/>
    <n v="5576"/>
    <n v="0.38908659549228947"/>
    <n v="117"/>
    <n v="3587"/>
    <n v="0.25029655990510086"/>
    <x v="3"/>
    <x v="0"/>
    <n v="0"/>
    <n v="0"/>
    <n v="0.26599999999999996"/>
  </r>
  <r>
    <s v="ORD-10913"/>
    <s v="20-May-2024"/>
    <x v="6"/>
    <x v="5"/>
    <s v="Sunscreen"/>
    <s v="Sunscreen - Model 869"/>
    <s v="Bangalore"/>
    <s v="South"/>
    <n v="5"/>
    <n v="5375"/>
    <n v="3494"/>
    <n v="0.35"/>
    <n v="2251"/>
    <n v="6215"/>
    <n v="0.35575271894676591"/>
    <n v="44"/>
    <n v="5995"/>
    <n v="0.34315970234688037"/>
    <x v="1"/>
    <x v="0"/>
    <n v="0"/>
    <n v="1"/>
    <n v="0.83999999999999986"/>
  </r>
  <r>
    <s v="ORD-10914"/>
    <s v="15-Mar-2024"/>
    <x v="2"/>
    <x v="0"/>
    <s v="Laptop"/>
    <s v="Laptop - Model 305"/>
    <s v="Bangalore"/>
    <s v="South"/>
    <n v="10"/>
    <n v="2599"/>
    <n v="2391"/>
    <n v="0.08"/>
    <n v="1820"/>
    <n v="5710"/>
    <n v="0.23881221246340442"/>
    <n v="95"/>
    <n v="4760"/>
    <n v="0.19907988289418654"/>
    <x v="1"/>
    <x v="0"/>
    <n v="0"/>
    <n v="1"/>
    <n v="0.46199999999999997"/>
  </r>
  <r>
    <s v="ORD-10915"/>
    <s v="01-Jun-2024"/>
    <x v="5"/>
    <x v="3"/>
    <s v="Oil"/>
    <s v="Oil - Model 452"/>
    <s v="Delhi"/>
    <s v="North"/>
    <n v="16"/>
    <n v="4489"/>
    <n v="3681"/>
    <n v="0.18"/>
    <n v="2129"/>
    <n v="24832"/>
    <n v="0.42162455854387393"/>
    <n v="101"/>
    <n v="23216"/>
    <n v="0.39418636240152133"/>
    <x v="0"/>
    <x v="0"/>
    <n v="0"/>
    <n v="0"/>
    <n v="0.252"/>
  </r>
  <r>
    <s v="ORD-10916"/>
    <s v="13-Feb-2024"/>
    <x v="4"/>
    <x v="6"/>
    <s v="Bedsheet"/>
    <s v="Bedsheet - Model 881"/>
    <s v="Bangalore"/>
    <s v="South"/>
    <n v="13"/>
    <n v="6231"/>
    <n v="3739"/>
    <n v="0.4"/>
    <n v="4280"/>
    <n v="-7033"/>
    <n v="-0.14469109387536774"/>
    <n v="140"/>
    <n v="-8853"/>
    <n v="-0.1821342604974592"/>
    <x v="0"/>
    <x v="0"/>
    <n v="0"/>
    <n v="0"/>
    <n v="0.55999999999999994"/>
  </r>
  <r>
    <s v="ORD-10917"/>
    <s v="16-Jun-2024"/>
    <x v="5"/>
    <x v="0"/>
    <s v="Laptop"/>
    <s v="Laptop - Model 723"/>
    <s v="Bangalore"/>
    <s v="South"/>
    <n v="8"/>
    <n v="3079"/>
    <n v="2617"/>
    <n v="0.15"/>
    <n v="2119"/>
    <n v="3984"/>
    <n v="0.19029423003439053"/>
    <n v="122"/>
    <n v="3008"/>
    <n v="0.14367596484524264"/>
    <x v="0"/>
    <x v="0"/>
    <n v="0"/>
    <n v="0"/>
    <n v="0.21"/>
  </r>
  <r>
    <s v="ORD-10918"/>
    <s v="16-Mar-2024"/>
    <x v="2"/>
    <x v="5"/>
    <s v="Moisturizer"/>
    <s v="Moisturizer - Model 316"/>
    <s v="Chennai"/>
    <s v="South"/>
    <n v="14"/>
    <n v="924"/>
    <n v="767"/>
    <n v="0.17"/>
    <n v="428"/>
    <n v="4746"/>
    <n v="0.44198174706649285"/>
    <n v="53"/>
    <n v="4004"/>
    <n v="0.3728813559322034"/>
    <x v="4"/>
    <x v="3"/>
    <n v="1"/>
    <n v="0"/>
    <n v="0.23799999999999999"/>
  </r>
  <r>
    <s v="ORD-10919"/>
    <s v="09-Jan-2024"/>
    <x v="9"/>
    <x v="4"/>
    <s v="Board Game"/>
    <s v="Board Game - Model 267"/>
    <s v="Pune"/>
    <s v="West"/>
    <n v="17"/>
    <n v="6707"/>
    <n v="5299"/>
    <n v="0.21"/>
    <n v="2877"/>
    <n v="41174"/>
    <n v="0.4570673712021136"/>
    <n v="133"/>
    <n v="38913"/>
    <n v="0.43196829590488772"/>
    <x v="2"/>
    <x v="0"/>
    <n v="0"/>
    <n v="0"/>
    <n v="0.29399999999999998"/>
  </r>
  <r>
    <s v="ORD-10920"/>
    <s v="06-Jan-2024"/>
    <x v="9"/>
    <x v="1"/>
    <s v="Self-Help"/>
    <s v="Self-Help - Model 688"/>
    <s v="Jaipur"/>
    <s v="North"/>
    <n v="13"/>
    <n v="5553"/>
    <n v="5497"/>
    <n v="0.01"/>
    <n v="3492"/>
    <n v="26065"/>
    <n v="0.36474440603965802"/>
    <n v="131"/>
    <n v="24362"/>
    <n v="0.34091322539567037"/>
    <x v="0"/>
    <x v="0"/>
    <n v="0"/>
    <n v="0"/>
    <n v="1.3999999999999999E-2"/>
  </r>
  <r>
    <s v="ORD-10921"/>
    <s v="24-May-2024"/>
    <x v="6"/>
    <x v="7"/>
    <s v="Jacket"/>
    <s v="Jacket - Model 926"/>
    <s v="Ahmedabad"/>
    <s v="West"/>
    <n v="17"/>
    <n v="3108"/>
    <n v="2455"/>
    <n v="0.21"/>
    <n v="1608"/>
    <n v="14399"/>
    <n v="0.34501018329938898"/>
    <n v="110"/>
    <n v="12529"/>
    <n v="0.30020366598778003"/>
    <x v="4"/>
    <x v="0"/>
    <n v="0"/>
    <n v="0"/>
    <n v="0.29399999999999998"/>
  </r>
  <r>
    <s v="ORD-10922"/>
    <s v="18-Jul-2024"/>
    <x v="3"/>
    <x v="4"/>
    <s v="Action Figure"/>
    <s v="Action Figure - Model 253"/>
    <s v="Mumbai"/>
    <s v="West"/>
    <n v="11"/>
    <n v="7596"/>
    <n v="5165"/>
    <n v="0.32"/>
    <n v="3724"/>
    <n v="15851"/>
    <n v="0.27899322362052276"/>
    <n v="107"/>
    <n v="14674"/>
    <n v="0.25827686350435625"/>
    <x v="3"/>
    <x v="0"/>
    <n v="0"/>
    <n v="0"/>
    <n v="0.44799999999999995"/>
  </r>
  <r>
    <s v="ORD-10923"/>
    <s v="15-Jan-2024"/>
    <x v="9"/>
    <x v="2"/>
    <s v="Shoes"/>
    <s v="Shoes - Model 224"/>
    <s v="Ahmedabad"/>
    <s v="West"/>
    <n v="15"/>
    <n v="3063"/>
    <n v="1838"/>
    <n v="0.4"/>
    <n v="1961"/>
    <n v="-1845"/>
    <n v="-6.6920565832426546E-2"/>
    <n v="68"/>
    <n v="-2865"/>
    <n v="-0.10391730141458107"/>
    <x v="4"/>
    <x v="3"/>
    <n v="1"/>
    <n v="0"/>
    <n v="0.55999999999999994"/>
  </r>
  <r>
    <s v="ORD-10924"/>
    <s v="18-Jan-2024"/>
    <x v="9"/>
    <x v="2"/>
    <s v="Cricket Bat"/>
    <s v="Cricket Bat - Model 400"/>
    <s v="Kolkata"/>
    <s v="East"/>
    <n v="14"/>
    <n v="337"/>
    <n v="286"/>
    <n v="0.15"/>
    <n v="210"/>
    <n v="1064"/>
    <n v="0.26573426573426573"/>
    <n v="119"/>
    <n v="-602"/>
    <n v="-0.15034965034965034"/>
    <x v="4"/>
    <x v="0"/>
    <n v="0"/>
    <n v="0"/>
    <n v="0.21"/>
  </r>
  <r>
    <s v="ORD-10925"/>
    <s v="08-Jul-2024"/>
    <x v="3"/>
    <x v="6"/>
    <s v="Mixer"/>
    <s v="Mixer - Model 647"/>
    <s v="Delhi"/>
    <s v="North"/>
    <n v="5"/>
    <n v="5869"/>
    <n v="4226"/>
    <n v="0.28000000000000003"/>
    <n v="3233"/>
    <n v="4965"/>
    <n v="0.23497397065783246"/>
    <n v="71"/>
    <n v="4610"/>
    <n v="0.21817321344060578"/>
    <x v="0"/>
    <x v="0"/>
    <n v="0"/>
    <n v="0"/>
    <n v="0.39200000000000002"/>
  </r>
  <r>
    <s v="ORD-10926"/>
    <s v="27-Dec-2024"/>
    <x v="10"/>
    <x v="3"/>
    <s v="Atta"/>
    <s v="Atta - Model 178"/>
    <s v="Kolkata"/>
    <s v="East"/>
    <n v="12"/>
    <n v="499"/>
    <n v="364"/>
    <n v="0.27"/>
    <n v="326"/>
    <n v="456"/>
    <n v="0.1043956043956044"/>
    <n v="152"/>
    <n v="-1368"/>
    <n v="-0.31318681318681318"/>
    <x v="2"/>
    <x v="1"/>
    <n v="0"/>
    <n v="0"/>
    <n v="0.378"/>
  </r>
  <r>
    <s v="ORD-10927"/>
    <s v="11-Feb-2024"/>
    <x v="4"/>
    <x v="2"/>
    <s v="Dumbbells"/>
    <s v="Dumbbells - Model 510"/>
    <s v="Mumbai"/>
    <s v="West"/>
    <n v="6"/>
    <n v="7613"/>
    <n v="6699"/>
    <n v="0.12"/>
    <n v="4785"/>
    <n v="11484"/>
    <n v="0.2857142857142857"/>
    <n v="162"/>
    <n v="10512"/>
    <n v="0.26153157187639947"/>
    <x v="0"/>
    <x v="3"/>
    <n v="1"/>
    <n v="0"/>
    <n v="0.16799999999999998"/>
  </r>
  <r>
    <s v="ORD-10928"/>
    <s v="09-Oct-2024"/>
    <x v="11"/>
    <x v="2"/>
    <s v="Cycle"/>
    <s v="Cycle - Model 626"/>
    <s v="Jaipur"/>
    <s v="North"/>
    <n v="8"/>
    <n v="5615"/>
    <n v="5503"/>
    <n v="0.02"/>
    <n v="3373"/>
    <n v="17040"/>
    <n v="0.38706160276212975"/>
    <n v="62"/>
    <n v="16544"/>
    <n v="0.37579502089769218"/>
    <x v="0"/>
    <x v="0"/>
    <n v="0"/>
    <n v="0"/>
    <n v="2.7999999999999997E-2"/>
  </r>
  <r>
    <s v="ORD-10929"/>
    <s v="09-Mar-2024"/>
    <x v="2"/>
    <x v="0"/>
    <s v="Tablet"/>
    <s v="Tablet - Model 508"/>
    <s v="Bangalore"/>
    <s v="South"/>
    <n v="10"/>
    <n v="2327"/>
    <n v="1908"/>
    <n v="0.18"/>
    <n v="946"/>
    <n v="9620"/>
    <n v="0.50419287211740038"/>
    <n v="92"/>
    <n v="8700"/>
    <n v="0.45597484276729561"/>
    <x v="1"/>
    <x v="0"/>
    <n v="0"/>
    <n v="1"/>
    <n v="0.60199999999999998"/>
  </r>
  <r>
    <s v="ORD-10930"/>
    <s v="11-Nov-2024"/>
    <x v="0"/>
    <x v="7"/>
    <s v="Jeans"/>
    <s v="Jeans - Model 330"/>
    <s v="Mumbai"/>
    <s v="West"/>
    <n v="11"/>
    <n v="1924"/>
    <n v="1385"/>
    <n v="0.28000000000000003"/>
    <n v="1260"/>
    <n v="1375"/>
    <n v="9.0252707581227443E-2"/>
    <n v="121"/>
    <n v="44"/>
    <n v="2.8880866425992778E-3"/>
    <x v="0"/>
    <x v="0"/>
    <n v="0"/>
    <n v="0"/>
    <n v="0.39200000000000002"/>
  </r>
  <r>
    <s v="ORD-10931"/>
    <s v="18-Jun-2024"/>
    <x v="5"/>
    <x v="4"/>
    <s v="Remote Car"/>
    <s v="Remote Car - Model 671"/>
    <s v="Mumbai"/>
    <s v="West"/>
    <n v="11"/>
    <n v="2857"/>
    <n v="2400"/>
    <n v="0.16"/>
    <n v="1587"/>
    <n v="8943"/>
    <n v="0.33875"/>
    <n v="99"/>
    <n v="7854"/>
    <n v="0.29749999999999999"/>
    <x v="0"/>
    <x v="0"/>
    <n v="0"/>
    <n v="0"/>
    <n v="0.22399999999999998"/>
  </r>
  <r>
    <s v="ORD-10932"/>
    <s v="13-Nov-2024"/>
    <x v="0"/>
    <x v="2"/>
    <s v="Dumbbells"/>
    <s v="Dumbbells - Model 133"/>
    <s v="Lucknow"/>
    <s v="North"/>
    <n v="3"/>
    <n v="5125"/>
    <n v="3844"/>
    <n v="0.25"/>
    <n v="2669"/>
    <n v="3525"/>
    <n v="0.30567117585848075"/>
    <n v="61"/>
    <n v="3342"/>
    <n v="0.28980228928199792"/>
    <x v="3"/>
    <x v="0"/>
    <n v="0"/>
    <n v="0"/>
    <n v="0.35"/>
  </r>
  <r>
    <s v="ORD-10933"/>
    <s v="15-Jun-2024"/>
    <x v="5"/>
    <x v="3"/>
    <s v="Atta"/>
    <s v="Atta - Model 259"/>
    <s v="Lucknow"/>
    <s v="North"/>
    <n v="19"/>
    <n v="1501"/>
    <n v="1261"/>
    <n v="0.16"/>
    <n v="827"/>
    <n v="8246"/>
    <n v="0.34417129262490087"/>
    <n v="179"/>
    <n v="4845"/>
    <n v="0.20222045995241872"/>
    <x v="2"/>
    <x v="0"/>
    <n v="0"/>
    <n v="0"/>
    <n v="0.22399999999999998"/>
  </r>
  <r>
    <s v="ORD-10934"/>
    <s v="16-Dec-2024"/>
    <x v="10"/>
    <x v="5"/>
    <s v="Perfume"/>
    <s v="Perfume - Model 650"/>
    <s v="Bangalore"/>
    <s v="South"/>
    <n v="13"/>
    <n v="4936"/>
    <n v="3060"/>
    <n v="0.38"/>
    <n v="2142"/>
    <n v="11934"/>
    <n v="0.3"/>
    <n v="63"/>
    <n v="11115"/>
    <n v="0.27941176470588236"/>
    <x v="2"/>
    <x v="0"/>
    <n v="0"/>
    <n v="0"/>
    <n v="0.53199999999999992"/>
  </r>
  <r>
    <s v="ORD-10935"/>
    <s v="25-Mar-2024"/>
    <x v="2"/>
    <x v="4"/>
    <s v="Doll"/>
    <s v="Doll - Model 518"/>
    <s v="Kolkata"/>
    <s v="East"/>
    <n v="7"/>
    <n v="3462"/>
    <n v="2527"/>
    <n v="0.27"/>
    <n v="1772"/>
    <n v="5285"/>
    <n v="0.29877324891175305"/>
    <n v="84"/>
    <n v="4697"/>
    <n v="0.2655322516818362"/>
    <x v="2"/>
    <x v="0"/>
    <n v="0"/>
    <n v="0"/>
    <n v="0.378"/>
  </r>
  <r>
    <s v="ORD-10936"/>
    <s v="25-Nov-2024"/>
    <x v="0"/>
    <x v="1"/>
    <s v="Comic"/>
    <s v="Comic - Model 648"/>
    <s v="Jaipur"/>
    <s v="North"/>
    <n v="13"/>
    <n v="1956"/>
    <n v="1604"/>
    <n v="0.18"/>
    <n v="1301"/>
    <n v="3939"/>
    <n v="0.18890274314214464"/>
    <n v="73"/>
    <n v="2990"/>
    <n v="0.14339152119700749"/>
    <x v="0"/>
    <x v="2"/>
    <n v="0"/>
    <n v="0"/>
    <n v="0.252"/>
  </r>
  <r>
    <s v="ORD-10937"/>
    <s v="10-Jul-2024"/>
    <x v="3"/>
    <x v="0"/>
    <s v="Tablet"/>
    <s v="Tablet - Model 949"/>
    <s v="Kolkata"/>
    <s v="East"/>
    <n v="15"/>
    <n v="5318"/>
    <n v="3669"/>
    <n v="0.31"/>
    <n v="2310"/>
    <n v="20385"/>
    <n v="0.37040065412919049"/>
    <n v="117"/>
    <n v="18630"/>
    <n v="0.33851185609157808"/>
    <x v="0"/>
    <x v="0"/>
    <n v="0"/>
    <n v="0"/>
    <n v="0.434"/>
  </r>
  <r>
    <s v="ORD-10938"/>
    <s v="01-Nov-2024"/>
    <x v="0"/>
    <x v="5"/>
    <s v="Serum"/>
    <s v="Serum - Model 724"/>
    <s v="Lucknow"/>
    <s v="North"/>
    <n v="17"/>
    <n v="7991"/>
    <n v="5833"/>
    <n v="0.27"/>
    <n v="5244"/>
    <n v="10013"/>
    <n v="0.10097719869706841"/>
    <n v="172"/>
    <n v="7089"/>
    <n v="7.1489799417109548E-2"/>
    <x v="4"/>
    <x v="0"/>
    <n v="0"/>
    <n v="0"/>
    <n v="0.378"/>
  </r>
  <r>
    <s v="ORD-10939"/>
    <s v="16-Nov-2024"/>
    <x v="0"/>
    <x v="7"/>
    <s v="Saree"/>
    <s v="Saree - Model 123"/>
    <s v="Lucknow"/>
    <s v="North"/>
    <n v="13"/>
    <n v="4506"/>
    <n v="2749"/>
    <n v="0.39"/>
    <n v="3143"/>
    <n v="-5122"/>
    <n v="-0.14332484539832666"/>
    <n v="54"/>
    <n v="-5824"/>
    <n v="-0.16296835212804656"/>
    <x v="4"/>
    <x v="0"/>
    <n v="0"/>
    <n v="0"/>
    <n v="0.54599999999999993"/>
  </r>
  <r>
    <s v="ORD-10940"/>
    <s v="23-Aug-2024"/>
    <x v="8"/>
    <x v="5"/>
    <s v="Lipstick"/>
    <s v="Lipstick - Model 235"/>
    <s v="Chennai"/>
    <s v="South"/>
    <n v="3"/>
    <n v="7177"/>
    <n v="6531"/>
    <n v="0.09"/>
    <n v="4029"/>
    <n v="7506"/>
    <n v="0.3830960036747818"/>
    <n v="67"/>
    <n v="7305"/>
    <n v="0.37283723778900629"/>
    <x v="3"/>
    <x v="0"/>
    <n v="0"/>
    <n v="0"/>
    <n v="0.126"/>
  </r>
  <r>
    <s v="ORD-10941"/>
    <s v="15-Mar-2024"/>
    <x v="2"/>
    <x v="7"/>
    <s v="Jacket"/>
    <s v="Jacket - Model 957"/>
    <s v="Kolkata"/>
    <s v="East"/>
    <n v="6"/>
    <n v="2110"/>
    <n v="1435"/>
    <n v="0.32"/>
    <n v="896"/>
    <n v="3234"/>
    <n v="0.37560975609756098"/>
    <n v="142"/>
    <n v="2382"/>
    <n v="0.27665505226480835"/>
    <x v="0"/>
    <x v="1"/>
    <n v="0"/>
    <n v="0"/>
    <n v="0.44799999999999995"/>
  </r>
  <r>
    <s v="ORD-10942"/>
    <s v="03-Jul-2024"/>
    <x v="3"/>
    <x v="4"/>
    <s v="Puzzle"/>
    <s v="Puzzle - Model 833"/>
    <s v="Jaipur"/>
    <s v="North"/>
    <n v="4"/>
    <n v="5783"/>
    <n v="4222"/>
    <n v="0.27"/>
    <n v="4315"/>
    <n v="-372"/>
    <n v="-2.2027475130270015E-2"/>
    <n v="137"/>
    <n v="-920"/>
    <n v="-5.4476551397441973E-2"/>
    <x v="0"/>
    <x v="0"/>
    <n v="0"/>
    <n v="0"/>
    <n v="0.378"/>
  </r>
  <r>
    <s v="ORD-10943"/>
    <s v="26-May-2024"/>
    <x v="6"/>
    <x v="4"/>
    <s v="Action Figure"/>
    <s v="Action Figure - Model 472"/>
    <s v="Pune"/>
    <s v="West"/>
    <n v="17"/>
    <n v="5108"/>
    <n v="4086"/>
    <n v="0.2"/>
    <n v="3451"/>
    <n v="10795"/>
    <n v="0.15540871267743514"/>
    <n v="46"/>
    <n v="10013"/>
    <n v="0.14415075868820362"/>
    <x v="4"/>
    <x v="0"/>
    <n v="0"/>
    <n v="0"/>
    <n v="0.27999999999999997"/>
  </r>
  <r>
    <s v="ORD-10944"/>
    <s v="24-Feb-2024"/>
    <x v="4"/>
    <x v="6"/>
    <s v="Bedsheet"/>
    <s v="Bedsheet - Model 522"/>
    <s v="Kolkata"/>
    <s v="East"/>
    <n v="5"/>
    <n v="7321"/>
    <n v="4685"/>
    <n v="0.36"/>
    <n v="3467"/>
    <n v="6090"/>
    <n v="0.25997865528281749"/>
    <n v="45"/>
    <n v="5865"/>
    <n v="0.25037353255069372"/>
    <x v="2"/>
    <x v="0"/>
    <n v="0"/>
    <n v="0"/>
    <n v="0.504"/>
  </r>
  <r>
    <s v="ORD-10945"/>
    <s v="25-Apr-2024"/>
    <x v="1"/>
    <x v="2"/>
    <s v="Yoga Mat"/>
    <s v="Yoga Mat - Model 402"/>
    <s v="Ahmedabad"/>
    <s v="West"/>
    <n v="11"/>
    <n v="6342"/>
    <n v="4376"/>
    <n v="0.31"/>
    <n v="3798"/>
    <n v="6358"/>
    <n v="0.13208409506398539"/>
    <n v="119"/>
    <n v="5049"/>
    <n v="0.10489031078610603"/>
    <x v="1"/>
    <x v="0"/>
    <n v="0"/>
    <n v="1"/>
    <n v="0.78400000000000003"/>
  </r>
  <r>
    <s v="ORD-10946"/>
    <s v="12-Apr-2024"/>
    <x v="1"/>
    <x v="1"/>
    <s v="Textbook"/>
    <s v="Textbook - Model 414"/>
    <s v="Bangalore"/>
    <s v="South"/>
    <n v="19"/>
    <n v="5144"/>
    <n v="4064"/>
    <n v="0.21"/>
    <n v="2850"/>
    <n v="23066"/>
    <n v="0.29872047244094491"/>
    <n v="74"/>
    <n v="21660"/>
    <n v="0.28051181102362205"/>
    <x v="1"/>
    <x v="0"/>
    <n v="0"/>
    <n v="1"/>
    <n v="0.64399999999999991"/>
  </r>
  <r>
    <s v="ORD-10947"/>
    <s v="09-Jul-2024"/>
    <x v="3"/>
    <x v="5"/>
    <s v="Moisturizer"/>
    <s v="Moisturizer - Model 971"/>
    <s v="Hyderabad"/>
    <s v="South"/>
    <n v="19"/>
    <n v="2563"/>
    <n v="1897"/>
    <n v="0.26"/>
    <n v="1258"/>
    <n v="12141"/>
    <n v="0.33684765419082763"/>
    <n v="138"/>
    <n v="9519"/>
    <n v="0.26410121244069584"/>
    <x v="3"/>
    <x v="0"/>
    <n v="0"/>
    <n v="0"/>
    <n v="0.36399999999999999"/>
  </r>
  <r>
    <s v="ORD-10948"/>
    <s v="12-Mar-2024"/>
    <x v="2"/>
    <x v="6"/>
    <s v="Lamp"/>
    <s v="Lamp - Model 973"/>
    <s v="Jaipur"/>
    <s v="North"/>
    <n v="11"/>
    <n v="4282"/>
    <n v="3554"/>
    <n v="0.17"/>
    <n v="3101"/>
    <n v="4983"/>
    <n v="0.12746201463140125"/>
    <n v="127"/>
    <n v="3586"/>
    <n v="9.1727630838491836E-2"/>
    <x v="3"/>
    <x v="0"/>
    <n v="0"/>
    <n v="0"/>
    <n v="0.23799999999999999"/>
  </r>
  <r>
    <s v="ORD-10949"/>
    <s v="01-Jul-2024"/>
    <x v="3"/>
    <x v="7"/>
    <s v="Saree"/>
    <s v="Saree - Model 330"/>
    <s v="Chennai"/>
    <s v="South"/>
    <n v="7"/>
    <n v="1950"/>
    <n v="1696"/>
    <n v="0.13"/>
    <n v="1311"/>
    <n v="2695"/>
    <n v="0.22700471698113209"/>
    <n v="148"/>
    <n v="1659"/>
    <n v="0.13974056603773585"/>
    <x v="1"/>
    <x v="0"/>
    <n v="0"/>
    <n v="1"/>
    <n v="0.53200000000000003"/>
  </r>
  <r>
    <s v="ORD-10950"/>
    <s v="01-Nov-2024"/>
    <x v="0"/>
    <x v="5"/>
    <s v="Serum"/>
    <s v="Serum - Model 472"/>
    <s v="Mumbai"/>
    <s v="West"/>
    <n v="13"/>
    <n v="5086"/>
    <n v="2899"/>
    <n v="0.43"/>
    <n v="2938"/>
    <n v="-507"/>
    <n v="-1.3452914798206279E-2"/>
    <n v="71"/>
    <n v="-1430"/>
    <n v="-3.7944118661607448E-2"/>
    <x v="3"/>
    <x v="0"/>
    <n v="0"/>
    <n v="0"/>
    <n v="0.60199999999999998"/>
  </r>
  <r>
    <s v="ORD-10951"/>
    <s v="26-Feb-2024"/>
    <x v="4"/>
    <x v="0"/>
    <s v="Smartwatch"/>
    <s v="Smartwatch - Model 680"/>
    <s v="Jaipur"/>
    <s v="North"/>
    <n v="8"/>
    <n v="2109"/>
    <n v="1350"/>
    <n v="0.36"/>
    <n v="978"/>
    <n v="2976"/>
    <n v="0.27555555555555555"/>
    <n v="170"/>
    <n v="1616"/>
    <n v="0.14962962962962964"/>
    <x v="1"/>
    <x v="3"/>
    <n v="1"/>
    <n v="1"/>
    <n v="0.85399999999999998"/>
  </r>
  <r>
    <s v="ORD-10952"/>
    <s v="02-Mar-2024"/>
    <x v="2"/>
    <x v="2"/>
    <s v="Cycle"/>
    <s v="Cycle - Model 384"/>
    <s v="Delhi"/>
    <s v="North"/>
    <n v="7"/>
    <n v="5920"/>
    <n v="3493"/>
    <n v="0.41"/>
    <n v="4246"/>
    <n v="-5271"/>
    <n v="-0.21557400515316347"/>
    <n v="50"/>
    <n v="-5621"/>
    <n v="-0.22988834812482106"/>
    <x v="4"/>
    <x v="0"/>
    <n v="0"/>
    <n v="0"/>
    <n v="0.57399999999999995"/>
  </r>
  <r>
    <s v="ORD-10953"/>
    <s v="25-Oct-2024"/>
    <x v="11"/>
    <x v="3"/>
    <s v="Pulses"/>
    <s v="Pulses - Model 200"/>
    <s v="Jaipur"/>
    <s v="North"/>
    <n v="2"/>
    <n v="2687"/>
    <n v="1908"/>
    <n v="0.28999999999999998"/>
    <n v="1260"/>
    <n v="1296"/>
    <n v="0.33962264150943394"/>
    <n v="47"/>
    <n v="1202"/>
    <n v="0.31498951781970652"/>
    <x v="2"/>
    <x v="0"/>
    <n v="0"/>
    <n v="0"/>
    <n v="0.40599999999999997"/>
  </r>
  <r>
    <s v="ORD-10954"/>
    <s v="07-Oct-2024"/>
    <x v="11"/>
    <x v="3"/>
    <s v="Rice"/>
    <s v="Rice - Model 682"/>
    <s v="Mumbai"/>
    <s v="West"/>
    <n v="19"/>
    <n v="3552"/>
    <n v="2096"/>
    <n v="0.41"/>
    <n v="2316"/>
    <n v="-4180"/>
    <n v="-0.1049618320610687"/>
    <n v="96"/>
    <n v="-6004"/>
    <n v="-0.15076335877862596"/>
    <x v="1"/>
    <x v="3"/>
    <n v="1"/>
    <n v="1"/>
    <n v="0.92399999999999993"/>
  </r>
  <r>
    <s v="ORD-10955"/>
    <s v="01-Aug-2024"/>
    <x v="8"/>
    <x v="2"/>
    <s v="Dumbbells"/>
    <s v="Dumbbells - Model 715"/>
    <s v="Chennai"/>
    <s v="South"/>
    <n v="16"/>
    <n v="5123"/>
    <n v="4355"/>
    <n v="0.15"/>
    <n v="2916"/>
    <n v="23024"/>
    <n v="0.33042479908151551"/>
    <n v="73"/>
    <n v="21856"/>
    <n v="0.31366245694603906"/>
    <x v="4"/>
    <x v="0"/>
    <n v="0"/>
    <n v="0"/>
    <n v="0.21"/>
  </r>
  <r>
    <s v="ORD-10956"/>
    <s v="09-Jun-2024"/>
    <x v="5"/>
    <x v="2"/>
    <s v="Dumbbells"/>
    <s v="Dumbbells - Model 214"/>
    <s v="Bangalore"/>
    <s v="South"/>
    <n v="16"/>
    <n v="251"/>
    <n v="151"/>
    <n v="0.4"/>
    <n v="145"/>
    <n v="96"/>
    <n v="3.9735099337748346E-2"/>
    <n v="104"/>
    <n v="-1568"/>
    <n v="-0.64900662251655628"/>
    <x v="1"/>
    <x v="0"/>
    <n v="0"/>
    <n v="1"/>
    <n v="0.90999999999999992"/>
  </r>
  <r>
    <s v="ORD-10957"/>
    <s v="04-May-2024"/>
    <x v="6"/>
    <x v="3"/>
    <s v="Rice"/>
    <s v="Rice - Model 753"/>
    <s v="Jaipur"/>
    <s v="North"/>
    <n v="6"/>
    <n v="1710"/>
    <n v="1624"/>
    <n v="0.05"/>
    <n v="823"/>
    <n v="4806"/>
    <n v="0.4932266009852217"/>
    <n v="76"/>
    <n v="4350"/>
    <n v="0.44642857142857145"/>
    <x v="4"/>
    <x v="0"/>
    <n v="0"/>
    <n v="0"/>
    <n v="6.9999999999999993E-2"/>
  </r>
  <r>
    <s v="ORD-10958"/>
    <s v="22-Feb-2024"/>
    <x v="4"/>
    <x v="2"/>
    <s v="Cycle"/>
    <s v="Cycle - Model 315"/>
    <s v="Lucknow"/>
    <s v="North"/>
    <n v="5"/>
    <n v="2725"/>
    <n v="2480"/>
    <n v="0.09"/>
    <n v="1468"/>
    <n v="5060"/>
    <n v="0.40806451612903227"/>
    <n v="56"/>
    <n v="4780"/>
    <n v="0.38548387096774195"/>
    <x v="1"/>
    <x v="0"/>
    <n v="0"/>
    <n v="1"/>
    <n v="0.47599999999999998"/>
  </r>
  <r>
    <s v="ORD-10959"/>
    <s v="16-Sep-2024"/>
    <x v="7"/>
    <x v="4"/>
    <s v="Puzzle"/>
    <s v="Puzzle - Model 334"/>
    <s v="Chennai"/>
    <s v="South"/>
    <n v="16"/>
    <n v="7488"/>
    <n v="4643"/>
    <n v="0.38"/>
    <n v="3967"/>
    <n v="10816"/>
    <n v="0.14559552013784191"/>
    <n v="76"/>
    <n v="9600"/>
    <n v="0.12922679302175319"/>
    <x v="4"/>
    <x v="0"/>
    <n v="0"/>
    <n v="0"/>
    <n v="0.53199999999999992"/>
  </r>
  <r>
    <s v="ORD-10960"/>
    <s v="14-May-2024"/>
    <x v="6"/>
    <x v="4"/>
    <s v="Remote Car"/>
    <s v="Remote Car - Model 105"/>
    <s v="Pune"/>
    <s v="West"/>
    <n v="2"/>
    <n v="7756"/>
    <n v="6515"/>
    <n v="0.16"/>
    <n v="5289"/>
    <n v="2452"/>
    <n v="0.18818112049117422"/>
    <n v="176"/>
    <n v="2100"/>
    <n v="0.16116653875671527"/>
    <x v="4"/>
    <x v="0"/>
    <n v="0"/>
    <n v="0"/>
    <n v="0.22399999999999998"/>
  </r>
  <r>
    <s v="ORD-10961"/>
    <s v="22-Apr-2024"/>
    <x v="1"/>
    <x v="2"/>
    <s v="Yoga Mat"/>
    <s v="Yoga Mat - Model 952"/>
    <s v="Kolkata"/>
    <s v="East"/>
    <n v="1"/>
    <n v="2710"/>
    <n v="1734"/>
    <n v="0.36"/>
    <n v="1393"/>
    <n v="341"/>
    <n v="0.19665513264129181"/>
    <n v="114"/>
    <n v="227"/>
    <n v="0.1309111880046136"/>
    <x v="1"/>
    <x v="3"/>
    <n v="1"/>
    <n v="1"/>
    <n v="0.85399999999999998"/>
  </r>
  <r>
    <s v="ORD-10962"/>
    <s v="28-Aug-2024"/>
    <x v="8"/>
    <x v="2"/>
    <s v="Shoes"/>
    <s v="Shoes - Model 176"/>
    <s v="Hyderabad"/>
    <s v="South"/>
    <n v="6"/>
    <n v="2739"/>
    <n v="2136"/>
    <n v="0.22"/>
    <n v="1787"/>
    <n v="2094"/>
    <n v="0.16338951310861424"/>
    <n v="100"/>
    <n v="1494"/>
    <n v="0.11657303370786516"/>
    <x v="2"/>
    <x v="0"/>
    <n v="0"/>
    <n v="0"/>
    <n v="0.308"/>
  </r>
  <r>
    <s v="ORD-10963"/>
    <s v="16-Dec-2024"/>
    <x v="10"/>
    <x v="5"/>
    <s v="Lipstick"/>
    <s v="Lipstick - Model 721"/>
    <s v="Lucknow"/>
    <s v="North"/>
    <n v="13"/>
    <n v="663"/>
    <n v="643"/>
    <n v="0.03"/>
    <n v="345"/>
    <n v="3874"/>
    <n v="0.46345256609642299"/>
    <n v="111"/>
    <n v="2431"/>
    <n v="0.29082426127527217"/>
    <x v="0"/>
    <x v="0"/>
    <n v="0"/>
    <n v="0"/>
    <n v="4.1999999999999996E-2"/>
  </r>
  <r>
    <s v="ORD-10964"/>
    <s v="24-Mar-2024"/>
    <x v="2"/>
    <x v="7"/>
    <s v="Saree"/>
    <s v="Saree - Model 893"/>
    <s v="Pune"/>
    <s v="West"/>
    <n v="5"/>
    <n v="7017"/>
    <n v="5122"/>
    <n v="0.27"/>
    <n v="4217"/>
    <n v="4525"/>
    <n v="0.17668879344006247"/>
    <n v="114"/>
    <n v="3955"/>
    <n v="0.15443186255368996"/>
    <x v="0"/>
    <x v="0"/>
    <n v="0"/>
    <n v="0"/>
    <n v="0.378"/>
  </r>
  <r>
    <s v="ORD-10965"/>
    <s v="09-Nov-2024"/>
    <x v="0"/>
    <x v="2"/>
    <s v="Shoes"/>
    <s v="Shoes - Model 243"/>
    <s v="Delhi"/>
    <s v="North"/>
    <n v="11"/>
    <n v="7666"/>
    <n v="6439"/>
    <n v="0.16"/>
    <n v="5140"/>
    <n v="14289"/>
    <n v="0.2017394005280323"/>
    <n v="142"/>
    <n v="12727"/>
    <n v="0.1796862866904799"/>
    <x v="1"/>
    <x v="0"/>
    <n v="0"/>
    <n v="1"/>
    <n v="0.57399999999999995"/>
  </r>
  <r>
    <s v="ORD-10966"/>
    <s v="12-Aug-2024"/>
    <x v="8"/>
    <x v="1"/>
    <s v="Self-Help"/>
    <s v="Self-Help - Model 793"/>
    <s v="Chennai"/>
    <s v="South"/>
    <n v="9"/>
    <n v="4908"/>
    <n v="2847"/>
    <n v="0.42"/>
    <n v="2204"/>
    <n v="5787"/>
    <n v="0.22585177379697927"/>
    <n v="126"/>
    <n v="4653"/>
    <n v="0.18159466104671584"/>
    <x v="0"/>
    <x v="0"/>
    <n v="0"/>
    <n v="0"/>
    <n v="0.58799999999999997"/>
  </r>
  <r>
    <s v="ORD-10967"/>
    <s v="27-Jan-2024"/>
    <x v="9"/>
    <x v="0"/>
    <s v="Tablet"/>
    <s v="Tablet - Model 482"/>
    <s v="Mumbai"/>
    <s v="West"/>
    <n v="19"/>
    <n v="3610"/>
    <n v="3574"/>
    <n v="0.01"/>
    <n v="2081"/>
    <n v="28367"/>
    <n v="0.41773922775601569"/>
    <n v="150"/>
    <n v="25517"/>
    <n v="0.37576944599888079"/>
    <x v="3"/>
    <x v="0"/>
    <n v="0"/>
    <n v="0"/>
    <n v="1.3999999999999999E-2"/>
  </r>
  <r>
    <s v="ORD-10968"/>
    <s v="03-Nov-2024"/>
    <x v="0"/>
    <x v="7"/>
    <s v="Jacket"/>
    <s v="Jacket - Model 194"/>
    <s v="Jaipur"/>
    <s v="North"/>
    <n v="4"/>
    <n v="4348"/>
    <n v="2783"/>
    <n v="0.36"/>
    <n v="3027"/>
    <n v="-976"/>
    <n v="-8.7675170679123254E-2"/>
    <n v="43"/>
    <n v="-1148"/>
    <n v="-0.10312612288896873"/>
    <x v="0"/>
    <x v="1"/>
    <n v="0"/>
    <n v="0"/>
    <n v="0.504"/>
  </r>
  <r>
    <s v="ORD-10969"/>
    <s v="25-Feb-2024"/>
    <x v="4"/>
    <x v="4"/>
    <s v="Puzzle"/>
    <s v="Puzzle - Model 576"/>
    <s v="Ahmedabad"/>
    <s v="West"/>
    <n v="5"/>
    <n v="5273"/>
    <n v="5115"/>
    <n v="0.03"/>
    <n v="3305"/>
    <n v="9050"/>
    <n v="0.35386119257087001"/>
    <n v="81"/>
    <n v="8645"/>
    <n v="0.33802541544477027"/>
    <x v="3"/>
    <x v="0"/>
    <n v="0"/>
    <n v="0"/>
    <n v="4.1999999999999996E-2"/>
  </r>
  <r>
    <s v="ORD-10970"/>
    <s v="01-Jul-2024"/>
    <x v="3"/>
    <x v="4"/>
    <s v="Doll"/>
    <s v="Doll - Model 400"/>
    <s v="Mumbai"/>
    <s v="West"/>
    <n v="20"/>
    <n v="6660"/>
    <n v="6593"/>
    <n v="0.01"/>
    <n v="3189"/>
    <n v="68080"/>
    <n v="0.51630517215228278"/>
    <n v="94"/>
    <n v="66200"/>
    <n v="0.50204762627028665"/>
    <x v="4"/>
    <x v="0"/>
    <n v="0"/>
    <n v="0"/>
    <n v="1.3999999999999999E-2"/>
  </r>
  <r>
    <s v="ORD-10971"/>
    <s v="18-Jun-2024"/>
    <x v="5"/>
    <x v="3"/>
    <s v="Oil"/>
    <s v="Oil - Model 888"/>
    <s v="Lucknow"/>
    <s v="North"/>
    <n v="12"/>
    <n v="7167"/>
    <n v="4874"/>
    <n v="0.32"/>
    <n v="4314"/>
    <n v="6720"/>
    <n v="0.11489536315141567"/>
    <n v="58"/>
    <n v="6024"/>
    <n v="0.10299548625359048"/>
    <x v="1"/>
    <x v="0"/>
    <n v="0"/>
    <n v="1"/>
    <n v="0.79799999999999993"/>
  </r>
  <r>
    <s v="ORD-10972"/>
    <s v="18-Jan-2024"/>
    <x v="9"/>
    <x v="0"/>
    <s v="Laptop"/>
    <s v="Laptop - Model 653"/>
    <s v="Kolkata"/>
    <s v="East"/>
    <n v="3"/>
    <n v="2754"/>
    <n v="2368"/>
    <n v="0.14000000000000001"/>
    <n v="1323"/>
    <n v="3135"/>
    <n v="0.44130067567567566"/>
    <n v="61"/>
    <n v="2952"/>
    <n v="0.41554054054054052"/>
    <x v="4"/>
    <x v="1"/>
    <n v="0"/>
    <n v="0"/>
    <n v="0.19600000000000001"/>
  </r>
  <r>
    <s v="ORD-10973"/>
    <s v="07-Apr-2024"/>
    <x v="1"/>
    <x v="1"/>
    <s v="Fiction"/>
    <s v="Fiction - Model 240"/>
    <s v="Ahmedabad"/>
    <s v="West"/>
    <n v="4"/>
    <n v="6706"/>
    <n v="5566"/>
    <n v="0.17"/>
    <n v="3724"/>
    <n v="7368"/>
    <n v="0.33093783686669065"/>
    <n v="142"/>
    <n v="6800"/>
    <n v="0.30542579949694576"/>
    <x v="1"/>
    <x v="0"/>
    <n v="0"/>
    <n v="1"/>
    <n v="0.58799999999999997"/>
  </r>
  <r>
    <s v="ORD-10974"/>
    <s v="07-Jul-2024"/>
    <x v="3"/>
    <x v="5"/>
    <s v="Perfume"/>
    <s v="Perfume - Model 704"/>
    <s v="Delhi"/>
    <s v="North"/>
    <n v="3"/>
    <n v="7760"/>
    <n v="5975"/>
    <n v="0.23"/>
    <n v="4675"/>
    <n v="3900"/>
    <n v="0.21757322175732219"/>
    <n v="107"/>
    <n v="3579"/>
    <n v="0.1996652719665272"/>
    <x v="1"/>
    <x v="0"/>
    <n v="0"/>
    <n v="1"/>
    <n v="0.67199999999999993"/>
  </r>
  <r>
    <s v="ORD-10975"/>
    <s v="24-Aug-2024"/>
    <x v="8"/>
    <x v="1"/>
    <s v="Textbook"/>
    <s v="Textbook - Model 525"/>
    <s v="Hyderabad"/>
    <s v="South"/>
    <n v="7"/>
    <n v="7884"/>
    <n v="5046"/>
    <n v="0.36"/>
    <n v="4147"/>
    <n v="6293"/>
    <n v="0.17816091954022989"/>
    <n v="68"/>
    <n v="5817"/>
    <n v="0.16468489892984542"/>
    <x v="2"/>
    <x v="0"/>
    <n v="0"/>
    <n v="0"/>
    <n v="0.504"/>
  </r>
  <r>
    <s v="ORD-10976"/>
    <s v="26-Jul-2024"/>
    <x v="3"/>
    <x v="4"/>
    <s v="Remote Car"/>
    <s v="Remote Car - Model 978"/>
    <s v="Delhi"/>
    <s v="North"/>
    <n v="12"/>
    <n v="3011"/>
    <n v="2589"/>
    <n v="0.14000000000000001"/>
    <n v="1273"/>
    <n v="15792"/>
    <n v="0.5083043646195442"/>
    <n v="172"/>
    <n v="13728"/>
    <n v="0.44186944766319042"/>
    <x v="4"/>
    <x v="0"/>
    <n v="0"/>
    <n v="0"/>
    <n v="0.19600000000000001"/>
  </r>
  <r>
    <s v="ORD-10977"/>
    <s v="21-Nov-2024"/>
    <x v="0"/>
    <x v="4"/>
    <s v="Remote Car"/>
    <s v="Remote Car - Model 116"/>
    <s v="Chennai"/>
    <s v="South"/>
    <n v="11"/>
    <n v="554"/>
    <n v="343"/>
    <n v="0.38"/>
    <n v="256"/>
    <n v="957"/>
    <n v="0.25364431486880468"/>
    <n v="31"/>
    <n v="616"/>
    <n v="0.16326530612244897"/>
    <x v="3"/>
    <x v="0"/>
    <n v="0"/>
    <n v="0"/>
    <n v="0.53199999999999992"/>
  </r>
  <r>
    <s v="ORD-10978"/>
    <s v="02-Jan-2024"/>
    <x v="9"/>
    <x v="5"/>
    <s v="Lipstick"/>
    <s v="Lipstick - Model 480"/>
    <s v="Lucknow"/>
    <s v="North"/>
    <n v="14"/>
    <n v="6621"/>
    <n v="5363"/>
    <n v="0.19"/>
    <n v="3053"/>
    <n v="32340"/>
    <n v="0.43072906955062468"/>
    <n v="108"/>
    <n v="30828"/>
    <n v="0.41059108707812791"/>
    <x v="1"/>
    <x v="2"/>
    <n v="0"/>
    <n v="1"/>
    <n v="0.61599999999999988"/>
  </r>
  <r>
    <s v="ORD-10979"/>
    <s v="12-Mar-2024"/>
    <x v="2"/>
    <x v="7"/>
    <s v="Jeans"/>
    <s v="Jeans - Model 130"/>
    <s v="Ahmedabad"/>
    <s v="West"/>
    <n v="7"/>
    <n v="2587"/>
    <n v="1863"/>
    <n v="0.28000000000000003"/>
    <n v="1858"/>
    <n v="35"/>
    <n v="2.6838432635534087E-3"/>
    <n v="70"/>
    <n v="-455"/>
    <n v="-3.4889962426194313E-2"/>
    <x v="4"/>
    <x v="0"/>
    <n v="0"/>
    <n v="0"/>
    <n v="0.39200000000000002"/>
  </r>
  <r>
    <s v="ORD-10980"/>
    <s v="16-Jan-2024"/>
    <x v="9"/>
    <x v="0"/>
    <s v="Laptop"/>
    <s v="Laptop - Model 517"/>
    <s v="Mumbai"/>
    <s v="West"/>
    <n v="18"/>
    <n v="3141"/>
    <n v="2293"/>
    <n v="0.27"/>
    <n v="1834"/>
    <n v="8262"/>
    <n v="0.20017444395987788"/>
    <n v="54"/>
    <n v="7290"/>
    <n v="0.17662450937636284"/>
    <x v="2"/>
    <x v="0"/>
    <n v="0"/>
    <n v="0"/>
    <n v="0.378"/>
  </r>
  <r>
    <s v="ORD-10981"/>
    <s v="03-Jul-2024"/>
    <x v="3"/>
    <x v="7"/>
    <s v="Shoes"/>
    <s v="Shoes - Model 575"/>
    <s v="Pune"/>
    <s v="West"/>
    <n v="18"/>
    <n v="3635"/>
    <n v="2217"/>
    <n v="0.39"/>
    <n v="2484"/>
    <n v="-4806"/>
    <n v="-0.12043301759133965"/>
    <n v="30"/>
    <n v="-5346"/>
    <n v="-0.13396481732070364"/>
    <x v="0"/>
    <x v="1"/>
    <n v="0"/>
    <n v="0"/>
    <n v="0.54599999999999993"/>
  </r>
  <r>
    <s v="ORD-10982"/>
    <s v="11-Mar-2024"/>
    <x v="2"/>
    <x v="1"/>
    <s v="Comic"/>
    <s v="Comic - Model 784"/>
    <s v="Delhi"/>
    <s v="North"/>
    <n v="16"/>
    <n v="4044"/>
    <n v="2548"/>
    <n v="0.37"/>
    <n v="2426"/>
    <n v="1952"/>
    <n v="4.7880690737833596E-2"/>
    <n v="49"/>
    <n v="1168"/>
    <n v="2.8649921507064365E-2"/>
    <x v="3"/>
    <x v="1"/>
    <n v="0"/>
    <n v="0"/>
    <n v="0.51800000000000002"/>
  </r>
  <r>
    <s v="ORD-10983"/>
    <s v="22-Apr-2024"/>
    <x v="1"/>
    <x v="7"/>
    <s v="Kurta"/>
    <s v="Kurta - Model 834"/>
    <s v="Pune"/>
    <s v="West"/>
    <n v="10"/>
    <n v="7118"/>
    <n v="6762"/>
    <n v="0.05"/>
    <n v="3411"/>
    <n v="33510"/>
    <n v="0.49556344276841169"/>
    <n v="58"/>
    <n v="32930"/>
    <n v="0.486986098787341"/>
    <x v="4"/>
    <x v="1"/>
    <n v="0"/>
    <n v="0"/>
    <n v="6.9999999999999993E-2"/>
  </r>
  <r>
    <s v="ORD-10984"/>
    <s v="19-Nov-2024"/>
    <x v="0"/>
    <x v="2"/>
    <s v="Cricket Bat"/>
    <s v="Cricket Bat - Model 435"/>
    <s v="Pune"/>
    <s v="West"/>
    <n v="12"/>
    <n v="5357"/>
    <n v="3964"/>
    <n v="0.26"/>
    <n v="3895"/>
    <n v="828"/>
    <n v="1.7406659939455095E-2"/>
    <n v="35"/>
    <n v="408"/>
    <n v="8.5771947527749741E-3"/>
    <x v="0"/>
    <x v="3"/>
    <n v="1"/>
    <n v="0"/>
    <n v="0.36399999999999999"/>
  </r>
  <r>
    <s v="ORD-10985"/>
    <s v="01-Mar-2024"/>
    <x v="2"/>
    <x v="6"/>
    <s v="Mixer"/>
    <s v="Mixer - Model 955"/>
    <s v="Hyderabad"/>
    <s v="South"/>
    <n v="6"/>
    <n v="3295"/>
    <n v="3262"/>
    <n v="0.01"/>
    <n v="1872"/>
    <n v="8340"/>
    <n v="0.42611894543225015"/>
    <n v="159"/>
    <n v="7386"/>
    <n v="0.37737584304107907"/>
    <x v="1"/>
    <x v="2"/>
    <n v="0"/>
    <n v="1"/>
    <n v="0.36399999999999999"/>
  </r>
  <r>
    <s v="ORD-10986"/>
    <s v="13-Oct-2024"/>
    <x v="11"/>
    <x v="3"/>
    <s v="Oil"/>
    <s v="Oil - Model 564"/>
    <s v="Lucknow"/>
    <s v="North"/>
    <n v="9"/>
    <n v="4458"/>
    <n v="4235"/>
    <n v="0.05"/>
    <n v="2219"/>
    <n v="18144"/>
    <n v="0.47603305785123967"/>
    <n v="145"/>
    <n v="16839"/>
    <n v="0.44179456906729636"/>
    <x v="4"/>
    <x v="1"/>
    <n v="0"/>
    <n v="0"/>
    <n v="6.9999999999999993E-2"/>
  </r>
  <r>
    <s v="ORD-10987"/>
    <s v="11-May-2024"/>
    <x v="6"/>
    <x v="3"/>
    <s v="Spices"/>
    <s v="Spices - Model 567"/>
    <s v="Delhi"/>
    <s v="North"/>
    <n v="11"/>
    <n v="6154"/>
    <n v="5416"/>
    <n v="0.12"/>
    <n v="4146"/>
    <n v="13970"/>
    <n v="0.2344903988183161"/>
    <n v="94"/>
    <n v="12936"/>
    <n v="0.2171344165435746"/>
    <x v="2"/>
    <x v="0"/>
    <n v="0"/>
    <n v="0"/>
    <n v="0.16799999999999998"/>
  </r>
  <r>
    <s v="ORD-10988"/>
    <s v="15-Apr-2024"/>
    <x v="1"/>
    <x v="7"/>
    <s v="Kurta"/>
    <s v="Kurta - Model 663"/>
    <s v="Chennai"/>
    <s v="South"/>
    <n v="5"/>
    <n v="7012"/>
    <n v="6030"/>
    <n v="0.14000000000000001"/>
    <n v="3875"/>
    <n v="10775"/>
    <n v="0.357379767827529"/>
    <n v="178"/>
    <n v="9885"/>
    <n v="0.32786069651741295"/>
    <x v="2"/>
    <x v="1"/>
    <n v="0"/>
    <n v="0"/>
    <n v="0.19600000000000001"/>
  </r>
  <r>
    <s v="ORD-10989"/>
    <s v="13-Mar-2024"/>
    <x v="2"/>
    <x v="5"/>
    <s v="Serum"/>
    <s v="Serum - Model 960"/>
    <s v="Hyderabad"/>
    <s v="South"/>
    <n v="1"/>
    <n v="1750"/>
    <n v="1155"/>
    <n v="0.34"/>
    <n v="1022"/>
    <n v="133"/>
    <n v="0.11515151515151516"/>
    <n v="147"/>
    <n v="-14"/>
    <n v="-1.2121212121212121E-2"/>
    <x v="3"/>
    <x v="0"/>
    <n v="0"/>
    <n v="0"/>
    <n v="0.47599999999999998"/>
  </r>
  <r>
    <s v="ORD-10990"/>
    <s v="12-Sep-2024"/>
    <x v="7"/>
    <x v="5"/>
    <s v="Sunscreen"/>
    <s v="Sunscreen - Model 270"/>
    <s v="Kolkata"/>
    <s v="East"/>
    <n v="6"/>
    <n v="981"/>
    <n v="912"/>
    <n v="7.0000000000000007E-2"/>
    <n v="610"/>
    <n v="1812"/>
    <n v="0.33114035087719296"/>
    <n v="123"/>
    <n v="1074"/>
    <n v="0.1962719298245614"/>
    <x v="1"/>
    <x v="1"/>
    <n v="0"/>
    <n v="1"/>
    <n v="0.44799999999999995"/>
  </r>
  <r>
    <s v="ORD-10991"/>
    <s v="28-Jul-2024"/>
    <x v="3"/>
    <x v="5"/>
    <s v="Lipstick"/>
    <s v="Lipstick - Model 150"/>
    <s v="Pune"/>
    <s v="West"/>
    <n v="10"/>
    <n v="3240"/>
    <n v="2495"/>
    <n v="0.23"/>
    <n v="1774"/>
    <n v="7210"/>
    <n v="0.28897795591182363"/>
    <n v="101"/>
    <n v="6200"/>
    <n v="0.24849699398797595"/>
    <x v="4"/>
    <x v="1"/>
    <n v="0"/>
    <n v="0"/>
    <n v="0.32200000000000001"/>
  </r>
  <r>
    <s v="ORD-10992"/>
    <s v="03-Jan-2024"/>
    <x v="9"/>
    <x v="2"/>
    <s v="Cycle"/>
    <s v="Cycle - Model 784"/>
    <s v="Chennai"/>
    <s v="South"/>
    <n v="7"/>
    <n v="7400"/>
    <n v="5328"/>
    <n v="0.28000000000000003"/>
    <n v="5445"/>
    <n v="-819"/>
    <n v="-2.1959459459459461E-2"/>
    <n v="39"/>
    <n v="-1092"/>
    <n v="-2.9279279279279279E-2"/>
    <x v="0"/>
    <x v="0"/>
    <n v="0"/>
    <n v="0"/>
    <n v="0.39200000000000002"/>
  </r>
  <r>
    <s v="ORD-10993"/>
    <s v="25-Mar-2024"/>
    <x v="2"/>
    <x v="5"/>
    <s v="Perfume"/>
    <s v="Perfume - Model 905"/>
    <s v="Bangalore"/>
    <s v="South"/>
    <n v="14"/>
    <n v="3250"/>
    <n v="2958"/>
    <n v="0.09"/>
    <n v="2249"/>
    <n v="9926"/>
    <n v="0.23968897903989181"/>
    <n v="41"/>
    <n v="9352"/>
    <n v="0.22582826233941852"/>
    <x v="4"/>
    <x v="0"/>
    <n v="0"/>
    <n v="0"/>
    <n v="0.126"/>
  </r>
  <r>
    <s v="ORD-10994"/>
    <s v="24-Dec-2024"/>
    <x v="10"/>
    <x v="6"/>
    <s v="Pressure Cooker"/>
    <s v="Pressure Cooker - Model 554"/>
    <s v="Bangalore"/>
    <s v="South"/>
    <n v="9"/>
    <n v="6133"/>
    <n v="6133"/>
    <n v="0"/>
    <n v="2705"/>
    <n v="30852"/>
    <n v="0.55894342083808901"/>
    <n v="77"/>
    <n v="30159"/>
    <n v="0.54638839067340617"/>
    <x v="2"/>
    <x v="0"/>
    <n v="0"/>
    <n v="0"/>
    <n v="0"/>
  </r>
  <r>
    <s v="ORD-10995"/>
    <s v="22-Apr-2024"/>
    <x v="1"/>
    <x v="3"/>
    <s v="Rice"/>
    <s v="Rice - Model 941"/>
    <s v="Delhi"/>
    <s v="North"/>
    <n v="18"/>
    <n v="5995"/>
    <n v="4796"/>
    <n v="0.2"/>
    <n v="2546"/>
    <n v="40500"/>
    <n v="0.46914095079232693"/>
    <n v="177"/>
    <n v="37314"/>
    <n v="0.43223519599666388"/>
    <x v="4"/>
    <x v="1"/>
    <n v="0"/>
    <n v="0"/>
    <n v="0.27999999999999997"/>
  </r>
  <r>
    <s v="ORD-10996"/>
    <s v="13-Jan-2024"/>
    <x v="9"/>
    <x v="2"/>
    <s v="Shoes"/>
    <s v="Shoes - Model 741"/>
    <s v="Ahmedabad"/>
    <s v="West"/>
    <n v="14"/>
    <n v="4763"/>
    <n v="2905"/>
    <n v="0.39"/>
    <n v="3058"/>
    <n v="-2142"/>
    <n v="-5.2667814113597243E-2"/>
    <n v="149"/>
    <n v="-4228"/>
    <n v="-0.10395869191049914"/>
    <x v="4"/>
    <x v="0"/>
    <n v="0"/>
    <n v="0"/>
    <n v="0.54599999999999993"/>
  </r>
  <r>
    <s v="ORD-10997"/>
    <s v="20-Dec-2024"/>
    <x v="10"/>
    <x v="1"/>
    <s v="Self-Help"/>
    <s v="Self-Help - Model 990"/>
    <s v="Ahmedabad"/>
    <s v="West"/>
    <n v="14"/>
    <n v="3489"/>
    <n v="2477"/>
    <n v="0.28999999999999998"/>
    <n v="2452"/>
    <n v="350"/>
    <n v="1.0092854259184497E-2"/>
    <n v="72"/>
    <n v="-658"/>
    <n v="-1.8974566007266856E-2"/>
    <x v="4"/>
    <x v="0"/>
    <n v="0"/>
    <n v="0"/>
    <n v="0.40599999999999997"/>
  </r>
  <r>
    <s v="ORD-10998"/>
    <s v="14-Jun-2024"/>
    <x v="5"/>
    <x v="2"/>
    <s v="Yoga Mat"/>
    <s v="Yoga Mat - Model 185"/>
    <s v="Mumbai"/>
    <s v="West"/>
    <n v="4"/>
    <n v="5762"/>
    <n v="4494"/>
    <n v="0.22"/>
    <n v="3486"/>
    <n v="4032"/>
    <n v="0.22429906542056074"/>
    <n v="63"/>
    <n v="3780"/>
    <n v="0.2102803738317757"/>
    <x v="0"/>
    <x v="0"/>
    <n v="0"/>
    <n v="0"/>
    <n v="0.308"/>
  </r>
  <r>
    <s v="ORD-10999"/>
    <s v="16-Dec-2024"/>
    <x v="10"/>
    <x v="4"/>
    <s v="Doll"/>
    <s v="Doll - Model 631"/>
    <s v="Pune"/>
    <s v="West"/>
    <n v="2"/>
    <n v="4893"/>
    <n v="3572"/>
    <n v="0.27"/>
    <n v="3316"/>
    <n v="512"/>
    <n v="7.1668533034714446E-2"/>
    <n v="173"/>
    <n v="166"/>
    <n v="2.3236282194848825E-2"/>
    <x v="3"/>
    <x v="1"/>
    <n v="0"/>
    <n v="0"/>
    <n v="0.378"/>
  </r>
  <r>
    <s v="ORD-11000"/>
    <s v="12-Apr-2024"/>
    <x v="1"/>
    <x v="4"/>
    <s v="Remote Car"/>
    <s v="Remote Car - Model 835"/>
    <s v="Mumbai"/>
    <s v="West"/>
    <n v="12"/>
    <n v="5247"/>
    <n v="4198"/>
    <n v="0.2"/>
    <n v="2945"/>
    <n v="15036"/>
    <n v="0.29847546450690804"/>
    <n v="160"/>
    <n v="13116"/>
    <n v="0.26036207717960935"/>
    <x v="2"/>
    <x v="3"/>
    <n v="1"/>
    <n v="0"/>
    <n v="0.279999999999999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EF69DB-A1C8-43E2-A5B5-87DA99F2D5A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9" firstHeaderRow="0" firstDataRow="1" firstDataCol="1"/>
  <pivotFields count="23">
    <pivotField dataField="1" showAll="0"/>
    <pivotField showAll="0"/>
    <pivotField showAll="0">
      <items count="13">
        <item x="9"/>
        <item x="4"/>
        <item x="2"/>
        <item x="1"/>
        <item x="6"/>
        <item x="5"/>
        <item x="3"/>
        <item x="8"/>
        <item x="7"/>
        <item x="11"/>
        <item x="0"/>
        <item x="10"/>
        <item t="default"/>
      </items>
    </pivotField>
    <pivotField showAll="0">
      <items count="9">
        <item x="5"/>
        <item x="1"/>
        <item x="0"/>
        <item x="7"/>
        <item x="3"/>
        <item x="6"/>
        <item x="2"/>
        <item x="4"/>
        <item t="default"/>
      </items>
    </pivotField>
    <pivotField showAll="0"/>
    <pivotField showAll="0"/>
    <pivotField showAll="0"/>
    <pivotField showAll="0"/>
    <pivotField showAll="0"/>
    <pivotField numFmtId="164" showAll="0"/>
    <pivotField numFmtId="164" showAll="0"/>
    <pivotField numFmtId="165" showAll="0"/>
    <pivotField numFmtId="164" showAll="0"/>
    <pivotField numFmtId="164" showAll="0"/>
    <pivotField numFmtId="165" showAll="0"/>
    <pivotField numFmtId="164" showAll="0"/>
    <pivotField dataField="1" numFmtId="164" showAll="0"/>
    <pivotField numFmtId="165" showAll="0"/>
    <pivotField axis="axisRow" showAll="0">
      <items count="6">
        <item x="1"/>
        <item x="0"/>
        <item x="3"/>
        <item x="2"/>
        <item x="4"/>
        <item t="default"/>
      </items>
    </pivotField>
    <pivotField showAll="0">
      <items count="5">
        <item x="2"/>
        <item x="0"/>
        <item x="1"/>
        <item x="3"/>
        <item t="default"/>
      </items>
    </pivotField>
    <pivotField dataField="1" showAll="0"/>
    <pivotField showAll="0"/>
    <pivotField numFmtId="165" showAll="0"/>
  </pivotFields>
  <rowFields count="1">
    <field x="18"/>
  </rowFields>
  <rowItems count="6">
    <i>
      <x/>
    </i>
    <i>
      <x v="1"/>
    </i>
    <i>
      <x v="2"/>
    </i>
    <i>
      <x v="3"/>
    </i>
    <i>
      <x v="4"/>
    </i>
    <i t="grand">
      <x/>
    </i>
  </rowItems>
  <colFields count="1">
    <field x="-2"/>
  </colFields>
  <colItems count="3">
    <i>
      <x/>
    </i>
    <i i="1">
      <x v="1"/>
    </i>
    <i i="2">
      <x v="2"/>
    </i>
  </colItems>
  <dataFields count="3">
    <dataField name="Count of Order_ID" fld="0" subtotal="count" baseField="0" baseItem="0"/>
    <dataField name="Sum of Return_Flag" fld="20" baseField="0" baseItem="0"/>
    <dataField name="Sum of Net_Profit" fld="16" baseField="0" baseItem="0" numFmtId="164"/>
  </dataFields>
  <formats count="12">
    <format dxfId="11">
      <pivotArea type="all" dataOnly="0" outline="0" fieldPosition="0"/>
    </format>
    <format dxfId="10">
      <pivotArea outline="0" collapsedLevelsAreSubtotals="1" fieldPosition="0"/>
    </format>
    <format dxfId="9">
      <pivotArea field="18" type="button" dataOnly="0" labelOnly="1" outline="0" axis="axisRow" fieldPosition="0"/>
    </format>
    <format dxfId="8">
      <pivotArea dataOnly="0" labelOnly="1" fieldPosition="0">
        <references count="1">
          <reference field="18" count="0"/>
        </references>
      </pivotArea>
    </format>
    <format dxfId="7">
      <pivotArea dataOnly="0" labelOnly="1" grandRow="1" outline="0" fieldPosition="0"/>
    </format>
    <format dxfId="6">
      <pivotArea dataOnly="0" labelOnly="1" outline="0" fieldPosition="0">
        <references count="1">
          <reference field="4294967294" count="3">
            <x v="0"/>
            <x v="1"/>
            <x v="2"/>
          </reference>
        </references>
      </pivotArea>
    </format>
    <format dxfId="5">
      <pivotArea type="all" dataOnly="0" outline="0" fieldPosition="0"/>
    </format>
    <format dxfId="4">
      <pivotArea outline="0" collapsedLevelsAreSubtotals="1" fieldPosition="0"/>
    </format>
    <format dxfId="3">
      <pivotArea field="18" type="button" dataOnly="0" labelOnly="1" outline="0" axis="axisRow" fieldPosition="0"/>
    </format>
    <format dxfId="2">
      <pivotArea dataOnly="0" labelOnly="1" fieldPosition="0">
        <references count="1">
          <reference field="18" count="0"/>
        </references>
      </pivotArea>
    </format>
    <format dxfId="1">
      <pivotArea dataOnly="0" labelOnly="1" grandRow="1" outline="0" fieldPosition="0"/>
    </format>
    <format dxfId="0">
      <pivotArea dataOnly="0" labelOnly="1" outline="0" fieldPosition="0">
        <references count="1">
          <reference field="4294967294" count="3">
            <x v="0"/>
            <x v="1"/>
            <x v="2"/>
          </reference>
        </references>
      </pivotArea>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E0115A1-2661-4C3F-9104-87DBE525FC5F}" sourceName="Month">
  <pivotTables>
    <pivotTable tabId="10" name="PivotTable1"/>
  </pivotTables>
  <data>
    <tabular pivotCacheId="637530790">
      <items count="12">
        <i x="9" s="1"/>
        <i x="4" s="1"/>
        <i x="2" s="1"/>
        <i x="1" s="1"/>
        <i x="6" s="1"/>
        <i x="5" s="1"/>
        <i x="3" s="1"/>
        <i x="8" s="1"/>
        <i x="7" s="1"/>
        <i x="11" s="1"/>
        <i x="0"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1223A9D-F826-4D48-B045-01F4ECAC544D}" sourceName="Category">
  <pivotTables>
    <pivotTable tabId="10" name="PivotTable1"/>
  </pivotTables>
  <data>
    <tabular pivotCacheId="637530790">
      <items count="8">
        <i x="5" s="1"/>
        <i x="1" s="1"/>
        <i x="0" s="1"/>
        <i x="7" s="1"/>
        <i x="3" s="1"/>
        <i x="6" s="1"/>
        <i x="2"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Status" xr10:uid="{7149A970-3FB9-4CED-BD97-5B3B11C716D6}" sourceName="Order_Status">
  <pivotTables>
    <pivotTable tabId="10" name="PivotTable1"/>
  </pivotTables>
  <data>
    <tabular pivotCacheId="637530790">
      <items count="4">
        <i x="2" s="1"/>
        <i x="0"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8E4384D4-F932-4411-9503-1630BCB47B45}" cache="Slicer_Month" caption="Month" columnCount="12" showCaption="0" style="SlicerStyleLight6" rowHeight="234950"/>
  <slicer name="Category" xr10:uid="{8A0DAC07-9118-41C5-B532-D001A110079B}" cache="Slicer_Category" caption="Category" columnCount="8" showCaption="0" style="SlicerStyleLight6" rowHeight="234950"/>
  <slicer name="Order_Status" xr10:uid="{451B6001-BCE1-430C-A15E-500730EF3B48}" cache="Slicer_Order_Status" caption="Order_Status" columnCount="4" showCaption="0" style="SlicerStyleLight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7949924-0DF9-4ADE-A879-1E56EA486743}" name="tbl_raw" displayName="tbl_raw" ref="A1:W1001" totalsRowShown="0" headerRowDxfId="41" dataDxfId="39" headerRowBorderDxfId="40" tableBorderDxfId="38" totalsRowBorderDxfId="37">
  <autoFilter ref="A1:W1001" xr:uid="{57949924-0DF9-4ADE-A879-1E56EA486743}"/>
  <tableColumns count="23">
    <tableColumn id="1" xr3:uid="{B9EC7983-A6C8-4727-A8A9-C49E5A1A04BA}" name="Order_ID" dataDxfId="36"/>
    <tableColumn id="2" xr3:uid="{72436822-76BA-4B74-AF72-0B203C0B8872}" name="Date" dataDxfId="35"/>
    <tableColumn id="3" xr3:uid="{7B10D0A0-A797-43EB-962C-D90037D97BD2}" name="Month" dataDxfId="34"/>
    <tableColumn id="4" xr3:uid="{50D364A5-C339-4EAB-9D46-D669CBA35D7F}" name="Category" dataDxfId="33"/>
    <tableColumn id="5" xr3:uid="{DF4CA46E-4EBD-441D-AAA9-380BB9B661EE}" name="Sub_Category" dataDxfId="32"/>
    <tableColumn id="6" xr3:uid="{D606A5EA-4443-4868-82B6-35B62BD3E01A}" name="Product_Name" dataDxfId="31"/>
    <tableColumn id="7" xr3:uid="{B667F025-61FB-4132-85A7-93992B88925D}" name="City" dataDxfId="30"/>
    <tableColumn id="8" xr3:uid="{EEAAAD3A-F652-4262-AE14-3032186771C2}" name="Region" dataDxfId="29"/>
    <tableColumn id="9" xr3:uid="{8ED42342-BF3D-4F56-9651-52FF24BB3BF5}" name="Units_Sold" dataDxfId="28"/>
    <tableColumn id="10" xr3:uid="{8C53221F-F180-4CF1-A819-5B1B186A7A67}" name="MRP" dataDxfId="27"/>
    <tableColumn id="11" xr3:uid="{DE55B0DA-6E72-4B3E-9299-A768CB872F3C}" name="Selling_Price" dataDxfId="26"/>
    <tableColumn id="12" xr3:uid="{16E6F477-A302-4809-9263-94D61EA22584}" name="Discount_Pct" dataDxfId="25"/>
    <tableColumn id="13" xr3:uid="{A356240A-4094-49E2-AF27-8AB9D0C9AF03}" name="Cost_Price" dataDxfId="24"/>
    <tableColumn id="14" xr3:uid="{73356C47-2B70-4740-90DE-05D4D391D036}" name="Gross_Profit" dataDxfId="23">
      <calculatedColumnFormula>(tbl_raw[[#This Row],[Selling_Price]]-tbl_raw[[#This Row],[Cost_Price]])*tbl_raw[[#This Row],[Units_Sold]]</calculatedColumnFormula>
    </tableColumn>
    <tableColumn id="15" xr3:uid="{DC550D78-AADD-4BD3-920A-17D9CCE3CA02}" name="Gross_Margin_Pct" dataDxfId="22">
      <calculatedColumnFormula>IFERROR((tbl_raw[[#This Row],[Selling_Price]]-tbl_raw[[#This Row],[Cost_Price]]) / tbl_raw[[#This Row],[Selling_Price]],0)</calculatedColumnFormula>
    </tableColumn>
    <tableColumn id="16" xr3:uid="{A1312A24-C4AC-4354-BF88-BD96CE514F5F}" name="Shipping_Cost" dataDxfId="21"/>
    <tableColumn id="17" xr3:uid="{AE9BA525-1A7A-4901-8684-871B1E5211DB}" name="Net_Profit" dataDxfId="20">
      <calculatedColumnFormula>tbl_raw[[#This Row],[Gross_Profit]]-(tbl_raw[[#This Row],[Shipping_Cost]]*tbl_raw[[#This Row],[Units_Sold]])</calculatedColumnFormula>
    </tableColumn>
    <tableColumn id="18" xr3:uid="{4D8BA5EB-B3B6-4367-961F-E95BD6F6F766}" name="Net_Margin_Pct" dataDxfId="19">
      <calculatedColumnFormula>IFERROR(tbl_raw[[#This Row],[Net_Profit]]/(tbl_raw[[#This Row],[Selling_Price]]*tbl_raw[[#This Row],[Units_Sold]]),0)</calculatedColumnFormula>
    </tableColumn>
    <tableColumn id="19" xr3:uid="{E4142D08-1323-43AD-A231-526609B21100}" name="Payment_Method" dataDxfId="18"/>
    <tableColumn id="20" xr3:uid="{CAE682F3-FBF5-45CA-8109-6DFE92684D59}" name="Order_Status" dataDxfId="17"/>
    <tableColumn id="21" xr3:uid="{0275354D-A849-4F4C-A87E-04641777C2B6}" name="Return_Flag" dataDxfId="16">
      <calculatedColumnFormula>IF(tbl_raw[[#This Row],[Order_Status]]="Returned",1,0)</calculatedColumnFormula>
    </tableColumn>
    <tableColumn id="22" xr3:uid="{A0207374-4F06-4FAE-95D9-44B4AC7E8D25}" name="COD_Flag" dataDxfId="15">
      <calculatedColumnFormula>IF(tbl_raw[[#This Row],[Payment_Method]]="COD",1,0)</calculatedColumnFormula>
    </tableColumn>
    <tableColumn id="23" xr3:uid="{7885906B-F543-4A1A-9975-8BDB8B898954}" name="Return_Risk_Score" dataDxfId="14">
      <calculatedColumnFormula>MIN(1,(tbl_raw[[#This Row],[Discount_Pct]]*1.4)+(tbl_raw[[#This Row],[COD_Flag]]*0.35))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5AB25-E6EE-4D1C-BD84-E1182C394119}">
  <sheetPr codeName="Sheet1">
    <tabColor theme="5" tint="0.39997558519241921"/>
  </sheetPr>
  <dimension ref="A1:M51"/>
  <sheetViews>
    <sheetView workbookViewId="0">
      <selection activeCell="B45" sqref="B45"/>
    </sheetView>
  </sheetViews>
  <sheetFormatPr defaultRowHeight="14.4" x14ac:dyDescent="0.3"/>
  <cols>
    <col min="1" max="1" width="1.88671875" style="8" customWidth="1"/>
    <col min="2" max="2" width="28.6640625" customWidth="1"/>
    <col min="3" max="13" width="18.77734375" customWidth="1"/>
  </cols>
  <sheetData>
    <row r="1" spans="1:13" ht="36.6" customHeight="1" x14ac:dyDescent="0.3">
      <c r="A1" s="7"/>
      <c r="B1" s="104" t="s">
        <v>2558</v>
      </c>
      <c r="C1" s="104"/>
      <c r="D1" s="104"/>
      <c r="E1" s="104"/>
      <c r="F1" s="104"/>
      <c r="G1" s="104"/>
      <c r="H1" s="104"/>
      <c r="I1" s="104"/>
      <c r="J1" s="104"/>
      <c r="K1" s="104"/>
      <c r="L1" s="104"/>
      <c r="M1" s="104"/>
    </row>
    <row r="2" spans="1:13" x14ac:dyDescent="0.3">
      <c r="A2" s="7"/>
      <c r="B2" s="105" t="s">
        <v>2559</v>
      </c>
      <c r="C2" s="105"/>
      <c r="D2" s="105"/>
      <c r="E2" s="105"/>
      <c r="F2" s="105"/>
      <c r="G2" s="105"/>
      <c r="H2" s="105"/>
      <c r="I2" s="105"/>
      <c r="J2" s="105"/>
      <c r="K2" s="105"/>
      <c r="L2" s="105"/>
      <c r="M2" s="105"/>
    </row>
    <row r="3" spans="1:13" s="8" customFormat="1" ht="7.2" customHeight="1" x14ac:dyDescent="0.3">
      <c r="A3" s="7"/>
      <c r="B3" s="7"/>
      <c r="C3" s="7"/>
      <c r="D3" s="7"/>
      <c r="E3" s="7"/>
      <c r="F3" s="7"/>
      <c r="G3" s="7"/>
      <c r="H3" s="7"/>
      <c r="I3" s="7"/>
      <c r="J3" s="7"/>
      <c r="K3" s="7"/>
      <c r="L3" s="7"/>
      <c r="M3" s="7"/>
    </row>
    <row r="4" spans="1:13" ht="22.2" customHeight="1" x14ac:dyDescent="0.3">
      <c r="A4" s="7"/>
      <c r="B4" s="106" t="s">
        <v>2623</v>
      </c>
      <c r="C4" s="106"/>
      <c r="D4" s="106"/>
      <c r="E4" s="106"/>
      <c r="F4" s="106"/>
      <c r="G4" s="106"/>
      <c r="H4" s="106"/>
      <c r="I4" s="106"/>
      <c r="J4" s="106"/>
      <c r="K4" s="106"/>
      <c r="L4" s="106"/>
      <c r="M4" s="106"/>
    </row>
    <row r="5" spans="1:13" ht="24.6" customHeight="1" x14ac:dyDescent="0.3">
      <c r="A5" s="7"/>
      <c r="B5" s="93" t="s">
        <v>2626</v>
      </c>
      <c r="C5" s="103" t="s">
        <v>2560</v>
      </c>
      <c r="D5" s="103"/>
      <c r="E5" s="103"/>
      <c r="F5" s="103"/>
      <c r="G5" s="103"/>
      <c r="H5" s="103"/>
      <c r="I5" s="103"/>
      <c r="J5" s="103"/>
      <c r="K5" s="103"/>
      <c r="L5" s="103"/>
      <c r="M5" s="103"/>
    </row>
    <row r="6" spans="1:13" ht="24.6" customHeight="1" x14ac:dyDescent="0.3">
      <c r="A6" s="7"/>
      <c r="B6" s="93" t="s">
        <v>2627</v>
      </c>
      <c r="C6" s="103" t="s">
        <v>2561</v>
      </c>
      <c r="D6" s="103"/>
      <c r="E6" s="103"/>
      <c r="F6" s="103"/>
      <c r="G6" s="103"/>
      <c r="H6" s="103"/>
      <c r="I6" s="103"/>
      <c r="J6" s="103"/>
      <c r="K6" s="103"/>
      <c r="L6" s="103"/>
      <c r="M6" s="103"/>
    </row>
    <row r="7" spans="1:13" ht="24.6" customHeight="1" x14ac:dyDescent="0.3">
      <c r="A7" s="7"/>
      <c r="B7" s="93" t="s">
        <v>2628</v>
      </c>
      <c r="C7" s="103" t="s">
        <v>2562</v>
      </c>
      <c r="D7" s="103"/>
      <c r="E7" s="103"/>
      <c r="F7" s="103"/>
      <c r="G7" s="103"/>
      <c r="H7" s="103"/>
      <c r="I7" s="103"/>
      <c r="J7" s="103"/>
      <c r="K7" s="103"/>
      <c r="L7" s="103"/>
      <c r="M7" s="103"/>
    </row>
    <row r="8" spans="1:13" s="8" customFormat="1" ht="9" customHeight="1" x14ac:dyDescent="0.3">
      <c r="A8" s="7"/>
      <c r="B8" s="7"/>
      <c r="C8" s="7"/>
      <c r="D8" s="7"/>
      <c r="E8" s="7"/>
      <c r="F8" s="7"/>
      <c r="G8" s="7"/>
      <c r="H8" s="7"/>
      <c r="I8" s="7"/>
      <c r="J8" s="7"/>
      <c r="K8" s="7"/>
      <c r="L8" s="7"/>
      <c r="M8" s="7"/>
    </row>
    <row r="9" spans="1:13" ht="21" customHeight="1" x14ac:dyDescent="0.3">
      <c r="A9" s="7"/>
      <c r="B9" s="107" t="s">
        <v>2624</v>
      </c>
      <c r="C9" s="107"/>
      <c r="D9" s="107"/>
      <c r="E9" s="107"/>
      <c r="F9" s="107"/>
      <c r="G9" s="107"/>
      <c r="H9" s="107"/>
      <c r="I9" s="107"/>
      <c r="J9" s="107"/>
      <c r="K9" s="107"/>
      <c r="L9" s="107"/>
      <c r="M9" s="107"/>
    </row>
    <row r="10" spans="1:13" ht="28.8" customHeight="1" x14ac:dyDescent="0.3">
      <c r="A10" s="7"/>
      <c r="B10" s="93" t="s">
        <v>2563</v>
      </c>
      <c r="C10" s="103" t="s">
        <v>2609</v>
      </c>
      <c r="D10" s="103"/>
      <c r="E10" s="103"/>
      <c r="F10" s="103"/>
      <c r="G10" s="103"/>
      <c r="H10" s="103"/>
      <c r="I10" s="103"/>
      <c r="J10" s="103"/>
      <c r="K10" s="103"/>
      <c r="L10" s="103"/>
      <c r="M10" s="103"/>
    </row>
    <row r="11" spans="1:13" ht="28.8" customHeight="1" x14ac:dyDescent="0.3">
      <c r="A11" s="7"/>
      <c r="B11" s="93" t="s">
        <v>2564</v>
      </c>
      <c r="C11" s="103" t="s">
        <v>2565</v>
      </c>
      <c r="D11" s="103"/>
      <c r="E11" s="103"/>
      <c r="F11" s="103"/>
      <c r="G11" s="103"/>
      <c r="H11" s="103"/>
      <c r="I11" s="103"/>
      <c r="J11" s="103"/>
      <c r="K11" s="103"/>
      <c r="L11" s="103"/>
      <c r="M11" s="103"/>
    </row>
    <row r="12" spans="1:13" ht="28.8" customHeight="1" x14ac:dyDescent="0.3">
      <c r="A12" s="7"/>
      <c r="B12" s="93" t="s">
        <v>2566</v>
      </c>
      <c r="C12" s="103" t="s">
        <v>2567</v>
      </c>
      <c r="D12" s="103"/>
      <c r="E12" s="103"/>
      <c r="F12" s="103"/>
      <c r="G12" s="103"/>
      <c r="H12" s="103"/>
      <c r="I12" s="103"/>
      <c r="J12" s="103"/>
      <c r="K12" s="103"/>
      <c r="L12" s="103"/>
      <c r="M12" s="103"/>
    </row>
    <row r="13" spans="1:13" ht="28.8" customHeight="1" x14ac:dyDescent="0.3">
      <c r="A13" s="7"/>
      <c r="B13" s="93" t="s">
        <v>2568</v>
      </c>
      <c r="C13" s="103" t="s">
        <v>2569</v>
      </c>
      <c r="D13" s="103"/>
      <c r="E13" s="103"/>
      <c r="F13" s="103"/>
      <c r="G13" s="103"/>
      <c r="H13" s="103"/>
      <c r="I13" s="103"/>
      <c r="J13" s="103"/>
      <c r="K13" s="103"/>
      <c r="L13" s="103"/>
      <c r="M13" s="103"/>
    </row>
    <row r="14" spans="1:13" ht="28.8" customHeight="1" x14ac:dyDescent="0.3">
      <c r="A14" s="7"/>
      <c r="B14" s="93" t="s">
        <v>2570</v>
      </c>
      <c r="C14" s="103" t="s">
        <v>2571</v>
      </c>
      <c r="D14" s="103"/>
      <c r="E14" s="103"/>
      <c r="F14" s="103"/>
      <c r="G14" s="103"/>
      <c r="H14" s="103"/>
      <c r="I14" s="103"/>
      <c r="J14" s="103"/>
      <c r="K14" s="103"/>
      <c r="L14" s="103"/>
      <c r="M14" s="103"/>
    </row>
    <row r="15" spans="1:13" ht="28.8" customHeight="1" x14ac:dyDescent="0.3">
      <c r="A15" s="7"/>
      <c r="B15" s="93" t="s">
        <v>2572</v>
      </c>
      <c r="C15" s="103" t="s">
        <v>2573</v>
      </c>
      <c r="D15" s="103"/>
      <c r="E15" s="103"/>
      <c r="F15" s="103"/>
      <c r="G15" s="103"/>
      <c r="H15" s="103"/>
      <c r="I15" s="103"/>
      <c r="J15" s="103"/>
      <c r="K15" s="103"/>
      <c r="L15" s="103"/>
      <c r="M15" s="103"/>
    </row>
    <row r="16" spans="1:13" s="8" customFormat="1" ht="9.6" customHeight="1" x14ac:dyDescent="0.3">
      <c r="A16" s="7"/>
      <c r="B16" s="7"/>
      <c r="C16" s="7"/>
      <c r="D16" s="7"/>
      <c r="E16" s="7"/>
      <c r="F16" s="7"/>
      <c r="G16" s="7"/>
      <c r="H16" s="7"/>
      <c r="I16" s="7"/>
      <c r="J16" s="7"/>
      <c r="K16" s="7"/>
      <c r="L16" s="7"/>
      <c r="M16" s="7"/>
    </row>
    <row r="17" spans="1:13" ht="22.8" customHeight="1" x14ac:dyDescent="0.3">
      <c r="A17" s="7"/>
      <c r="B17" s="108" t="s">
        <v>2625</v>
      </c>
      <c r="C17" s="108"/>
      <c r="D17" s="108"/>
      <c r="E17" s="108"/>
      <c r="F17" s="108"/>
      <c r="G17" s="108"/>
      <c r="H17" s="108"/>
      <c r="I17" s="108"/>
      <c r="J17" s="108"/>
      <c r="K17" s="108"/>
      <c r="L17" s="108"/>
      <c r="M17" s="108"/>
    </row>
    <row r="18" spans="1:13" ht="19.2" customHeight="1" x14ac:dyDescent="0.3">
      <c r="A18" s="7"/>
      <c r="B18" s="93" t="s">
        <v>2610</v>
      </c>
      <c r="C18" s="103" t="s">
        <v>2611</v>
      </c>
      <c r="D18" s="103"/>
      <c r="E18" s="103"/>
      <c r="F18" s="103"/>
      <c r="G18" s="103"/>
      <c r="H18" s="103"/>
      <c r="I18" s="103"/>
      <c r="J18" s="103"/>
      <c r="K18" s="103"/>
      <c r="L18" s="103"/>
      <c r="M18" s="103"/>
    </row>
    <row r="19" spans="1:13" ht="19.2" customHeight="1" x14ac:dyDescent="0.3">
      <c r="A19" s="7"/>
      <c r="B19" s="93" t="s">
        <v>2616</v>
      </c>
      <c r="C19" s="103" t="s">
        <v>2574</v>
      </c>
      <c r="D19" s="103"/>
      <c r="E19" s="103"/>
      <c r="F19" s="103"/>
      <c r="G19" s="103"/>
      <c r="H19" s="103"/>
      <c r="I19" s="103"/>
      <c r="J19" s="103"/>
      <c r="K19" s="103"/>
      <c r="L19" s="103"/>
      <c r="M19" s="103"/>
    </row>
    <row r="20" spans="1:13" ht="19.2" customHeight="1" x14ac:dyDescent="0.3">
      <c r="A20" s="7"/>
      <c r="B20" s="93" t="s">
        <v>2617</v>
      </c>
      <c r="C20" s="103" t="s">
        <v>2575</v>
      </c>
      <c r="D20" s="103"/>
      <c r="E20" s="103"/>
      <c r="F20" s="103"/>
      <c r="G20" s="103"/>
      <c r="H20" s="103"/>
      <c r="I20" s="103"/>
      <c r="J20" s="103"/>
      <c r="K20" s="103"/>
      <c r="L20" s="103"/>
      <c r="M20" s="103"/>
    </row>
    <row r="21" spans="1:13" ht="19.2" customHeight="1" x14ac:dyDescent="0.3">
      <c r="A21" s="7"/>
      <c r="B21" s="93" t="s">
        <v>2618</v>
      </c>
      <c r="C21" s="103" t="s">
        <v>2576</v>
      </c>
      <c r="D21" s="103"/>
      <c r="E21" s="103"/>
      <c r="F21" s="103"/>
      <c r="G21" s="103"/>
      <c r="H21" s="103"/>
      <c r="I21" s="103"/>
      <c r="J21" s="103"/>
      <c r="K21" s="103"/>
      <c r="L21" s="103"/>
      <c r="M21" s="103"/>
    </row>
    <row r="22" spans="1:13" ht="19.2" customHeight="1" x14ac:dyDescent="0.3">
      <c r="A22" s="7"/>
      <c r="B22" s="93" t="s">
        <v>2619</v>
      </c>
      <c r="C22" s="103" t="s">
        <v>2577</v>
      </c>
      <c r="D22" s="103"/>
      <c r="E22" s="103"/>
      <c r="F22" s="103"/>
      <c r="G22" s="103"/>
      <c r="H22" s="103"/>
      <c r="I22" s="103"/>
      <c r="J22" s="103"/>
      <c r="K22" s="103"/>
      <c r="L22" s="103"/>
      <c r="M22" s="103"/>
    </row>
    <row r="23" spans="1:13" ht="19.2" customHeight="1" x14ac:dyDescent="0.3">
      <c r="A23" s="7"/>
      <c r="B23" s="93" t="s">
        <v>2620</v>
      </c>
      <c r="C23" s="103" t="s">
        <v>2578</v>
      </c>
      <c r="D23" s="103"/>
      <c r="E23" s="103"/>
      <c r="F23" s="103"/>
      <c r="G23" s="103"/>
      <c r="H23" s="103"/>
      <c r="I23" s="103"/>
      <c r="J23" s="103"/>
      <c r="K23" s="103"/>
      <c r="L23" s="103"/>
      <c r="M23" s="103"/>
    </row>
    <row r="24" spans="1:13" ht="19.2" customHeight="1" x14ac:dyDescent="0.3">
      <c r="A24" s="7"/>
      <c r="B24" s="93" t="s">
        <v>2621</v>
      </c>
      <c r="C24" s="103" t="s">
        <v>2579</v>
      </c>
      <c r="D24" s="103"/>
      <c r="E24" s="103"/>
      <c r="F24" s="103"/>
      <c r="G24" s="103"/>
      <c r="H24" s="103"/>
      <c r="I24" s="103"/>
      <c r="J24" s="103"/>
      <c r="K24" s="103"/>
      <c r="L24" s="103"/>
      <c r="M24" s="103"/>
    </row>
    <row r="25" spans="1:13" ht="19.2" customHeight="1" x14ac:dyDescent="0.3">
      <c r="A25" s="7"/>
      <c r="B25" s="93" t="s">
        <v>2622</v>
      </c>
      <c r="C25" s="103" t="s">
        <v>2580</v>
      </c>
      <c r="D25" s="103"/>
      <c r="E25" s="103"/>
      <c r="F25" s="103"/>
      <c r="G25" s="103"/>
      <c r="H25" s="103"/>
      <c r="I25" s="103"/>
      <c r="J25" s="103"/>
      <c r="K25" s="103"/>
      <c r="L25" s="103"/>
      <c r="M25" s="103"/>
    </row>
    <row r="26" spans="1:13" s="8" customFormat="1" ht="7.8" customHeight="1" x14ac:dyDescent="0.3">
      <c r="A26" s="7"/>
      <c r="B26" s="7"/>
      <c r="C26" s="7"/>
      <c r="D26" s="7"/>
      <c r="E26" s="7"/>
      <c r="F26" s="7"/>
      <c r="G26" s="7"/>
      <c r="H26" s="7"/>
      <c r="I26" s="7"/>
      <c r="J26" s="7"/>
      <c r="K26" s="7"/>
      <c r="L26" s="7"/>
      <c r="M26" s="7"/>
    </row>
    <row r="27" spans="1:13" ht="22.8" customHeight="1" x14ac:dyDescent="0.3">
      <c r="A27" s="7"/>
      <c r="B27" s="109" t="s">
        <v>2636</v>
      </c>
      <c r="C27" s="109"/>
      <c r="D27" s="109"/>
      <c r="E27" s="109"/>
      <c r="F27" s="109"/>
      <c r="G27" s="109"/>
      <c r="H27" s="109"/>
      <c r="I27" s="109"/>
      <c r="J27" s="109"/>
      <c r="K27" s="109"/>
      <c r="L27" s="109"/>
      <c r="M27" s="109"/>
    </row>
    <row r="28" spans="1:13" ht="27" customHeight="1" x14ac:dyDescent="0.3">
      <c r="A28" s="7"/>
      <c r="B28" s="93" t="s">
        <v>2581</v>
      </c>
      <c r="C28" s="103" t="s">
        <v>2582</v>
      </c>
      <c r="D28" s="103"/>
      <c r="E28" s="103"/>
      <c r="F28" s="103"/>
      <c r="G28" s="103"/>
      <c r="H28" s="103"/>
      <c r="I28" s="103"/>
      <c r="J28" s="103"/>
      <c r="K28" s="103"/>
      <c r="L28" s="103"/>
      <c r="M28" s="103"/>
    </row>
    <row r="29" spans="1:13" ht="27" customHeight="1" x14ac:dyDescent="0.3">
      <c r="A29" s="7"/>
      <c r="B29" s="93" t="s">
        <v>2583</v>
      </c>
      <c r="C29" s="103" t="s">
        <v>2608</v>
      </c>
      <c r="D29" s="103"/>
      <c r="E29" s="103"/>
      <c r="F29" s="103"/>
      <c r="G29" s="103"/>
      <c r="H29" s="103"/>
      <c r="I29" s="103"/>
      <c r="J29" s="103"/>
      <c r="K29" s="103"/>
      <c r="L29" s="103"/>
      <c r="M29" s="103"/>
    </row>
    <row r="30" spans="1:13" ht="27" customHeight="1" x14ac:dyDescent="0.3">
      <c r="A30" s="7"/>
      <c r="B30" s="93" t="s">
        <v>2584</v>
      </c>
      <c r="C30" s="103" t="s">
        <v>2585</v>
      </c>
      <c r="D30" s="103"/>
      <c r="E30" s="103"/>
      <c r="F30" s="103"/>
      <c r="G30" s="103"/>
      <c r="H30" s="103"/>
      <c r="I30" s="103"/>
      <c r="J30" s="103"/>
      <c r="K30" s="103"/>
      <c r="L30" s="103"/>
      <c r="M30" s="103"/>
    </row>
    <row r="31" spans="1:13" ht="27" customHeight="1" x14ac:dyDescent="0.3">
      <c r="A31" s="7"/>
      <c r="B31" s="93" t="s">
        <v>2586</v>
      </c>
      <c r="C31" s="103" t="s">
        <v>2587</v>
      </c>
      <c r="D31" s="103"/>
      <c r="E31" s="103"/>
      <c r="F31" s="103"/>
      <c r="G31" s="103"/>
      <c r="H31" s="103"/>
      <c r="I31" s="103"/>
      <c r="J31" s="103"/>
      <c r="K31" s="103"/>
      <c r="L31" s="103"/>
      <c r="M31" s="103"/>
    </row>
    <row r="32" spans="1:13" ht="27" customHeight="1" x14ac:dyDescent="0.3">
      <c r="A32" s="7"/>
      <c r="B32" s="93" t="s">
        <v>2606</v>
      </c>
      <c r="C32" s="103" t="s">
        <v>2607</v>
      </c>
      <c r="D32" s="110"/>
      <c r="E32" s="110"/>
      <c r="F32" s="110"/>
      <c r="G32" s="110"/>
      <c r="H32" s="110"/>
      <c r="I32" s="110"/>
      <c r="J32" s="110"/>
      <c r="K32" s="110"/>
      <c r="L32" s="110"/>
      <c r="M32" s="110"/>
    </row>
    <row r="33" spans="1:13" ht="27" customHeight="1" x14ac:dyDescent="0.3">
      <c r="A33" s="7"/>
      <c r="B33" s="93" t="s">
        <v>2612</v>
      </c>
      <c r="C33" s="103" t="s">
        <v>2588</v>
      </c>
      <c r="D33" s="103"/>
      <c r="E33" s="103"/>
      <c r="F33" s="103"/>
      <c r="G33" s="103"/>
      <c r="H33" s="103"/>
      <c r="I33" s="103"/>
      <c r="J33" s="103"/>
      <c r="K33" s="103"/>
      <c r="L33" s="103"/>
      <c r="M33" s="103"/>
    </row>
    <row r="34" spans="1:13" s="8" customFormat="1" ht="7.8" customHeight="1" x14ac:dyDescent="0.3">
      <c r="A34" s="7"/>
      <c r="B34" s="7"/>
      <c r="C34" s="7"/>
      <c r="D34" s="7"/>
      <c r="E34" s="7"/>
      <c r="F34" s="7"/>
      <c r="G34" s="7"/>
      <c r="H34" s="7"/>
      <c r="I34" s="7"/>
      <c r="J34" s="7"/>
      <c r="K34" s="7"/>
      <c r="L34" s="7"/>
      <c r="M34" s="7"/>
    </row>
    <row r="35" spans="1:13" ht="23.4" customHeight="1" x14ac:dyDescent="0.3">
      <c r="A35" s="7"/>
      <c r="B35" s="106" t="s">
        <v>2637</v>
      </c>
      <c r="C35" s="106"/>
      <c r="D35" s="106"/>
      <c r="E35" s="106"/>
      <c r="F35" s="106"/>
      <c r="G35" s="106"/>
      <c r="H35" s="106"/>
      <c r="I35" s="106"/>
      <c r="J35" s="106"/>
      <c r="K35" s="106"/>
      <c r="L35" s="106"/>
      <c r="M35" s="106"/>
    </row>
    <row r="36" spans="1:13" ht="18" customHeight="1" x14ac:dyDescent="0.3">
      <c r="A36" s="7"/>
      <c r="B36" s="93" t="s">
        <v>2629</v>
      </c>
      <c r="C36" s="103" t="s">
        <v>2589</v>
      </c>
      <c r="D36" s="103"/>
      <c r="E36" s="103"/>
      <c r="F36" s="103"/>
      <c r="G36" s="103"/>
      <c r="H36" s="103"/>
      <c r="I36" s="103"/>
      <c r="J36" s="103"/>
      <c r="K36" s="103"/>
      <c r="L36" s="103"/>
      <c r="M36" s="103"/>
    </row>
    <row r="37" spans="1:13" ht="18" customHeight="1" x14ac:dyDescent="0.3">
      <c r="A37" s="7"/>
      <c r="B37" s="93" t="s">
        <v>2630</v>
      </c>
      <c r="C37" s="103" t="s">
        <v>2590</v>
      </c>
      <c r="D37" s="103"/>
      <c r="E37" s="103"/>
      <c r="F37" s="103"/>
      <c r="G37" s="103"/>
      <c r="H37" s="103"/>
      <c r="I37" s="103"/>
      <c r="J37" s="103"/>
      <c r="K37" s="103"/>
      <c r="L37" s="103"/>
      <c r="M37" s="103"/>
    </row>
    <row r="38" spans="1:13" ht="18" customHeight="1" x14ac:dyDescent="0.3">
      <c r="A38" s="7"/>
      <c r="B38" s="93" t="s">
        <v>2631</v>
      </c>
      <c r="C38" s="103" t="s">
        <v>2591</v>
      </c>
      <c r="D38" s="103"/>
      <c r="E38" s="103"/>
      <c r="F38" s="103"/>
      <c r="G38" s="103"/>
      <c r="H38" s="103"/>
      <c r="I38" s="103"/>
      <c r="J38" s="103"/>
      <c r="K38" s="103"/>
      <c r="L38" s="103"/>
      <c r="M38" s="103"/>
    </row>
    <row r="39" spans="1:13" ht="18" customHeight="1" x14ac:dyDescent="0.3">
      <c r="A39" s="7"/>
      <c r="B39" s="93" t="s">
        <v>2632</v>
      </c>
      <c r="C39" s="103" t="s">
        <v>2592</v>
      </c>
      <c r="D39" s="103"/>
      <c r="E39" s="103"/>
      <c r="F39" s="103"/>
      <c r="G39" s="103"/>
      <c r="H39" s="103"/>
      <c r="I39" s="103"/>
      <c r="J39" s="103"/>
      <c r="K39" s="103"/>
      <c r="L39" s="103"/>
      <c r="M39" s="103"/>
    </row>
    <row r="40" spans="1:13" ht="18" customHeight="1" x14ac:dyDescent="0.3">
      <c r="A40" s="7"/>
      <c r="B40" s="93" t="s">
        <v>2633</v>
      </c>
      <c r="C40" s="103" t="s">
        <v>2605</v>
      </c>
      <c r="D40" s="103"/>
      <c r="E40" s="103"/>
      <c r="F40" s="103"/>
      <c r="G40" s="103"/>
      <c r="H40" s="103"/>
      <c r="I40" s="103"/>
      <c r="J40" s="103"/>
      <c r="K40" s="103"/>
      <c r="L40" s="103"/>
      <c r="M40" s="103"/>
    </row>
    <row r="41" spans="1:13" ht="18" customHeight="1" x14ac:dyDescent="0.3">
      <c r="A41" s="7"/>
      <c r="B41" s="93" t="s">
        <v>2634</v>
      </c>
      <c r="C41" s="103" t="s">
        <v>2593</v>
      </c>
      <c r="D41" s="103"/>
      <c r="E41" s="103"/>
      <c r="F41" s="103"/>
      <c r="G41" s="103"/>
      <c r="H41" s="103"/>
      <c r="I41" s="103"/>
      <c r="J41" s="103"/>
      <c r="K41" s="103"/>
      <c r="L41" s="103"/>
      <c r="M41" s="103"/>
    </row>
    <row r="42" spans="1:13" ht="18" customHeight="1" x14ac:dyDescent="0.3">
      <c r="A42" s="7"/>
      <c r="B42" s="93" t="s">
        <v>2635</v>
      </c>
      <c r="C42" s="103" t="s">
        <v>2594</v>
      </c>
      <c r="D42" s="103"/>
      <c r="E42" s="103"/>
      <c r="F42" s="103"/>
      <c r="G42" s="103"/>
      <c r="H42" s="103"/>
      <c r="I42" s="103"/>
      <c r="J42" s="103"/>
      <c r="K42" s="103"/>
      <c r="L42" s="103"/>
      <c r="M42" s="103"/>
    </row>
    <row r="43" spans="1:13" s="8" customFormat="1" ht="10.8" customHeight="1" x14ac:dyDescent="0.3">
      <c r="A43" s="7"/>
      <c r="B43" s="7"/>
      <c r="C43" s="7"/>
      <c r="D43" s="7"/>
      <c r="E43" s="7"/>
      <c r="F43" s="7"/>
      <c r="G43" s="7"/>
      <c r="H43" s="7"/>
      <c r="I43" s="7"/>
      <c r="J43" s="7"/>
      <c r="K43" s="7"/>
      <c r="L43" s="7"/>
      <c r="M43" s="7"/>
    </row>
    <row r="44" spans="1:13" ht="15.6" x14ac:dyDescent="0.3">
      <c r="A44" s="7"/>
      <c r="B44" s="108" t="s">
        <v>2638</v>
      </c>
      <c r="C44" s="108"/>
      <c r="D44" s="108"/>
      <c r="E44" s="108"/>
      <c r="F44" s="108"/>
      <c r="G44" s="108"/>
      <c r="H44" s="108"/>
      <c r="I44" s="108"/>
      <c r="J44" s="108"/>
      <c r="K44" s="108"/>
      <c r="L44" s="108"/>
      <c r="M44" s="108"/>
    </row>
    <row r="45" spans="1:13" ht="22.2" customHeight="1" x14ac:dyDescent="0.3">
      <c r="A45" s="7"/>
      <c r="B45" s="93" t="s">
        <v>2595</v>
      </c>
      <c r="C45" s="103" t="s">
        <v>2596</v>
      </c>
      <c r="D45" s="103"/>
      <c r="E45" s="103"/>
      <c r="F45" s="103"/>
      <c r="G45" s="103"/>
      <c r="H45" s="103"/>
      <c r="I45" s="103"/>
      <c r="J45" s="103"/>
      <c r="K45" s="103"/>
      <c r="L45" s="103"/>
      <c r="M45" s="103"/>
    </row>
    <row r="46" spans="1:13" ht="22.2" customHeight="1" x14ac:dyDescent="0.3">
      <c r="A46" s="7"/>
      <c r="B46" s="93" t="s">
        <v>2597</v>
      </c>
      <c r="C46" s="103" t="s">
        <v>2598</v>
      </c>
      <c r="D46" s="103"/>
      <c r="E46" s="103"/>
      <c r="F46" s="103"/>
      <c r="G46" s="103"/>
      <c r="H46" s="103"/>
      <c r="I46" s="103"/>
      <c r="J46" s="103"/>
      <c r="K46" s="103"/>
      <c r="L46" s="103"/>
      <c r="M46" s="103"/>
    </row>
    <row r="47" spans="1:13" ht="22.2" customHeight="1" x14ac:dyDescent="0.3">
      <c r="A47" s="7"/>
      <c r="B47" s="93" t="s">
        <v>2599</v>
      </c>
      <c r="C47" s="103" t="s">
        <v>2600</v>
      </c>
      <c r="D47" s="103"/>
      <c r="E47" s="103"/>
      <c r="F47" s="103"/>
      <c r="G47" s="103"/>
      <c r="H47" s="103"/>
      <c r="I47" s="103"/>
      <c r="J47" s="103"/>
      <c r="K47" s="103"/>
      <c r="L47" s="103"/>
      <c r="M47" s="103"/>
    </row>
    <row r="48" spans="1:13" ht="22.2" customHeight="1" x14ac:dyDescent="0.3">
      <c r="A48" s="7"/>
      <c r="B48" s="93" t="s">
        <v>2601</v>
      </c>
      <c r="C48" s="103" t="s">
        <v>2602</v>
      </c>
      <c r="D48" s="103"/>
      <c r="E48" s="103"/>
      <c r="F48" s="103"/>
      <c r="G48" s="103"/>
      <c r="H48" s="103"/>
      <c r="I48" s="103"/>
      <c r="J48" s="103"/>
      <c r="K48" s="103"/>
      <c r="L48" s="103"/>
      <c r="M48" s="103"/>
    </row>
    <row r="49" spans="1:13" ht="22.2" customHeight="1" x14ac:dyDescent="0.3">
      <c r="A49" s="7"/>
      <c r="B49" s="93" t="s">
        <v>2603</v>
      </c>
      <c r="C49" s="103" t="s">
        <v>2604</v>
      </c>
      <c r="D49" s="103"/>
      <c r="E49" s="103"/>
      <c r="F49" s="103"/>
      <c r="G49" s="103"/>
      <c r="H49" s="103"/>
      <c r="I49" s="103"/>
      <c r="J49" s="103"/>
      <c r="K49" s="103"/>
      <c r="L49" s="103"/>
      <c r="M49" s="103"/>
    </row>
    <row r="50" spans="1:13" x14ac:dyDescent="0.3">
      <c r="A50" s="7"/>
    </row>
    <row r="51" spans="1:13" x14ac:dyDescent="0.3">
      <c r="A51" s="7"/>
    </row>
  </sheetData>
  <mergeCells count="43">
    <mergeCell ref="C36:M36"/>
    <mergeCell ref="C49:M49"/>
    <mergeCell ref="C37:M37"/>
    <mergeCell ref="C38:M38"/>
    <mergeCell ref="C39:M39"/>
    <mergeCell ref="C40:M40"/>
    <mergeCell ref="C41:M41"/>
    <mergeCell ref="C42:M42"/>
    <mergeCell ref="B44:M44"/>
    <mergeCell ref="C45:M45"/>
    <mergeCell ref="C46:M46"/>
    <mergeCell ref="C47:M47"/>
    <mergeCell ref="C48:M48"/>
    <mergeCell ref="C29:M29"/>
    <mergeCell ref="C30:M30"/>
    <mergeCell ref="C31:M31"/>
    <mergeCell ref="C33:M33"/>
    <mergeCell ref="B35:M35"/>
    <mergeCell ref="C32:M32"/>
    <mergeCell ref="C28:M28"/>
    <mergeCell ref="C15:M15"/>
    <mergeCell ref="B17:M17"/>
    <mergeCell ref="C18:M18"/>
    <mergeCell ref="C19:M19"/>
    <mergeCell ref="C20:M20"/>
    <mergeCell ref="C21:M21"/>
    <mergeCell ref="C22:M22"/>
    <mergeCell ref="C23:M23"/>
    <mergeCell ref="C24:M24"/>
    <mergeCell ref="C25:M25"/>
    <mergeCell ref="B27:M27"/>
    <mergeCell ref="C14:M14"/>
    <mergeCell ref="B1:M1"/>
    <mergeCell ref="B2:M2"/>
    <mergeCell ref="B4:M4"/>
    <mergeCell ref="C5:M5"/>
    <mergeCell ref="C6:M6"/>
    <mergeCell ref="C7:M7"/>
    <mergeCell ref="B9:M9"/>
    <mergeCell ref="C10:M10"/>
    <mergeCell ref="C11:M11"/>
    <mergeCell ref="C12:M12"/>
    <mergeCell ref="C13:M1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3D00B-397B-426E-B772-58B945C34F4C}">
  <sheetPr codeName="Sheet3">
    <tabColor theme="5" tint="0.39997558519241921"/>
  </sheetPr>
  <dimension ref="A1:U94"/>
  <sheetViews>
    <sheetView showGridLines="0" tabSelected="1" topLeftCell="D1" workbookViewId="0">
      <pane ySplit="1" topLeftCell="A17" activePane="bottomLeft" state="frozen"/>
      <selection pane="bottomLeft" activeCell="N32" sqref="N32"/>
    </sheetView>
  </sheetViews>
  <sheetFormatPr defaultRowHeight="13.8" x14ac:dyDescent="0.25"/>
  <cols>
    <col min="1" max="1" width="1.44140625" style="2" customWidth="1"/>
    <col min="2" max="5" width="12.33203125" style="2" customWidth="1"/>
    <col min="6" max="6" width="1.33203125" style="2" customWidth="1"/>
    <col min="7" max="7" width="12.33203125" style="2" customWidth="1"/>
    <col min="8" max="8" width="13.33203125" style="2" customWidth="1"/>
    <col min="9" max="9" width="13.6640625" style="2" customWidth="1"/>
    <col min="10" max="10" width="12.33203125" style="2" customWidth="1"/>
    <col min="11" max="11" width="1.5546875" style="2" customWidth="1"/>
    <col min="12" max="15" width="12.21875" style="2" customWidth="1"/>
    <col min="16" max="16" width="1.33203125" style="2" customWidth="1"/>
    <col min="17" max="20" width="12.21875" style="2" customWidth="1"/>
    <col min="21" max="21" width="2.109375" style="2" customWidth="1"/>
    <col min="22" max="16384" width="8.88671875" style="2"/>
  </cols>
  <sheetData>
    <row r="1" spans="1:21" ht="55.2" customHeight="1" x14ac:dyDescent="0.25">
      <c r="A1" s="114" t="s">
        <v>2639</v>
      </c>
      <c r="B1" s="114"/>
      <c r="C1" s="114"/>
      <c r="D1" s="114"/>
      <c r="E1" s="114"/>
      <c r="F1" s="114"/>
      <c r="G1" s="114"/>
      <c r="H1" s="114"/>
      <c r="I1" s="114"/>
      <c r="J1" s="114"/>
      <c r="K1" s="114"/>
      <c r="L1" s="114"/>
      <c r="M1" s="114"/>
      <c r="N1" s="114"/>
      <c r="O1" s="114"/>
      <c r="P1" s="114"/>
      <c r="Q1" s="114"/>
      <c r="R1" s="114"/>
      <c r="S1" s="114"/>
      <c r="T1" s="114"/>
      <c r="U1" s="114"/>
    </row>
    <row r="2" spans="1:21" s="65" customFormat="1" ht="9" customHeight="1" x14ac:dyDescent="0.25">
      <c r="A2" s="64"/>
      <c r="B2" s="64"/>
      <c r="C2" s="64"/>
      <c r="D2" s="64"/>
      <c r="E2" s="64"/>
      <c r="F2" s="64"/>
      <c r="G2" s="64"/>
      <c r="H2" s="64"/>
      <c r="I2" s="64"/>
      <c r="J2" s="64"/>
      <c r="K2" s="64"/>
      <c r="L2" s="64"/>
      <c r="M2" s="64"/>
      <c r="N2" s="64"/>
      <c r="O2" s="64"/>
      <c r="P2" s="64"/>
      <c r="Q2" s="64"/>
      <c r="R2" s="64"/>
      <c r="S2" s="64"/>
      <c r="T2" s="64"/>
      <c r="U2" s="64"/>
    </row>
    <row r="3" spans="1:21" ht="23.4" customHeight="1" x14ac:dyDescent="0.25">
      <c r="A3" s="115" t="s">
        <v>2644</v>
      </c>
      <c r="B3" s="115"/>
      <c r="C3" s="115"/>
      <c r="D3" s="115"/>
      <c r="E3" s="115"/>
      <c r="F3" s="115"/>
      <c r="G3" s="115"/>
      <c r="H3" s="115"/>
      <c r="I3" s="115"/>
      <c r="J3" s="115"/>
      <c r="K3" s="115"/>
      <c r="L3" s="115"/>
      <c r="M3" s="115"/>
      <c r="N3" s="115"/>
      <c r="O3" s="115"/>
      <c r="P3" s="115"/>
      <c r="Q3" s="115"/>
      <c r="R3" s="115"/>
      <c r="S3" s="115"/>
      <c r="T3" s="115"/>
      <c r="U3" s="115"/>
    </row>
    <row r="4" spans="1:21" s="65" customFormat="1" ht="7.2" customHeight="1" x14ac:dyDescent="0.25">
      <c r="A4" s="64"/>
      <c r="B4" s="64"/>
      <c r="C4" s="64"/>
      <c r="D4" s="64"/>
      <c r="E4" s="64"/>
      <c r="F4" s="64"/>
      <c r="G4" s="64"/>
      <c r="H4" s="64"/>
      <c r="I4" s="64"/>
      <c r="J4" s="64"/>
      <c r="K4" s="64"/>
      <c r="L4" s="64"/>
      <c r="M4" s="64"/>
      <c r="N4" s="64"/>
      <c r="O4" s="64"/>
      <c r="P4" s="64"/>
      <c r="Q4" s="64"/>
      <c r="R4" s="64"/>
      <c r="S4" s="64"/>
      <c r="T4" s="64"/>
      <c r="U4" s="64"/>
    </row>
    <row r="5" spans="1:21" ht="51.6" customHeight="1" x14ac:dyDescent="0.4">
      <c r="A5" s="64"/>
      <c r="B5" s="116" t="s">
        <v>2640</v>
      </c>
      <c r="C5" s="116"/>
      <c r="D5" s="116"/>
      <c r="E5" s="116"/>
      <c r="F5" s="66"/>
      <c r="G5" s="117" t="s">
        <v>2641</v>
      </c>
      <c r="H5" s="117"/>
      <c r="I5" s="117"/>
      <c r="J5" s="117"/>
      <c r="K5" s="66"/>
      <c r="L5" s="118" t="s">
        <v>2642</v>
      </c>
      <c r="M5" s="118"/>
      <c r="N5" s="118"/>
      <c r="O5" s="118"/>
      <c r="P5" s="66"/>
      <c r="Q5" s="119" t="s">
        <v>2643</v>
      </c>
      <c r="R5" s="119"/>
      <c r="S5" s="119"/>
      <c r="T5" s="119"/>
      <c r="U5" s="64"/>
    </row>
    <row r="6" spans="1:21" ht="49.8" customHeight="1" x14ac:dyDescent="0.4">
      <c r="B6" s="112">
        <f>Calculations!B3</f>
        <v>32210041</v>
      </c>
      <c r="C6" s="112"/>
      <c r="D6" s="112"/>
      <c r="E6" s="112"/>
      <c r="F6" s="67"/>
      <c r="G6" s="113">
        <f>Calculations!B4</f>
        <v>1000</v>
      </c>
      <c r="H6" s="113"/>
      <c r="I6" s="113"/>
      <c r="J6" s="113"/>
      <c r="K6" s="68"/>
      <c r="L6" s="112">
        <f>Calculations!B6</f>
        <v>7963908</v>
      </c>
      <c r="M6" s="112"/>
      <c r="N6" s="112"/>
      <c r="O6" s="112"/>
      <c r="P6" s="68"/>
      <c r="Q6" s="112">
        <f>Calculations!B7</f>
        <v>6860574</v>
      </c>
      <c r="R6" s="112"/>
      <c r="S6" s="112"/>
      <c r="T6" s="112"/>
    </row>
    <row r="7" spans="1:21" ht="14.4" customHeight="1" x14ac:dyDescent="0.25"/>
    <row r="8" spans="1:21" ht="47.4" customHeight="1" x14ac:dyDescent="0.4">
      <c r="B8" s="120" t="s">
        <v>2645</v>
      </c>
      <c r="C8" s="120"/>
      <c r="D8" s="120"/>
      <c r="E8" s="120"/>
      <c r="F8" s="67"/>
      <c r="G8" s="121" t="s">
        <v>2646</v>
      </c>
      <c r="H8" s="121"/>
      <c r="I8" s="121"/>
      <c r="J8" s="121"/>
      <c r="K8" s="67"/>
      <c r="L8" s="117" t="s">
        <v>2647</v>
      </c>
      <c r="M8" s="117"/>
      <c r="N8" s="117"/>
      <c r="O8" s="117"/>
      <c r="P8" s="67"/>
      <c r="Q8" s="119" t="s">
        <v>2648</v>
      </c>
      <c r="R8" s="119"/>
      <c r="S8" s="119"/>
      <c r="T8" s="119"/>
    </row>
    <row r="9" spans="1:21" ht="46.8" customHeight="1" x14ac:dyDescent="0.25">
      <c r="B9" s="112">
        <f>Calculations!B15</f>
        <v>9998258</v>
      </c>
      <c r="C9" s="112"/>
      <c r="D9" s="112"/>
      <c r="E9" s="112"/>
      <c r="F9" s="69"/>
      <c r="G9" s="112">
        <f>Calculations!B16</f>
        <v>813216</v>
      </c>
      <c r="H9" s="112"/>
      <c r="I9" s="112"/>
      <c r="J9" s="112"/>
      <c r="K9" s="69"/>
      <c r="L9" s="112">
        <f>Calculations!B17</f>
        <v>42208299</v>
      </c>
      <c r="M9" s="112"/>
      <c r="N9" s="112"/>
      <c r="O9" s="112"/>
      <c r="P9" s="69"/>
      <c r="Q9" s="112">
        <f>Calculations!B18</f>
        <v>32210.041000000001</v>
      </c>
      <c r="R9" s="112"/>
      <c r="S9" s="112"/>
      <c r="T9" s="112"/>
    </row>
    <row r="11" spans="1:21" ht="47.4" customHeight="1" x14ac:dyDescent="0.4">
      <c r="B11" s="122" t="s">
        <v>2649</v>
      </c>
      <c r="C11" s="122"/>
      <c r="D11" s="122"/>
      <c r="E11" s="122"/>
      <c r="F11" s="66"/>
      <c r="G11" s="120" t="s">
        <v>2650</v>
      </c>
      <c r="H11" s="120"/>
      <c r="I11" s="120"/>
      <c r="J11" s="120"/>
      <c r="K11" s="66"/>
      <c r="L11" s="117" t="s">
        <v>2651</v>
      </c>
      <c r="M11" s="117"/>
      <c r="N11" s="117"/>
      <c r="O11" s="117"/>
      <c r="P11" s="66"/>
      <c r="Q11" s="123" t="s">
        <v>2652</v>
      </c>
      <c r="R11" s="123"/>
      <c r="S11" s="123"/>
      <c r="T11" s="123"/>
    </row>
    <row r="12" spans="1:21" ht="46.8" customHeight="1" x14ac:dyDescent="0.25">
      <c r="B12" s="124">
        <f>Calculations!B8</f>
        <v>0.22966</v>
      </c>
      <c r="C12" s="124"/>
      <c r="D12" s="124"/>
      <c r="E12" s="124"/>
      <c r="F12" s="70"/>
      <c r="G12" s="124">
        <f>Calculations!B9</f>
        <v>0.108</v>
      </c>
      <c r="H12" s="124"/>
      <c r="I12" s="124"/>
      <c r="J12" s="124"/>
      <c r="K12" s="68"/>
      <c r="L12" s="112">
        <f>Calculations!B13/12</f>
        <v>91944.5</v>
      </c>
      <c r="M12" s="112"/>
      <c r="N12" s="112"/>
      <c r="O12" s="112"/>
      <c r="P12" s="68"/>
      <c r="Q12" s="124">
        <f>Calculations!B10</f>
        <v>0.20200000000000001</v>
      </c>
      <c r="R12" s="124"/>
      <c r="S12" s="124"/>
      <c r="T12" s="124"/>
    </row>
    <row r="13" spans="1:21" ht="20.399999999999999" customHeight="1" x14ac:dyDescent="0.25"/>
    <row r="14" spans="1:21" ht="25.2" customHeight="1" x14ac:dyDescent="0.25">
      <c r="A14" s="129" t="s">
        <v>2653</v>
      </c>
      <c r="B14" s="129"/>
      <c r="C14" s="129"/>
      <c r="D14" s="129"/>
      <c r="E14" s="129"/>
      <c r="F14" s="129"/>
      <c r="G14" s="129"/>
      <c r="H14" s="129"/>
      <c r="I14" s="129"/>
      <c r="J14" s="129"/>
      <c r="K14" s="129"/>
      <c r="L14" s="129"/>
      <c r="M14" s="129"/>
      <c r="N14" s="129"/>
      <c r="O14" s="129"/>
      <c r="P14" s="129"/>
      <c r="Q14" s="129"/>
      <c r="R14" s="129"/>
      <c r="S14" s="129"/>
      <c r="T14" s="129"/>
      <c r="U14" s="129"/>
    </row>
    <row r="15" spans="1:21" ht="10.8" customHeight="1" x14ac:dyDescent="0.25"/>
    <row r="16" spans="1:21" ht="27.6" x14ac:dyDescent="0.25">
      <c r="G16" s="9" t="s">
        <v>6</v>
      </c>
      <c r="H16" s="9" t="s">
        <v>2517</v>
      </c>
      <c r="I16" s="9" t="s">
        <v>2507</v>
      </c>
      <c r="J16" s="9" t="s">
        <v>2440</v>
      </c>
      <c r="K16" s="71"/>
      <c r="L16" s="9" t="s">
        <v>2421</v>
      </c>
      <c r="M16" s="9" t="s">
        <v>2518</v>
      </c>
    </row>
    <row r="17" spans="1:21" x14ac:dyDescent="0.25">
      <c r="G17" s="51" t="str">
        <f>Calculations!O3</f>
        <v>Mumbai</v>
      </c>
      <c r="H17" s="58">
        <f>Calculations!P3</f>
        <v>2995571</v>
      </c>
      <c r="I17" s="58">
        <f>Calculations!Q3</f>
        <v>744206</v>
      </c>
      <c r="J17" s="56">
        <f>Calculations!R3</f>
        <v>15</v>
      </c>
      <c r="K17" s="56"/>
      <c r="L17" s="59">
        <f>Calculations!S3</f>
        <v>0.16304347826086957</v>
      </c>
      <c r="M17" s="56" t="str">
        <f>IF(L17&gt;0.2,"🔴 High Risk",IF(L17&gt;0.1,"🟡 Med","🟢 Low"))</f>
        <v>🟡 Med</v>
      </c>
    </row>
    <row r="18" spans="1:21" x14ac:dyDescent="0.25">
      <c r="G18" s="51" t="str">
        <f>Calculations!O4</f>
        <v>Delhi</v>
      </c>
      <c r="H18" s="58">
        <f>Calculations!P4</f>
        <v>4090574</v>
      </c>
      <c r="I18" s="58">
        <f>Calculations!Q4</f>
        <v>1083274</v>
      </c>
      <c r="J18" s="56">
        <f>Calculations!R4</f>
        <v>10</v>
      </c>
      <c r="K18" s="56"/>
      <c r="L18" s="59">
        <f>Calculations!S4</f>
        <v>9.0090090090090086E-2</v>
      </c>
      <c r="M18" s="56" t="str">
        <f t="shared" ref="M18:M26" si="0">IF(L18&gt;0.2,"🔴 High Risk",IF(L18&gt;0.1,"🟡 Med","🟢 Low"))</f>
        <v>🟢 Low</v>
      </c>
    </row>
    <row r="19" spans="1:21" x14ac:dyDescent="0.25">
      <c r="G19" s="51" t="str">
        <f>Calculations!O5</f>
        <v>Bangalore</v>
      </c>
      <c r="H19" s="58">
        <f>Calculations!P5</f>
        <v>3402916</v>
      </c>
      <c r="I19" s="58">
        <f>Calculations!Q5</f>
        <v>749114</v>
      </c>
      <c r="J19" s="56">
        <f>Calculations!R5</f>
        <v>11</v>
      </c>
      <c r="K19" s="56"/>
      <c r="L19" s="59">
        <f>Calculations!S5</f>
        <v>0.10784313725490197</v>
      </c>
      <c r="M19" s="56" t="str">
        <f t="shared" si="0"/>
        <v>🟡 Med</v>
      </c>
    </row>
    <row r="20" spans="1:21" x14ac:dyDescent="0.25">
      <c r="G20" s="51" t="str">
        <f>Calculations!O6</f>
        <v>Hyderabad</v>
      </c>
      <c r="H20" s="58">
        <f>Calculations!P6</f>
        <v>2296839</v>
      </c>
      <c r="I20" s="58">
        <f>Calculations!Q6</f>
        <v>397744</v>
      </c>
      <c r="J20" s="56">
        <f>Calculations!R6</f>
        <v>4</v>
      </c>
      <c r="K20" s="56"/>
      <c r="L20" s="59">
        <f>Calculations!S6</f>
        <v>4.7619047619047616E-2</v>
      </c>
      <c r="M20" s="56" t="str">
        <f t="shared" si="0"/>
        <v>🟢 Low</v>
      </c>
    </row>
    <row r="21" spans="1:21" x14ac:dyDescent="0.25">
      <c r="G21" s="51" t="str">
        <f>Calculations!O7</f>
        <v>Chennai</v>
      </c>
      <c r="H21" s="58">
        <f>Calculations!P7</f>
        <v>3394454</v>
      </c>
      <c r="I21" s="58">
        <f>Calculations!Q7</f>
        <v>731696</v>
      </c>
      <c r="J21" s="56">
        <f>Calculations!R7</f>
        <v>12</v>
      </c>
      <c r="K21" s="56"/>
      <c r="L21" s="59">
        <f>Calculations!S7</f>
        <v>0.11650485436893204</v>
      </c>
      <c r="M21" s="56" t="str">
        <f t="shared" si="0"/>
        <v>🟡 Med</v>
      </c>
    </row>
    <row r="22" spans="1:21" x14ac:dyDescent="0.25">
      <c r="G22" s="51" t="str">
        <f>Calculations!O8</f>
        <v>Kolkata</v>
      </c>
      <c r="H22" s="58">
        <f>Calculations!P8</f>
        <v>3167057</v>
      </c>
      <c r="I22" s="58">
        <f>Calculations!Q8</f>
        <v>648292</v>
      </c>
      <c r="J22" s="56">
        <f>Calculations!R8</f>
        <v>13</v>
      </c>
      <c r="K22" s="56"/>
      <c r="L22" s="59">
        <f>Calculations!S8</f>
        <v>0.12871287128712872</v>
      </c>
      <c r="M22" s="56" t="str">
        <f t="shared" si="0"/>
        <v>🟡 Med</v>
      </c>
    </row>
    <row r="23" spans="1:21" x14ac:dyDescent="0.25">
      <c r="G23" s="51" t="str">
        <f>Calculations!O9</f>
        <v>Pune</v>
      </c>
      <c r="H23" s="58">
        <f>Calculations!P9</f>
        <v>3249460</v>
      </c>
      <c r="I23" s="58">
        <f>Calculations!Q9</f>
        <v>694907</v>
      </c>
      <c r="J23" s="56">
        <f>Calculations!R9</f>
        <v>11</v>
      </c>
      <c r="K23" s="56"/>
      <c r="L23" s="59">
        <f>Calculations!S9</f>
        <v>0.1111111111111111</v>
      </c>
      <c r="M23" s="56" t="str">
        <f t="shared" si="0"/>
        <v>🟡 Med</v>
      </c>
    </row>
    <row r="24" spans="1:21" x14ac:dyDescent="0.25">
      <c r="G24" s="51" t="str">
        <f>Calculations!O10</f>
        <v>Ahmedabad</v>
      </c>
      <c r="H24" s="58">
        <f>Calculations!P10</f>
        <v>3857116</v>
      </c>
      <c r="I24" s="58">
        <f>Calculations!Q10</f>
        <v>667169</v>
      </c>
      <c r="J24" s="56">
        <f>Calculations!R10</f>
        <v>7</v>
      </c>
      <c r="K24" s="56"/>
      <c r="L24" s="59">
        <f>Calculations!S10</f>
        <v>5.737704918032787E-2</v>
      </c>
      <c r="M24" s="56" t="str">
        <f t="shared" si="0"/>
        <v>🟢 Low</v>
      </c>
    </row>
    <row r="25" spans="1:21" x14ac:dyDescent="0.25">
      <c r="G25" s="51" t="str">
        <f>Calculations!O11</f>
        <v>Jaipur</v>
      </c>
      <c r="H25" s="58">
        <f>Calculations!P11</f>
        <v>2411204</v>
      </c>
      <c r="I25" s="58">
        <f>Calculations!Q11</f>
        <v>455661</v>
      </c>
      <c r="J25" s="56">
        <f>Calculations!R11</f>
        <v>7</v>
      </c>
      <c r="K25" s="56"/>
      <c r="L25" s="59">
        <f>Calculations!S11</f>
        <v>7.6923076923076927E-2</v>
      </c>
      <c r="M25" s="56" t="str">
        <f t="shared" si="0"/>
        <v>🟢 Low</v>
      </c>
    </row>
    <row r="26" spans="1:21" x14ac:dyDescent="0.25">
      <c r="G26" s="51" t="str">
        <f>Calculations!O12</f>
        <v>Lucknow</v>
      </c>
      <c r="H26" s="58">
        <f>Calculations!P12</f>
        <v>3344850</v>
      </c>
      <c r="I26" s="58">
        <f>Calculations!Q12</f>
        <v>688511</v>
      </c>
      <c r="J26" s="56">
        <f>Calculations!R12</f>
        <v>18</v>
      </c>
      <c r="K26" s="56"/>
      <c r="L26" s="59">
        <f>Calculations!S12</f>
        <v>0.18947368421052632</v>
      </c>
      <c r="M26" s="56" t="str">
        <f t="shared" si="0"/>
        <v>🟡 Med</v>
      </c>
    </row>
    <row r="28" spans="1:21" ht="26.4" customHeight="1" x14ac:dyDescent="0.25">
      <c r="A28" s="129" t="s">
        <v>2654</v>
      </c>
      <c r="B28" s="129"/>
      <c r="C28" s="129"/>
      <c r="D28" s="129"/>
      <c r="E28" s="129"/>
      <c r="F28" s="129"/>
      <c r="G28" s="129"/>
      <c r="H28" s="129"/>
      <c r="I28" s="129"/>
      <c r="J28" s="129"/>
      <c r="K28" s="129"/>
      <c r="L28" s="129"/>
      <c r="M28" s="129"/>
      <c r="N28" s="129"/>
      <c r="O28" s="129"/>
      <c r="P28" s="129"/>
      <c r="Q28" s="129"/>
      <c r="R28" s="129"/>
      <c r="S28" s="129"/>
      <c r="T28" s="129"/>
      <c r="U28" s="129"/>
    </row>
    <row r="29" spans="1:21" ht="8.4" customHeight="1" x14ac:dyDescent="0.25"/>
    <row r="30" spans="1:21" ht="27.6" x14ac:dyDescent="0.25">
      <c r="G30" s="11" t="s">
        <v>3</v>
      </c>
      <c r="H30" s="11" t="s">
        <v>2517</v>
      </c>
      <c r="I30" s="11" t="s">
        <v>2519</v>
      </c>
      <c r="J30" s="11" t="s">
        <v>2507</v>
      </c>
      <c r="K30" s="71"/>
      <c r="L30" s="11" t="s">
        <v>2440</v>
      </c>
      <c r="M30" s="11" t="s">
        <v>2520</v>
      </c>
      <c r="N30" s="11" t="s">
        <v>2521</v>
      </c>
    </row>
    <row r="31" spans="1:21" x14ac:dyDescent="0.25">
      <c r="G31" s="51" t="str">
        <f>Calculations!G3</f>
        <v>Electronics</v>
      </c>
      <c r="H31" s="58">
        <f>Calculations!H3</f>
        <v>4014123</v>
      </c>
      <c r="I31" s="58">
        <f>Calculations!I3</f>
        <v>989838</v>
      </c>
      <c r="J31" s="58">
        <f>Calculations!J3</f>
        <v>854705</v>
      </c>
      <c r="K31" s="58"/>
      <c r="L31" s="56">
        <f>Calculations!K3</f>
        <v>13</v>
      </c>
      <c r="M31" s="59">
        <f>Calculations!L3</f>
        <v>0.23479338842975203</v>
      </c>
      <c r="N31" s="56" t="str">
        <f>IF(J31&gt;0,"✅ Profit","🔴 Loss")</f>
        <v>✅ Profit</v>
      </c>
    </row>
    <row r="32" spans="1:21" x14ac:dyDescent="0.25">
      <c r="G32" s="51" t="str">
        <f>Calculations!G4</f>
        <v>Fashion</v>
      </c>
      <c r="H32" s="58">
        <f>Calculations!H4</f>
        <v>3960417</v>
      </c>
      <c r="I32" s="58">
        <f>Calculations!I4</f>
        <v>943286</v>
      </c>
      <c r="J32" s="58">
        <f>Calculations!J4</f>
        <v>803721</v>
      </c>
      <c r="K32" s="58"/>
      <c r="L32" s="56">
        <f>Calculations!K4</f>
        <v>13</v>
      </c>
      <c r="M32" s="59">
        <f>Calculations!L4</f>
        <v>0.22699248120300758</v>
      </c>
      <c r="N32" s="56" t="str">
        <f t="shared" ref="N32:N38" si="1">IF(J32&gt;0,"✅ Profit","🔴 Loss")</f>
        <v>✅ Profit</v>
      </c>
    </row>
    <row r="33" spans="1:21" x14ac:dyDescent="0.25">
      <c r="G33" s="51" t="str">
        <f>Calculations!G5</f>
        <v>Home &amp; Kitchen</v>
      </c>
      <c r="H33" s="58">
        <f>Calculations!H5</f>
        <v>3666638</v>
      </c>
      <c r="I33" s="58">
        <f>Calculations!I5</f>
        <v>913583</v>
      </c>
      <c r="J33" s="58">
        <f>Calculations!J5</f>
        <v>800858</v>
      </c>
      <c r="K33" s="58"/>
      <c r="L33" s="56">
        <f>Calculations!K5</f>
        <v>9</v>
      </c>
      <c r="M33" s="59">
        <f>Calculations!L5</f>
        <v>0.220754716981132</v>
      </c>
      <c r="N33" s="56" t="str">
        <f t="shared" si="1"/>
        <v>✅ Profit</v>
      </c>
    </row>
    <row r="34" spans="1:21" x14ac:dyDescent="0.25">
      <c r="G34" s="51" t="str">
        <f>Calculations!G6</f>
        <v>Beauty</v>
      </c>
      <c r="H34" s="58">
        <f>Calculations!H6</f>
        <v>3874973</v>
      </c>
      <c r="I34" s="58">
        <f>Calculations!I6</f>
        <v>857471</v>
      </c>
      <c r="J34" s="58">
        <f>Calculations!J6</f>
        <v>715765</v>
      </c>
      <c r="K34" s="58"/>
      <c r="L34" s="56">
        <f>Calculations!K6</f>
        <v>15</v>
      </c>
      <c r="M34" s="59">
        <f>Calculations!L6</f>
        <v>0.24695312500000008</v>
      </c>
      <c r="N34" s="56" t="str">
        <f t="shared" si="1"/>
        <v>✅ Profit</v>
      </c>
    </row>
    <row r="35" spans="1:21" x14ac:dyDescent="0.25">
      <c r="G35" s="51" t="str">
        <f>Calculations!G7</f>
        <v>Sports</v>
      </c>
      <c r="H35" s="58">
        <f>Calculations!H7</f>
        <v>4013419</v>
      </c>
      <c r="I35" s="58">
        <f>Calculations!I7</f>
        <v>975262</v>
      </c>
      <c r="J35" s="58">
        <f>Calculations!J7</f>
        <v>835690</v>
      </c>
      <c r="K35" s="58"/>
      <c r="L35" s="56">
        <f>Calculations!K7</f>
        <v>18</v>
      </c>
      <c r="M35" s="59">
        <f>Calculations!L7</f>
        <v>0.23574803149606291</v>
      </c>
      <c r="N35" s="56" t="str">
        <f t="shared" si="1"/>
        <v>✅ Profit</v>
      </c>
    </row>
    <row r="36" spans="1:21" x14ac:dyDescent="0.25">
      <c r="G36" s="51" t="str">
        <f>Calculations!G8</f>
        <v>Books</v>
      </c>
      <c r="H36" s="58">
        <f>Calculations!H8</f>
        <v>4048130</v>
      </c>
      <c r="I36" s="58">
        <f>Calculations!I8</f>
        <v>1105463</v>
      </c>
      <c r="J36" s="58">
        <f>Calculations!J8</f>
        <v>973350</v>
      </c>
      <c r="K36" s="58"/>
      <c r="L36" s="56">
        <f>Calculations!K8</f>
        <v>13</v>
      </c>
      <c r="M36" s="59">
        <f>Calculations!L8</f>
        <v>0.22666666666666671</v>
      </c>
      <c r="N36" s="56" t="str">
        <f t="shared" si="1"/>
        <v>✅ Profit</v>
      </c>
    </row>
    <row r="37" spans="1:21" x14ac:dyDescent="0.25">
      <c r="G37" s="51" t="str">
        <f>Calculations!G9</f>
        <v>Toys</v>
      </c>
      <c r="H37" s="58">
        <f>Calculations!H9</f>
        <v>5155914</v>
      </c>
      <c r="I37" s="58">
        <f>Calculations!I9</f>
        <v>1281517</v>
      </c>
      <c r="J37" s="58">
        <f>Calculations!J9</f>
        <v>1097501</v>
      </c>
      <c r="K37" s="58"/>
      <c r="L37" s="56">
        <f>Calculations!K9</f>
        <v>13</v>
      </c>
      <c r="M37" s="59">
        <f>Calculations!L9</f>
        <v>0.22573248407643315</v>
      </c>
      <c r="N37" s="56" t="str">
        <f t="shared" si="1"/>
        <v>✅ Profit</v>
      </c>
    </row>
    <row r="38" spans="1:21" x14ac:dyDescent="0.25">
      <c r="G38" s="51" t="str">
        <f>Calculations!G10</f>
        <v>Grocery</v>
      </c>
      <c r="H38" s="58">
        <f>Calculations!H10</f>
        <v>3476427</v>
      </c>
      <c r="I38" s="58">
        <f>Calculations!I10</f>
        <v>897488</v>
      </c>
      <c r="J38" s="58">
        <f>Calculations!J10</f>
        <v>778984</v>
      </c>
      <c r="K38" s="58"/>
      <c r="L38" s="56">
        <f>Calculations!K10</f>
        <v>14</v>
      </c>
      <c r="M38" s="59">
        <f>Calculations!L10</f>
        <v>0.21756756756756757</v>
      </c>
      <c r="N38" s="56" t="str">
        <f t="shared" si="1"/>
        <v>✅ Profit</v>
      </c>
    </row>
    <row r="40" spans="1:21" ht="28.8" customHeight="1" x14ac:dyDescent="0.25">
      <c r="A40" s="129" t="s">
        <v>2655</v>
      </c>
      <c r="B40" s="129"/>
      <c r="C40" s="129"/>
      <c r="D40" s="129"/>
      <c r="E40" s="129"/>
      <c r="F40" s="129"/>
      <c r="G40" s="129"/>
      <c r="H40" s="129"/>
      <c r="I40" s="129"/>
      <c r="J40" s="129"/>
      <c r="K40" s="129"/>
      <c r="L40" s="129"/>
      <c r="M40" s="129"/>
      <c r="N40" s="129"/>
      <c r="O40" s="129"/>
      <c r="P40" s="129"/>
      <c r="Q40" s="129"/>
      <c r="R40" s="129"/>
      <c r="S40" s="129"/>
      <c r="T40" s="129"/>
      <c r="U40" s="129"/>
    </row>
    <row r="41" spans="1:21" ht="12.6" customHeight="1" x14ac:dyDescent="0.25"/>
    <row r="42" spans="1:21" ht="25.8" customHeight="1" x14ac:dyDescent="0.25">
      <c r="G42" s="12" t="s">
        <v>2</v>
      </c>
      <c r="H42" s="12" t="s">
        <v>2517</v>
      </c>
      <c r="I42" s="12" t="s">
        <v>2507</v>
      </c>
      <c r="J42" s="12" t="s">
        <v>2440</v>
      </c>
      <c r="K42" s="71"/>
      <c r="L42" s="12" t="s">
        <v>2443</v>
      </c>
      <c r="M42" s="12" t="s">
        <v>2520</v>
      </c>
    </row>
    <row r="43" spans="1:21" x14ac:dyDescent="0.25">
      <c r="G43" s="51" t="str">
        <f>Calculations!A23</f>
        <v>Jan</v>
      </c>
      <c r="H43" s="58">
        <f>Calculations!B23</f>
        <v>2854631</v>
      </c>
      <c r="I43" s="58">
        <f>Calculations!D23</f>
        <v>693104</v>
      </c>
      <c r="J43" s="56">
        <f>Calculations!C23</f>
        <v>8</v>
      </c>
      <c r="K43" s="56"/>
      <c r="L43" s="56">
        <f>Calculations!E23</f>
        <v>84</v>
      </c>
      <c r="M43" s="59">
        <f>Calculations!F23</f>
        <v>0.20476190476190492</v>
      </c>
    </row>
    <row r="44" spans="1:21" x14ac:dyDescent="0.25">
      <c r="G44" s="51" t="str">
        <f>Calculations!A24</f>
        <v>Feb</v>
      </c>
      <c r="H44" s="58">
        <f>Calculations!B24</f>
        <v>1953202</v>
      </c>
      <c r="I44" s="58">
        <f>Calculations!D24</f>
        <v>449021</v>
      </c>
      <c r="J44" s="56">
        <f>Calculations!C24</f>
        <v>11</v>
      </c>
      <c r="K44" s="56"/>
      <c r="L44" s="56">
        <f>Calculations!E24</f>
        <v>73</v>
      </c>
      <c r="M44" s="59">
        <f>Calculations!F24</f>
        <v>0.23561643835616441</v>
      </c>
    </row>
    <row r="45" spans="1:21" x14ac:dyDescent="0.25">
      <c r="G45" s="51" t="str">
        <f>Calculations!A25</f>
        <v>Mar</v>
      </c>
      <c r="H45" s="58">
        <f>Calculations!B25</f>
        <v>3172955</v>
      </c>
      <c r="I45" s="58">
        <f>Calculations!D25</f>
        <v>769343</v>
      </c>
      <c r="J45" s="56">
        <f>Calculations!C25</f>
        <v>13</v>
      </c>
      <c r="K45" s="56"/>
      <c r="L45" s="56">
        <f>Calculations!E25</f>
        <v>100</v>
      </c>
      <c r="M45" s="59">
        <f>Calculations!F25</f>
        <v>0.21549999999999994</v>
      </c>
    </row>
    <row r="46" spans="1:21" x14ac:dyDescent="0.25">
      <c r="G46" s="51" t="str">
        <f>Calculations!A26</f>
        <v>Apr</v>
      </c>
      <c r="H46" s="58">
        <f>Calculations!B26</f>
        <v>2974551</v>
      </c>
      <c r="I46" s="58">
        <f>Calculations!D26</f>
        <v>631758</v>
      </c>
      <c r="J46" s="56">
        <f>Calculations!C26</f>
        <v>9</v>
      </c>
      <c r="K46" s="56"/>
      <c r="L46" s="56">
        <f>Calculations!E26</f>
        <v>91</v>
      </c>
      <c r="M46" s="59">
        <f>Calculations!F26</f>
        <v>0.24736263736263733</v>
      </c>
    </row>
    <row r="47" spans="1:21" x14ac:dyDescent="0.25">
      <c r="G47" s="51" t="str">
        <f>Calculations!A27</f>
        <v>May</v>
      </c>
      <c r="H47" s="58">
        <f>Calculations!B27</f>
        <v>3216991</v>
      </c>
      <c r="I47" s="58">
        <f>Calculations!D27</f>
        <v>692284</v>
      </c>
      <c r="J47" s="56">
        <f>Calculations!C27</f>
        <v>6</v>
      </c>
      <c r="K47" s="56"/>
      <c r="L47" s="56">
        <f>Calculations!E27</f>
        <v>87</v>
      </c>
      <c r="M47" s="59">
        <f>Calculations!F27</f>
        <v>0.23563218390804588</v>
      </c>
    </row>
    <row r="48" spans="1:21" x14ac:dyDescent="0.25">
      <c r="G48" s="51" t="str">
        <f>Calculations!A28</f>
        <v>Jun</v>
      </c>
      <c r="H48" s="58">
        <f>Calculations!B28</f>
        <v>2556349</v>
      </c>
      <c r="I48" s="58">
        <f>Calculations!D28</f>
        <v>537585</v>
      </c>
      <c r="J48" s="56">
        <f>Calculations!C28</f>
        <v>7</v>
      </c>
      <c r="K48" s="56"/>
      <c r="L48" s="56">
        <f>Calculations!E28</f>
        <v>81</v>
      </c>
      <c r="M48" s="59">
        <f>Calculations!F28</f>
        <v>0.22259259259259256</v>
      </c>
    </row>
    <row r="49" spans="1:21" x14ac:dyDescent="0.25">
      <c r="G49" s="51" t="str">
        <f>Calculations!A29</f>
        <v>Jul</v>
      </c>
      <c r="H49" s="58">
        <f>Calculations!B29</f>
        <v>2876319</v>
      </c>
      <c r="I49" s="58">
        <f>Calculations!D29</f>
        <v>554834</v>
      </c>
      <c r="J49" s="56">
        <f>Calculations!C29</f>
        <v>6</v>
      </c>
      <c r="K49" s="56"/>
      <c r="L49" s="56">
        <f>Calculations!E29</f>
        <v>81</v>
      </c>
      <c r="M49" s="59">
        <f>Calculations!F29</f>
        <v>0.22395061728395066</v>
      </c>
    </row>
    <row r="50" spans="1:21" x14ac:dyDescent="0.25">
      <c r="G50" s="51" t="str">
        <f>Calculations!A30</f>
        <v>Aug</v>
      </c>
      <c r="H50" s="58">
        <f>Calculations!B30</f>
        <v>2253122</v>
      </c>
      <c r="I50" s="58">
        <f>Calculations!D30</f>
        <v>571500</v>
      </c>
      <c r="J50" s="56">
        <f>Calculations!C30</f>
        <v>6</v>
      </c>
      <c r="K50" s="56"/>
      <c r="L50" s="56">
        <f>Calculations!E30</f>
        <v>74</v>
      </c>
      <c r="M50" s="59">
        <f>Calculations!F30</f>
        <v>0.20743243243243245</v>
      </c>
    </row>
    <row r="51" spans="1:21" x14ac:dyDescent="0.25">
      <c r="G51" s="51" t="str">
        <f>Calculations!A31</f>
        <v>Sep</v>
      </c>
      <c r="H51" s="58">
        <f>Calculations!B31</f>
        <v>2080309</v>
      </c>
      <c r="I51" s="58">
        <f>Calculations!D31</f>
        <v>438209</v>
      </c>
      <c r="J51" s="56">
        <f>Calculations!C31</f>
        <v>11</v>
      </c>
      <c r="K51" s="56"/>
      <c r="L51" s="56">
        <f>Calculations!E31</f>
        <v>75</v>
      </c>
      <c r="M51" s="59">
        <f>Calculations!F31</f>
        <v>0.2358666666666667</v>
      </c>
    </row>
    <row r="52" spans="1:21" x14ac:dyDescent="0.25">
      <c r="G52" s="51" t="str">
        <f>Calculations!A32</f>
        <v>Oct</v>
      </c>
      <c r="H52" s="58">
        <f>Calculations!B32</f>
        <v>3001215</v>
      </c>
      <c r="I52" s="58">
        <f>Calculations!D32</f>
        <v>483879</v>
      </c>
      <c r="J52" s="56">
        <f>Calculations!C32</f>
        <v>13</v>
      </c>
      <c r="K52" s="56"/>
      <c r="L52" s="56">
        <f>Calculations!E32</f>
        <v>93</v>
      </c>
      <c r="M52" s="59">
        <f>Calculations!F32</f>
        <v>0.24483870967741941</v>
      </c>
    </row>
    <row r="53" spans="1:21" x14ac:dyDescent="0.25">
      <c r="G53" s="51" t="str">
        <f>Calculations!A33</f>
        <v>Nov</v>
      </c>
      <c r="H53" s="58">
        <f>Calculations!B33</f>
        <v>2665811</v>
      </c>
      <c r="I53" s="58">
        <f>Calculations!D33</f>
        <v>505579</v>
      </c>
      <c r="J53" s="56">
        <f>Calculations!C33</f>
        <v>12</v>
      </c>
      <c r="K53" s="56"/>
      <c r="L53" s="56">
        <f>Calculations!E33</f>
        <v>88</v>
      </c>
      <c r="M53" s="59">
        <f>Calculations!F33</f>
        <v>0.23318181818181821</v>
      </c>
    </row>
    <row r="54" spans="1:21" x14ac:dyDescent="0.25">
      <c r="G54" s="51" t="str">
        <f>Calculations!A34</f>
        <v>Dec</v>
      </c>
      <c r="H54" s="58">
        <f>Calculations!B34</f>
        <v>2604586</v>
      </c>
      <c r="I54" s="58">
        <f>Calculations!D34</f>
        <v>533478</v>
      </c>
      <c r="J54" s="56">
        <f>Calculations!C34</f>
        <v>6</v>
      </c>
      <c r="K54" s="56"/>
      <c r="L54" s="56">
        <f>Calculations!E34</f>
        <v>73</v>
      </c>
      <c r="M54" s="59">
        <f>Calculations!F34</f>
        <v>0.24931506849315063</v>
      </c>
    </row>
    <row r="56" spans="1:21" ht="27" customHeight="1" x14ac:dyDescent="0.25">
      <c r="A56" s="129" t="s">
        <v>2656</v>
      </c>
      <c r="B56" s="129"/>
      <c r="C56" s="129"/>
      <c r="D56" s="129"/>
      <c r="E56" s="129"/>
      <c r="F56" s="129"/>
      <c r="G56" s="129"/>
      <c r="H56" s="129"/>
      <c r="I56" s="129"/>
      <c r="J56" s="129"/>
      <c r="K56" s="129"/>
      <c r="L56" s="129"/>
      <c r="M56" s="129"/>
      <c r="N56" s="129"/>
      <c r="O56" s="129"/>
      <c r="P56" s="129"/>
      <c r="Q56" s="129"/>
      <c r="R56" s="129"/>
      <c r="S56" s="129"/>
      <c r="T56" s="129"/>
      <c r="U56" s="129"/>
    </row>
    <row r="57" spans="1:21" ht="10.199999999999999" customHeight="1" x14ac:dyDescent="0.25"/>
    <row r="58" spans="1:21" ht="27.6" x14ac:dyDescent="0.25">
      <c r="G58" s="13" t="s">
        <v>2445</v>
      </c>
      <c r="H58" s="13" t="s">
        <v>2443</v>
      </c>
      <c r="I58" s="13" t="s">
        <v>2440</v>
      </c>
      <c r="J58" s="13" t="s">
        <v>2507</v>
      </c>
      <c r="K58" s="72"/>
      <c r="L58" s="13" t="s">
        <v>2441</v>
      </c>
    </row>
    <row r="59" spans="1:21" x14ac:dyDescent="0.25">
      <c r="G59" s="51" t="str">
        <f>Calculations!I23</f>
        <v>Prepaid</v>
      </c>
      <c r="H59" s="56">
        <f>Calculations!J23</f>
        <v>173</v>
      </c>
      <c r="I59" s="56">
        <f>Calculations!K23</f>
        <v>18</v>
      </c>
      <c r="J59" s="58">
        <f>Calculations!L23</f>
        <v>1196353</v>
      </c>
      <c r="K59" s="56"/>
      <c r="L59" s="59">
        <f>Calculations!M23</f>
        <v>0.10404624277456648</v>
      </c>
      <c r="M59" s="50"/>
    </row>
    <row r="60" spans="1:21" x14ac:dyDescent="0.25">
      <c r="G60" s="51" t="str">
        <f>Calculations!I24</f>
        <v>COD</v>
      </c>
      <c r="H60" s="56">
        <f>Calculations!J24</f>
        <v>202</v>
      </c>
      <c r="I60" s="56">
        <f>Calculations!K24</f>
        <v>32</v>
      </c>
      <c r="J60" s="58">
        <f>Calculations!L24</f>
        <v>1538579</v>
      </c>
      <c r="K60" s="56"/>
      <c r="L60" s="59">
        <f>Calculations!M24</f>
        <v>0.15841584158415842</v>
      </c>
      <c r="M60" s="50"/>
    </row>
    <row r="61" spans="1:21" x14ac:dyDescent="0.25">
      <c r="G61" s="51" t="str">
        <f>Calculations!I25</f>
        <v>UPI</v>
      </c>
      <c r="H61" s="56">
        <f>Calculations!J25</f>
        <v>218</v>
      </c>
      <c r="I61" s="56">
        <f>Calculations!K25</f>
        <v>22</v>
      </c>
      <c r="J61" s="58">
        <f>Calculations!L25</f>
        <v>1699904</v>
      </c>
      <c r="K61" s="56"/>
      <c r="L61" s="59">
        <f>Calculations!M25</f>
        <v>0.10091743119266056</v>
      </c>
      <c r="M61" s="50"/>
    </row>
    <row r="62" spans="1:21" x14ac:dyDescent="0.25">
      <c r="G62" s="51" t="str">
        <f>Calculations!I26</f>
        <v>Credit Card</v>
      </c>
      <c r="H62" s="56">
        <f>Calculations!J26</f>
        <v>217</v>
      </c>
      <c r="I62" s="56">
        <f>Calculations!K26</f>
        <v>18</v>
      </c>
      <c r="J62" s="58">
        <f>Calculations!L26</f>
        <v>1272849</v>
      </c>
      <c r="K62" s="56"/>
      <c r="L62" s="59">
        <f>Calculations!M26</f>
        <v>8.294930875576037E-2</v>
      </c>
      <c r="M62" s="50"/>
    </row>
    <row r="63" spans="1:21" x14ac:dyDescent="0.25">
      <c r="G63" s="51" t="str">
        <f>Calculations!I27</f>
        <v>Debit Card</v>
      </c>
      <c r="H63" s="56">
        <f>Calculations!J27</f>
        <v>190</v>
      </c>
      <c r="I63" s="56">
        <f>Calculations!K27</f>
        <v>18</v>
      </c>
      <c r="J63" s="58">
        <f>Calculations!L27</f>
        <v>1152889</v>
      </c>
      <c r="K63" s="56"/>
      <c r="L63" s="59">
        <f>Calculations!M27</f>
        <v>9.4736842105263161E-2</v>
      </c>
      <c r="M63" s="50"/>
    </row>
    <row r="64" spans="1:21" x14ac:dyDescent="0.25">
      <c r="G64" s="65"/>
      <c r="H64" s="73"/>
      <c r="I64" s="73"/>
      <c r="J64" s="74"/>
      <c r="K64" s="73"/>
      <c r="L64" s="75"/>
    </row>
    <row r="65" spans="1:21" x14ac:dyDescent="0.25">
      <c r="G65" s="65"/>
      <c r="H65" s="73"/>
      <c r="I65" s="73"/>
      <c r="J65" s="74"/>
      <c r="K65" s="73"/>
      <c r="L65" s="75"/>
    </row>
    <row r="66" spans="1:21" x14ac:dyDescent="0.25">
      <c r="G66" s="65"/>
      <c r="H66" s="73"/>
      <c r="I66" s="73"/>
      <c r="J66" s="74"/>
      <c r="K66" s="73"/>
      <c r="L66" s="75"/>
    </row>
    <row r="69" spans="1:21" s="76" customFormat="1" ht="31.8" customHeight="1" x14ac:dyDescent="0.4">
      <c r="D69" s="132" t="s">
        <v>2657</v>
      </c>
      <c r="E69" s="133"/>
      <c r="F69" s="133"/>
      <c r="G69" s="133"/>
      <c r="H69" s="133"/>
      <c r="I69" s="133"/>
      <c r="J69" s="133"/>
      <c r="K69" s="133"/>
      <c r="L69" s="133"/>
      <c r="M69" s="133"/>
      <c r="N69" s="133"/>
    </row>
    <row r="70" spans="1:21" ht="20.399999999999999" customHeight="1" x14ac:dyDescent="0.25">
      <c r="D70" s="51" t="s">
        <v>2543</v>
      </c>
      <c r="E70" s="51"/>
      <c r="F70" s="51"/>
      <c r="G70" s="51"/>
      <c r="H70" s="51"/>
      <c r="I70" s="51"/>
      <c r="J70" s="51"/>
      <c r="K70" s="51"/>
      <c r="L70" s="51"/>
      <c r="M70" s="51"/>
      <c r="N70" s="51"/>
      <c r="O70" s="51"/>
      <c r="P70" s="51"/>
      <c r="Q70" s="51"/>
    </row>
    <row r="71" spans="1:21" ht="20.399999999999999" customHeight="1" x14ac:dyDescent="0.25">
      <c r="D71" s="51" t="s">
        <v>2544</v>
      </c>
      <c r="E71" s="51"/>
      <c r="F71" s="51"/>
      <c r="G71" s="51"/>
      <c r="H71" s="51"/>
      <c r="I71" s="51"/>
      <c r="J71" s="51"/>
      <c r="K71" s="51"/>
      <c r="L71" s="51"/>
      <c r="M71" s="51"/>
      <c r="N71" s="51"/>
      <c r="O71" s="51"/>
      <c r="P71" s="51"/>
      <c r="Q71" s="51"/>
    </row>
    <row r="72" spans="1:21" ht="20.399999999999999" customHeight="1" x14ac:dyDescent="0.25">
      <c r="D72" s="51" t="s">
        <v>2545</v>
      </c>
      <c r="E72" s="51"/>
      <c r="F72" s="51"/>
      <c r="G72" s="51"/>
      <c r="H72" s="51"/>
      <c r="I72" s="51"/>
      <c r="J72" s="51"/>
      <c r="K72" s="51"/>
      <c r="L72" s="51"/>
      <c r="M72" s="51"/>
      <c r="N72" s="51"/>
      <c r="O72" s="51"/>
      <c r="P72" s="51"/>
      <c r="Q72" s="51"/>
    </row>
    <row r="73" spans="1:21" ht="20.399999999999999" customHeight="1" x14ac:dyDescent="0.25">
      <c r="D73" s="51" t="s">
        <v>2546</v>
      </c>
      <c r="E73" s="51"/>
      <c r="F73" s="51"/>
      <c r="G73" s="51"/>
      <c r="H73" s="51"/>
      <c r="I73" s="51"/>
      <c r="J73" s="51"/>
      <c r="K73" s="51"/>
      <c r="L73" s="51"/>
      <c r="M73" s="51"/>
      <c r="N73" s="51"/>
      <c r="O73" s="51"/>
      <c r="P73" s="51"/>
      <c r="Q73" s="51"/>
    </row>
    <row r="76" spans="1:21" ht="25.2" customHeight="1" x14ac:dyDescent="0.25">
      <c r="A76" s="130" t="s">
        <v>2658</v>
      </c>
      <c r="B76" s="130"/>
      <c r="C76" s="130"/>
      <c r="D76" s="130"/>
      <c r="E76" s="130"/>
      <c r="F76" s="130"/>
      <c r="G76" s="130"/>
      <c r="H76" s="130"/>
      <c r="I76" s="130"/>
      <c r="J76" s="130"/>
      <c r="K76" s="130"/>
      <c r="L76" s="130"/>
      <c r="M76" s="130"/>
      <c r="N76" s="130"/>
      <c r="O76" s="130"/>
      <c r="P76" s="130"/>
      <c r="Q76" s="130"/>
      <c r="R76" s="130"/>
      <c r="S76" s="130"/>
      <c r="T76" s="130"/>
      <c r="U76" s="130"/>
    </row>
    <row r="77" spans="1:21" ht="27" customHeight="1" x14ac:dyDescent="0.25">
      <c r="A77" s="131" t="s">
        <v>2659</v>
      </c>
      <c r="B77" s="131"/>
      <c r="C77" s="131"/>
      <c r="D77" s="131"/>
      <c r="E77" s="131"/>
      <c r="F77" s="131"/>
      <c r="G77" s="131"/>
      <c r="H77" s="131"/>
      <c r="I77" s="131"/>
      <c r="J77" s="131"/>
      <c r="K77" s="131"/>
      <c r="L77" s="131"/>
      <c r="M77" s="131"/>
      <c r="N77" s="131"/>
      <c r="O77" s="131"/>
      <c r="P77" s="131"/>
      <c r="Q77" s="131"/>
      <c r="R77" s="131"/>
      <c r="S77" s="131"/>
      <c r="T77" s="131"/>
      <c r="U77" s="131"/>
    </row>
    <row r="78" spans="1:21" ht="15.6" x14ac:dyDescent="0.25">
      <c r="B78" s="134" t="s">
        <v>2660</v>
      </c>
      <c r="C78" s="134"/>
      <c r="D78" s="134"/>
      <c r="E78" s="134"/>
      <c r="F78" s="77"/>
      <c r="G78" s="135" t="s">
        <v>2661</v>
      </c>
      <c r="H78" s="135"/>
      <c r="I78" s="135"/>
      <c r="J78" s="135"/>
      <c r="K78" s="77"/>
      <c r="L78" s="136" t="s">
        <v>2662</v>
      </c>
      <c r="M78" s="136"/>
      <c r="N78" s="136"/>
      <c r="O78" s="136"/>
      <c r="P78" s="77"/>
      <c r="Q78" s="137" t="s">
        <v>2663</v>
      </c>
      <c r="R78" s="137"/>
      <c r="S78" s="137"/>
      <c r="T78" s="137"/>
    </row>
    <row r="79" spans="1:21" s="50" customFormat="1" ht="16.2" customHeight="1" x14ac:dyDescent="0.25">
      <c r="B79" s="111" t="s">
        <v>2522</v>
      </c>
      <c r="C79" s="111"/>
      <c r="D79" s="111"/>
      <c r="E79" s="111"/>
      <c r="G79" s="111" t="s">
        <v>2525</v>
      </c>
      <c r="H79" s="111"/>
      <c r="I79" s="111"/>
      <c r="J79" s="111"/>
      <c r="L79" s="111" t="s">
        <v>2523</v>
      </c>
      <c r="M79" s="111"/>
      <c r="N79" s="111"/>
      <c r="O79" s="111"/>
      <c r="Q79" s="111" t="s">
        <v>2524</v>
      </c>
      <c r="R79" s="111"/>
      <c r="S79" s="111"/>
      <c r="T79" s="111"/>
    </row>
    <row r="80" spans="1:21" s="50" customFormat="1" ht="16.2" customHeight="1" x14ac:dyDescent="0.25">
      <c r="B80" s="111"/>
      <c r="C80" s="111"/>
      <c r="D80" s="111"/>
      <c r="E80" s="111"/>
      <c r="G80" s="111"/>
      <c r="H80" s="111"/>
      <c r="I80" s="111"/>
      <c r="J80" s="111"/>
      <c r="L80" s="111"/>
      <c r="M80" s="111"/>
      <c r="N80" s="111"/>
      <c r="O80" s="111"/>
      <c r="Q80" s="111"/>
      <c r="R80" s="111"/>
      <c r="S80" s="111"/>
      <c r="T80" s="111"/>
    </row>
    <row r="81" spans="1:21" s="50" customFormat="1" ht="16.2" customHeight="1" x14ac:dyDescent="0.25">
      <c r="B81" s="111"/>
      <c r="C81" s="111"/>
      <c r="D81" s="111"/>
      <c r="E81" s="111"/>
      <c r="G81" s="111"/>
      <c r="H81" s="111"/>
      <c r="I81" s="111"/>
      <c r="J81" s="111"/>
      <c r="L81" s="111"/>
      <c r="M81" s="111"/>
      <c r="N81" s="111"/>
      <c r="O81" s="111"/>
      <c r="Q81" s="111"/>
      <c r="R81" s="111"/>
      <c r="S81" s="111"/>
      <c r="T81" s="111"/>
    </row>
    <row r="84" spans="1:21" s="78" customFormat="1" ht="46.8" customHeight="1" x14ac:dyDescent="0.35">
      <c r="A84" s="125" t="s">
        <v>2664</v>
      </c>
      <c r="B84" s="125"/>
      <c r="C84" s="125"/>
      <c r="D84" s="125"/>
      <c r="E84" s="125"/>
      <c r="F84" s="125"/>
      <c r="G84" s="125"/>
      <c r="H84" s="125"/>
      <c r="I84" s="125"/>
      <c r="J84" s="125"/>
      <c r="K84" s="125"/>
      <c r="L84" s="125"/>
      <c r="M84" s="125"/>
      <c r="N84" s="125"/>
      <c r="O84" s="125"/>
      <c r="P84" s="125"/>
      <c r="Q84" s="125"/>
      <c r="R84" s="125"/>
      <c r="S84" s="125"/>
      <c r="T84" s="125"/>
      <c r="U84" s="125"/>
    </row>
    <row r="85" spans="1:21" ht="30" customHeight="1" x14ac:dyDescent="0.25">
      <c r="B85" s="126" t="s">
        <v>2553</v>
      </c>
      <c r="C85" s="126"/>
      <c r="D85" s="126"/>
      <c r="E85" s="127" t="s">
        <v>175</v>
      </c>
      <c r="F85" s="127"/>
      <c r="G85" s="127"/>
    </row>
    <row r="86" spans="1:21" ht="9.6" customHeight="1" x14ac:dyDescent="0.25"/>
    <row r="87" spans="1:21" ht="22.2" customHeight="1" x14ac:dyDescent="0.25">
      <c r="B87" s="139" t="s">
        <v>2554</v>
      </c>
      <c r="C87" s="140"/>
      <c r="D87" s="141"/>
      <c r="E87" s="128" t="s">
        <v>2555</v>
      </c>
      <c r="F87" s="128"/>
      <c r="G87" s="128"/>
      <c r="H87" s="128"/>
    </row>
    <row r="88" spans="1:21" x14ac:dyDescent="0.25">
      <c r="B88" s="142" t="s">
        <v>2434</v>
      </c>
      <c r="C88" s="142"/>
      <c r="D88" s="142"/>
      <c r="E88" s="143" cm="1">
        <f t="array" ref="E88">SUMPRODUCT((tbl_raw[Category]=E85)*tbl_raw[Selling_Price]*tbl_raw[Units_Sold])</f>
        <v>3960417</v>
      </c>
      <c r="F88" s="143"/>
      <c r="G88" s="143"/>
      <c r="H88" s="143"/>
    </row>
    <row r="89" spans="1:21" x14ac:dyDescent="0.25">
      <c r="B89" s="138" t="s">
        <v>2436</v>
      </c>
      <c r="C89" s="138"/>
      <c r="D89" s="138"/>
      <c r="E89" s="144">
        <f>SUMIFS(tbl_raw[Net_Profit],tbl_raw[Category],E85)</f>
        <v>803721</v>
      </c>
      <c r="F89" s="144"/>
      <c r="G89" s="144"/>
      <c r="H89" s="144"/>
    </row>
    <row r="90" spans="1:21" x14ac:dyDescent="0.25">
      <c r="B90" s="138" t="s">
        <v>2441</v>
      </c>
      <c r="C90" s="138"/>
      <c r="D90" s="138"/>
      <c r="E90" s="145">
        <f>IFERROR(COUNTIFS(tbl_raw[Category],E85,tbl_raw[Order_Status],"Returned")/COUNTIF(tbl_raw[Category],E85),0)</f>
        <v>9.7744360902255634E-2</v>
      </c>
      <c r="F90" s="145"/>
      <c r="G90" s="145"/>
      <c r="H90" s="145"/>
    </row>
    <row r="91" spans="1:21" ht="15.6" customHeight="1" x14ac:dyDescent="0.25">
      <c r="B91" s="138" t="s">
        <v>2420</v>
      </c>
      <c r="C91" s="138"/>
      <c r="D91" s="138"/>
      <c r="E91" s="145">
        <f>AVERAGEIFS(tbl_raw[Discount_Pct],tbl_raw[Category],E85)</f>
        <v>0.22699248120300758</v>
      </c>
      <c r="F91" s="145"/>
      <c r="G91" s="145"/>
      <c r="H91" s="145"/>
    </row>
    <row r="92" spans="1:21" ht="15.6" customHeight="1" x14ac:dyDescent="0.25">
      <c r="B92" s="138" t="s">
        <v>2510</v>
      </c>
      <c r="C92" s="138"/>
      <c r="D92" s="138"/>
      <c r="E92" s="146" cm="1">
        <f t="array" ref="E92">SUMPRODUCT((tbl_raw[Category]=E85)*(tbl_raw[MRP]-tbl_raw[Selling_Price])*tbl_raw[Units_Sold])</f>
        <v>1240257</v>
      </c>
      <c r="F92" s="146"/>
      <c r="G92" s="146"/>
      <c r="H92" s="146"/>
    </row>
    <row r="93" spans="1:21" ht="15.6" customHeight="1" x14ac:dyDescent="0.25">
      <c r="B93" s="138" t="s">
        <v>2556</v>
      </c>
      <c r="C93" s="138"/>
      <c r="D93" s="138"/>
      <c r="E93" s="138">
        <f>COUNTIF(tbl_raw[Category],E85)</f>
        <v>133</v>
      </c>
      <c r="F93" s="138"/>
      <c r="G93" s="138"/>
      <c r="H93" s="138"/>
    </row>
    <row r="94" spans="1:21" ht="15.6" customHeight="1" x14ac:dyDescent="0.25">
      <c r="B94" s="138" t="s">
        <v>2557</v>
      </c>
      <c r="C94" s="138"/>
      <c r="D94" s="138"/>
      <c r="E94" s="138" t="str">
        <f>IF(E90&gt;12%,"High return risk - improve quality/returns control",IF(E91&gt;25%,"High discount leakage - control discounts","Performing well - monitor regularly"))</f>
        <v>Performing well - monitor regularly</v>
      </c>
      <c r="F94" s="138"/>
      <c r="G94" s="138"/>
      <c r="H94" s="138"/>
    </row>
  </sheetData>
  <mergeCells count="60">
    <mergeCell ref="E94:H94"/>
    <mergeCell ref="B87:D87"/>
    <mergeCell ref="B88:D88"/>
    <mergeCell ref="B89:D89"/>
    <mergeCell ref="B90:D90"/>
    <mergeCell ref="B91:D91"/>
    <mergeCell ref="B92:D92"/>
    <mergeCell ref="B93:D93"/>
    <mergeCell ref="B94:D94"/>
    <mergeCell ref="E88:H88"/>
    <mergeCell ref="E89:H89"/>
    <mergeCell ref="E91:H91"/>
    <mergeCell ref="E92:H92"/>
    <mergeCell ref="E93:H93"/>
    <mergeCell ref="E90:H90"/>
    <mergeCell ref="A84:U84"/>
    <mergeCell ref="B85:D85"/>
    <mergeCell ref="E85:G85"/>
    <mergeCell ref="E87:H87"/>
    <mergeCell ref="A14:U14"/>
    <mergeCell ref="A28:U28"/>
    <mergeCell ref="A40:U40"/>
    <mergeCell ref="A56:U56"/>
    <mergeCell ref="A76:U76"/>
    <mergeCell ref="A77:U77"/>
    <mergeCell ref="D69:N69"/>
    <mergeCell ref="B78:E78"/>
    <mergeCell ref="G78:J78"/>
    <mergeCell ref="L78:O78"/>
    <mergeCell ref="Q78:T78"/>
    <mergeCell ref="B79:E81"/>
    <mergeCell ref="G11:J11"/>
    <mergeCell ref="L11:O11"/>
    <mergeCell ref="Q11:T11"/>
    <mergeCell ref="B12:E12"/>
    <mergeCell ref="G12:J12"/>
    <mergeCell ref="L12:O12"/>
    <mergeCell ref="Q12:T12"/>
    <mergeCell ref="A1:U1"/>
    <mergeCell ref="A3:U3"/>
    <mergeCell ref="B5:E5"/>
    <mergeCell ref="G5:J5"/>
    <mergeCell ref="L5:O5"/>
    <mergeCell ref="Q5:T5"/>
    <mergeCell ref="G79:J81"/>
    <mergeCell ref="L79:O81"/>
    <mergeCell ref="Q79:T81"/>
    <mergeCell ref="B6:E6"/>
    <mergeCell ref="G6:J6"/>
    <mergeCell ref="L6:O6"/>
    <mergeCell ref="Q6:T6"/>
    <mergeCell ref="B8:E8"/>
    <mergeCell ref="G8:J8"/>
    <mergeCell ref="L8:O8"/>
    <mergeCell ref="Q8:T8"/>
    <mergeCell ref="B9:E9"/>
    <mergeCell ref="G9:J9"/>
    <mergeCell ref="L9:O9"/>
    <mergeCell ref="Q9:T9"/>
    <mergeCell ref="B11:E11"/>
  </mergeCells>
  <dataValidations count="1">
    <dataValidation type="list" allowBlank="1" showInputMessage="1" showErrorMessage="1" sqref="E85" xr:uid="{FE49B389-7666-4ECE-BF39-F53CB81FB327}">
      <formula1>$G$31:$G$38</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CB9CE-77E9-4097-A66B-F52A2EEB3FCF}">
  <sheetPr codeName="Sheet2">
    <tabColor theme="5" tint="0.39997558519241921"/>
  </sheetPr>
  <dimension ref="A1:W1001"/>
  <sheetViews>
    <sheetView workbookViewId="0">
      <pane ySplit="1" topLeftCell="A2" activePane="bottomLeft" state="frozen"/>
      <selection pane="bottomLeft" activeCell="G17" sqref="G17"/>
    </sheetView>
  </sheetViews>
  <sheetFormatPr defaultRowHeight="14.4" x14ac:dyDescent="0.3"/>
  <cols>
    <col min="1" max="1" width="10.77734375" customWidth="1"/>
    <col min="4" max="4" width="10.88671875" customWidth="1"/>
    <col min="5" max="5" width="15.33203125" customWidth="1"/>
    <col min="6" max="6" width="15.77734375" customWidth="1"/>
    <col min="8" max="8" width="9" customWidth="1"/>
    <col min="9" max="9" width="12.33203125" customWidth="1"/>
    <col min="11" max="11" width="14.109375" customWidth="1"/>
    <col min="12" max="12" width="14.5546875" customWidth="1"/>
    <col min="13" max="13" width="12.44140625" customWidth="1"/>
    <col min="14" max="14" width="14" customWidth="1"/>
    <col min="15" max="15" width="19" customWidth="1"/>
    <col min="16" max="16" width="15.6640625" customWidth="1"/>
    <col min="17" max="17" width="11.6640625" customWidth="1"/>
    <col min="18" max="18" width="16.6640625" customWidth="1"/>
    <col min="19" max="19" width="17.88671875" customWidth="1"/>
    <col min="20" max="20" width="14.6640625" customWidth="1"/>
    <col min="21" max="21" width="13.5546875" customWidth="1"/>
    <col min="22" max="22" width="11.6640625" customWidth="1"/>
    <col min="23" max="23" width="19.77734375" customWidth="1"/>
  </cols>
  <sheetData>
    <row r="1" spans="1:23" s="8" customFormat="1" ht="27" customHeight="1" x14ac:dyDescent="0.3">
      <c r="A1" s="31" t="s">
        <v>0</v>
      </c>
      <c r="B1" s="32" t="s">
        <v>1</v>
      </c>
      <c r="C1" s="32" t="s">
        <v>2</v>
      </c>
      <c r="D1" s="32" t="s">
        <v>3</v>
      </c>
      <c r="E1" s="32" t="s">
        <v>4</v>
      </c>
      <c r="F1" s="32" t="s">
        <v>5</v>
      </c>
      <c r="G1" s="32" t="s">
        <v>6</v>
      </c>
      <c r="H1" s="32" t="s">
        <v>7</v>
      </c>
      <c r="I1" s="32" t="s">
        <v>8</v>
      </c>
      <c r="J1" s="32" t="s">
        <v>9</v>
      </c>
      <c r="K1" s="32" t="s">
        <v>10</v>
      </c>
      <c r="L1" s="32" t="s">
        <v>11</v>
      </c>
      <c r="M1" s="32" t="s">
        <v>12</v>
      </c>
      <c r="N1" s="32" t="s">
        <v>13</v>
      </c>
      <c r="O1" s="32" t="s">
        <v>14</v>
      </c>
      <c r="P1" s="32" t="s">
        <v>15</v>
      </c>
      <c r="Q1" s="32" t="s">
        <v>16</v>
      </c>
      <c r="R1" s="32" t="s">
        <v>17</v>
      </c>
      <c r="S1" s="32" t="s">
        <v>18</v>
      </c>
      <c r="T1" s="32" t="s">
        <v>19</v>
      </c>
      <c r="U1" s="32" t="s">
        <v>20</v>
      </c>
      <c r="V1" s="32" t="s">
        <v>21</v>
      </c>
      <c r="W1" s="33" t="s">
        <v>22</v>
      </c>
    </row>
    <row r="2" spans="1:23" ht="22.8" x14ac:dyDescent="0.3">
      <c r="A2" s="17" t="s">
        <v>23</v>
      </c>
      <c r="B2" s="18" t="s">
        <v>24</v>
      </c>
      <c r="C2" s="18" t="s">
        <v>25</v>
      </c>
      <c r="D2" s="18" t="s">
        <v>26</v>
      </c>
      <c r="E2" s="18" t="s">
        <v>27</v>
      </c>
      <c r="F2" s="18" t="s">
        <v>28</v>
      </c>
      <c r="G2" s="18" t="s">
        <v>29</v>
      </c>
      <c r="H2" s="18" t="s">
        <v>30</v>
      </c>
      <c r="I2" s="18">
        <v>5</v>
      </c>
      <c r="J2" s="19">
        <v>5944</v>
      </c>
      <c r="K2" s="19">
        <v>4161</v>
      </c>
      <c r="L2" s="20">
        <v>0.3</v>
      </c>
      <c r="M2" s="19">
        <v>4234</v>
      </c>
      <c r="N2" s="19">
        <f>(tbl_raw[[#This Row],[Selling_Price]]-tbl_raw[[#This Row],[Cost_Price]])*tbl_raw[[#This Row],[Units_Sold]]</f>
        <v>-365</v>
      </c>
      <c r="O2" s="20">
        <f>IFERROR((tbl_raw[[#This Row],[Selling_Price]]-tbl_raw[[#This Row],[Cost_Price]]) / tbl_raw[[#This Row],[Selling_Price]],0)</f>
        <v>-1.7543859649122806E-2</v>
      </c>
      <c r="P2" s="19">
        <v>43</v>
      </c>
      <c r="Q2" s="19">
        <f>tbl_raw[[#This Row],[Gross_Profit]]-(tbl_raw[[#This Row],[Shipping_Cost]]*tbl_raw[[#This Row],[Units_Sold]])</f>
        <v>-580</v>
      </c>
      <c r="R2" s="20">
        <f>IFERROR(tbl_raw[[#This Row],[Net_Profit]]/(tbl_raw[[#This Row],[Selling_Price]]*tbl_raw[[#This Row],[Units_Sold]]),0)</f>
        <v>-2.7877913962989664E-2</v>
      </c>
      <c r="S2" s="18" t="s">
        <v>31</v>
      </c>
      <c r="T2" s="18" t="s">
        <v>32</v>
      </c>
      <c r="U2" s="18">
        <f>IF(tbl_raw[[#This Row],[Order_Status]]="Returned",1,0)</f>
        <v>0</v>
      </c>
      <c r="V2" s="18">
        <f>IF(tbl_raw[[#This Row],[Payment_Method]]="COD",1,0)</f>
        <v>0</v>
      </c>
      <c r="W2" s="21">
        <f>MIN(1,(tbl_raw[[#This Row],[Discount_Pct]]*1.4)+(tbl_raw[[#This Row],[COD_Flag]]*0.35))</f>
        <v>0.42</v>
      </c>
    </row>
    <row r="3" spans="1:23" ht="22.8" x14ac:dyDescent="0.3">
      <c r="A3" s="22" t="s">
        <v>33</v>
      </c>
      <c r="B3" s="23" t="s">
        <v>34</v>
      </c>
      <c r="C3" s="23" t="s">
        <v>35</v>
      </c>
      <c r="D3" s="23" t="s">
        <v>26</v>
      </c>
      <c r="E3" s="23" t="s">
        <v>36</v>
      </c>
      <c r="F3" s="23" t="s">
        <v>37</v>
      </c>
      <c r="G3" s="23" t="s">
        <v>38</v>
      </c>
      <c r="H3" s="23" t="s">
        <v>39</v>
      </c>
      <c r="I3" s="23">
        <v>14</v>
      </c>
      <c r="J3" s="24">
        <v>1919</v>
      </c>
      <c r="K3" s="24">
        <v>1401</v>
      </c>
      <c r="L3" s="25">
        <v>0.27</v>
      </c>
      <c r="M3" s="24">
        <v>1311</v>
      </c>
      <c r="N3" s="24">
        <f>(tbl_raw[[#This Row],[Selling_Price]]-tbl_raw[[#This Row],[Cost_Price]])*tbl_raw[[#This Row],[Units_Sold]]</f>
        <v>1260</v>
      </c>
      <c r="O3" s="25">
        <f>IFERROR((tbl_raw[[#This Row],[Selling_Price]]-tbl_raw[[#This Row],[Cost_Price]]) / tbl_raw[[#This Row],[Selling_Price]],0)</f>
        <v>6.4239828693790149E-2</v>
      </c>
      <c r="P3" s="24">
        <v>31</v>
      </c>
      <c r="Q3" s="24">
        <f>tbl_raw[[#This Row],[Gross_Profit]]-(tbl_raw[[#This Row],[Shipping_Cost]]*tbl_raw[[#This Row],[Units_Sold]])</f>
        <v>826</v>
      </c>
      <c r="R3" s="25">
        <f>IFERROR(tbl_raw[[#This Row],[Net_Profit]]/(tbl_raw[[#This Row],[Selling_Price]]*tbl_raw[[#This Row],[Units_Sold]]),0)</f>
        <v>4.2112776588151324E-2</v>
      </c>
      <c r="S3" s="23" t="s">
        <v>40</v>
      </c>
      <c r="T3" s="23" t="s">
        <v>32</v>
      </c>
      <c r="U3" s="23">
        <f>IF(tbl_raw[[#This Row],[Order_Status]]="Returned",1,0)</f>
        <v>0</v>
      </c>
      <c r="V3" s="23">
        <f>IF(tbl_raw[[#This Row],[Payment_Method]]="COD",1,0)</f>
        <v>1</v>
      </c>
      <c r="W3" s="26">
        <f>MIN(1,(tbl_raw[[#This Row],[Discount_Pct]]*1.4)+(tbl_raw[[#This Row],[COD_Flag]]*0.35))</f>
        <v>0.72799999999999998</v>
      </c>
    </row>
    <row r="4" spans="1:23" ht="22.8" x14ac:dyDescent="0.3">
      <c r="A4" s="17" t="s">
        <v>41</v>
      </c>
      <c r="B4" s="18" t="s">
        <v>42</v>
      </c>
      <c r="C4" s="18" t="s">
        <v>43</v>
      </c>
      <c r="D4" s="18" t="s">
        <v>44</v>
      </c>
      <c r="E4" s="18" t="s">
        <v>45</v>
      </c>
      <c r="F4" s="18" t="s">
        <v>46</v>
      </c>
      <c r="G4" s="18" t="s">
        <v>47</v>
      </c>
      <c r="H4" s="18" t="s">
        <v>48</v>
      </c>
      <c r="I4" s="18">
        <v>4</v>
      </c>
      <c r="J4" s="19">
        <v>3000</v>
      </c>
      <c r="K4" s="19">
        <v>2550</v>
      </c>
      <c r="L4" s="20">
        <v>0.15</v>
      </c>
      <c r="M4" s="19">
        <v>1478</v>
      </c>
      <c r="N4" s="19">
        <f>(tbl_raw[[#This Row],[Selling_Price]]-tbl_raw[[#This Row],[Cost_Price]])*tbl_raw[[#This Row],[Units_Sold]]</f>
        <v>4288</v>
      </c>
      <c r="O4" s="20">
        <f>IFERROR((tbl_raw[[#This Row],[Selling_Price]]-tbl_raw[[#This Row],[Cost_Price]]) / tbl_raw[[#This Row],[Selling_Price]],0)</f>
        <v>0.42039215686274511</v>
      </c>
      <c r="P4" s="19">
        <v>37</v>
      </c>
      <c r="Q4" s="19">
        <f>tbl_raw[[#This Row],[Gross_Profit]]-(tbl_raw[[#This Row],[Shipping_Cost]]*tbl_raw[[#This Row],[Units_Sold]])</f>
        <v>4140</v>
      </c>
      <c r="R4" s="20">
        <f>IFERROR(tbl_raw[[#This Row],[Net_Profit]]/(tbl_raw[[#This Row],[Selling_Price]]*tbl_raw[[#This Row],[Units_Sold]]),0)</f>
        <v>0.40588235294117647</v>
      </c>
      <c r="S4" s="18" t="s">
        <v>31</v>
      </c>
      <c r="T4" s="18" t="s">
        <v>49</v>
      </c>
      <c r="U4" s="18">
        <f>IF(tbl_raw[[#This Row],[Order_Status]]="Returned",1,0)</f>
        <v>0</v>
      </c>
      <c r="V4" s="18">
        <f>IF(tbl_raw[[#This Row],[Payment_Method]]="COD",1,0)</f>
        <v>0</v>
      </c>
      <c r="W4" s="21">
        <f>MIN(1,(tbl_raw[[#This Row],[Discount_Pct]]*1.4)+(tbl_raw[[#This Row],[COD_Flag]]*0.35))</f>
        <v>0.21</v>
      </c>
    </row>
    <row r="5" spans="1:23" ht="22.8" x14ac:dyDescent="0.3">
      <c r="A5" s="22" t="s">
        <v>50</v>
      </c>
      <c r="B5" s="23" t="s">
        <v>51</v>
      </c>
      <c r="C5" s="23" t="s">
        <v>52</v>
      </c>
      <c r="D5" s="23" t="s">
        <v>53</v>
      </c>
      <c r="E5" s="23" t="s">
        <v>54</v>
      </c>
      <c r="F5" s="23" t="s">
        <v>55</v>
      </c>
      <c r="G5" s="23" t="s">
        <v>56</v>
      </c>
      <c r="H5" s="23" t="s">
        <v>57</v>
      </c>
      <c r="I5" s="23">
        <v>19</v>
      </c>
      <c r="J5" s="24">
        <v>1700</v>
      </c>
      <c r="K5" s="24">
        <v>1649</v>
      </c>
      <c r="L5" s="25">
        <v>0.03</v>
      </c>
      <c r="M5" s="24">
        <v>1073</v>
      </c>
      <c r="N5" s="24">
        <f>(tbl_raw[[#This Row],[Selling_Price]]-tbl_raw[[#This Row],[Cost_Price]])*tbl_raw[[#This Row],[Units_Sold]]</f>
        <v>10944</v>
      </c>
      <c r="O5" s="25">
        <f>IFERROR((tbl_raw[[#This Row],[Selling_Price]]-tbl_raw[[#This Row],[Cost_Price]]) / tbl_raw[[#This Row],[Selling_Price]],0)</f>
        <v>0.34930260764099452</v>
      </c>
      <c r="P5" s="24">
        <v>146</v>
      </c>
      <c r="Q5" s="24">
        <f>tbl_raw[[#This Row],[Gross_Profit]]-(tbl_raw[[#This Row],[Shipping_Cost]]*tbl_raw[[#This Row],[Units_Sold]])</f>
        <v>8170</v>
      </c>
      <c r="R5" s="25">
        <f>IFERROR(tbl_raw[[#This Row],[Net_Profit]]/(tbl_raw[[#This Row],[Selling_Price]]*tbl_raw[[#This Row],[Units_Sold]]),0)</f>
        <v>0.26076409945421469</v>
      </c>
      <c r="S5" s="23" t="s">
        <v>58</v>
      </c>
      <c r="T5" s="23" t="s">
        <v>59</v>
      </c>
      <c r="U5" s="23">
        <f>IF(tbl_raw[[#This Row],[Order_Status]]="Returned",1,0)</f>
        <v>0</v>
      </c>
      <c r="V5" s="23">
        <f>IF(tbl_raw[[#This Row],[Payment_Method]]="COD",1,0)</f>
        <v>0</v>
      </c>
      <c r="W5" s="26">
        <f>MIN(1,(tbl_raw[[#This Row],[Discount_Pct]]*1.4)+(tbl_raw[[#This Row],[COD_Flag]]*0.35))</f>
        <v>4.1999999999999996E-2</v>
      </c>
    </row>
    <row r="6" spans="1:23" ht="22.8" x14ac:dyDescent="0.3">
      <c r="A6" s="17" t="s">
        <v>60</v>
      </c>
      <c r="B6" s="18" t="s">
        <v>61</v>
      </c>
      <c r="C6" s="18" t="s">
        <v>52</v>
      </c>
      <c r="D6" s="18" t="s">
        <v>62</v>
      </c>
      <c r="E6" s="18" t="s">
        <v>63</v>
      </c>
      <c r="F6" s="18" t="s">
        <v>64</v>
      </c>
      <c r="G6" s="18" t="s">
        <v>56</v>
      </c>
      <c r="H6" s="18" t="s">
        <v>57</v>
      </c>
      <c r="I6" s="18">
        <v>12</v>
      </c>
      <c r="J6" s="19">
        <v>1834</v>
      </c>
      <c r="K6" s="19">
        <v>1614</v>
      </c>
      <c r="L6" s="20">
        <v>0.12</v>
      </c>
      <c r="M6" s="19">
        <v>1335</v>
      </c>
      <c r="N6" s="19">
        <f>(tbl_raw[[#This Row],[Selling_Price]]-tbl_raw[[#This Row],[Cost_Price]])*tbl_raw[[#This Row],[Units_Sold]]</f>
        <v>3348</v>
      </c>
      <c r="O6" s="20">
        <f>IFERROR((tbl_raw[[#This Row],[Selling_Price]]-tbl_raw[[#This Row],[Cost_Price]]) / tbl_raw[[#This Row],[Selling_Price]],0)</f>
        <v>0.17286245353159851</v>
      </c>
      <c r="P6" s="19">
        <v>127</v>
      </c>
      <c r="Q6" s="19">
        <f>tbl_raw[[#This Row],[Gross_Profit]]-(tbl_raw[[#This Row],[Shipping_Cost]]*tbl_raw[[#This Row],[Units_Sold]])</f>
        <v>1824</v>
      </c>
      <c r="R6" s="20">
        <f>IFERROR(tbl_raw[[#This Row],[Net_Profit]]/(tbl_raw[[#This Row],[Selling_Price]]*tbl_raw[[#This Row],[Units_Sold]]),0)</f>
        <v>9.4175960346964058E-2</v>
      </c>
      <c r="S6" s="18" t="s">
        <v>65</v>
      </c>
      <c r="T6" s="18" t="s">
        <v>32</v>
      </c>
      <c r="U6" s="18">
        <f>IF(tbl_raw[[#This Row],[Order_Status]]="Returned",1,0)</f>
        <v>0</v>
      </c>
      <c r="V6" s="18">
        <f>IF(tbl_raw[[#This Row],[Payment_Method]]="COD",1,0)</f>
        <v>0</v>
      </c>
      <c r="W6" s="21">
        <f>MIN(1,(tbl_raw[[#This Row],[Discount_Pct]]*1.4)+(tbl_raw[[#This Row],[COD_Flag]]*0.35))</f>
        <v>0.16799999999999998</v>
      </c>
    </row>
    <row r="7" spans="1:23" ht="22.8" x14ac:dyDescent="0.3">
      <c r="A7" s="22" t="s">
        <v>66</v>
      </c>
      <c r="B7" s="23" t="s">
        <v>67</v>
      </c>
      <c r="C7" s="23" t="s">
        <v>35</v>
      </c>
      <c r="D7" s="23" t="s">
        <v>62</v>
      </c>
      <c r="E7" s="23" t="s">
        <v>68</v>
      </c>
      <c r="F7" s="23" t="s">
        <v>69</v>
      </c>
      <c r="G7" s="23" t="s">
        <v>38</v>
      </c>
      <c r="H7" s="23" t="s">
        <v>39</v>
      </c>
      <c r="I7" s="23">
        <v>8</v>
      </c>
      <c r="J7" s="24">
        <v>5540</v>
      </c>
      <c r="K7" s="24">
        <v>3435</v>
      </c>
      <c r="L7" s="25">
        <v>0.38</v>
      </c>
      <c r="M7" s="24">
        <v>3721</v>
      </c>
      <c r="N7" s="24">
        <f>(tbl_raw[[#This Row],[Selling_Price]]-tbl_raw[[#This Row],[Cost_Price]])*tbl_raw[[#This Row],[Units_Sold]]</f>
        <v>-2288</v>
      </c>
      <c r="O7" s="25">
        <f>IFERROR((tbl_raw[[#This Row],[Selling_Price]]-tbl_raw[[#This Row],[Cost_Price]]) / tbl_raw[[#This Row],[Selling_Price]],0)</f>
        <v>-8.3260553129548762E-2</v>
      </c>
      <c r="P7" s="24">
        <v>64</v>
      </c>
      <c r="Q7" s="24">
        <f>tbl_raw[[#This Row],[Gross_Profit]]-(tbl_raw[[#This Row],[Shipping_Cost]]*tbl_raw[[#This Row],[Units_Sold]])</f>
        <v>-2800</v>
      </c>
      <c r="R7" s="25">
        <f>IFERROR(tbl_raw[[#This Row],[Net_Profit]]/(tbl_raw[[#This Row],[Selling_Price]]*tbl_raw[[#This Row],[Units_Sold]]),0)</f>
        <v>-0.10189228529839883</v>
      </c>
      <c r="S7" s="23" t="s">
        <v>58</v>
      </c>
      <c r="T7" s="23" t="s">
        <v>32</v>
      </c>
      <c r="U7" s="23">
        <f>IF(tbl_raw[[#This Row],[Order_Status]]="Returned",1,0)</f>
        <v>0</v>
      </c>
      <c r="V7" s="23">
        <f>IF(tbl_raw[[#This Row],[Payment_Method]]="COD",1,0)</f>
        <v>0</v>
      </c>
      <c r="W7" s="26">
        <f>MIN(1,(tbl_raw[[#This Row],[Discount_Pct]]*1.4)+(tbl_raw[[#This Row],[COD_Flag]]*0.35))</f>
        <v>0.53199999999999992</v>
      </c>
    </row>
    <row r="8" spans="1:23" ht="22.8" x14ac:dyDescent="0.3">
      <c r="A8" s="17" t="s">
        <v>70</v>
      </c>
      <c r="B8" s="18" t="s">
        <v>71</v>
      </c>
      <c r="C8" s="18" t="s">
        <v>72</v>
      </c>
      <c r="D8" s="18" t="s">
        <v>44</v>
      </c>
      <c r="E8" s="18" t="s">
        <v>73</v>
      </c>
      <c r="F8" s="18" t="s">
        <v>74</v>
      </c>
      <c r="G8" s="18" t="s">
        <v>75</v>
      </c>
      <c r="H8" s="18" t="s">
        <v>48</v>
      </c>
      <c r="I8" s="18">
        <v>13</v>
      </c>
      <c r="J8" s="19">
        <v>7101</v>
      </c>
      <c r="K8" s="19">
        <v>5042</v>
      </c>
      <c r="L8" s="20">
        <v>0.28999999999999998</v>
      </c>
      <c r="M8" s="19">
        <v>3195</v>
      </c>
      <c r="N8" s="19">
        <f>(tbl_raw[[#This Row],[Selling_Price]]-tbl_raw[[#This Row],[Cost_Price]])*tbl_raw[[#This Row],[Units_Sold]]</f>
        <v>24011</v>
      </c>
      <c r="O8" s="20">
        <f>IFERROR((tbl_raw[[#This Row],[Selling_Price]]-tbl_raw[[#This Row],[Cost_Price]]) / tbl_raw[[#This Row],[Selling_Price]],0)</f>
        <v>0.36632288774295912</v>
      </c>
      <c r="P8" s="19">
        <v>51</v>
      </c>
      <c r="Q8" s="19">
        <f>tbl_raw[[#This Row],[Gross_Profit]]-(tbl_raw[[#This Row],[Shipping_Cost]]*tbl_raw[[#This Row],[Units_Sold]])</f>
        <v>23348</v>
      </c>
      <c r="R8" s="20">
        <f>IFERROR(tbl_raw[[#This Row],[Net_Profit]]/(tbl_raw[[#This Row],[Selling_Price]]*tbl_raw[[#This Row],[Units_Sold]]),0)</f>
        <v>0.3562078540261801</v>
      </c>
      <c r="S8" s="18" t="s">
        <v>65</v>
      </c>
      <c r="T8" s="18" t="s">
        <v>32</v>
      </c>
      <c r="U8" s="18">
        <f>IF(tbl_raw[[#This Row],[Order_Status]]="Returned",1,0)</f>
        <v>0</v>
      </c>
      <c r="V8" s="18">
        <f>IF(tbl_raw[[#This Row],[Payment_Method]]="COD",1,0)</f>
        <v>0</v>
      </c>
      <c r="W8" s="21">
        <f>MIN(1,(tbl_raw[[#This Row],[Discount_Pct]]*1.4)+(tbl_raw[[#This Row],[COD_Flag]]*0.35))</f>
        <v>0.40599999999999997</v>
      </c>
    </row>
    <row r="9" spans="1:23" ht="22.8" x14ac:dyDescent="0.3">
      <c r="A9" s="22" t="s">
        <v>76</v>
      </c>
      <c r="B9" s="23" t="s">
        <v>77</v>
      </c>
      <c r="C9" s="23" t="s">
        <v>52</v>
      </c>
      <c r="D9" s="23" t="s">
        <v>78</v>
      </c>
      <c r="E9" s="23" t="s">
        <v>79</v>
      </c>
      <c r="F9" s="23" t="s">
        <v>80</v>
      </c>
      <c r="G9" s="23" t="s">
        <v>81</v>
      </c>
      <c r="H9" s="23" t="s">
        <v>30</v>
      </c>
      <c r="I9" s="23">
        <v>17</v>
      </c>
      <c r="J9" s="24">
        <v>4049</v>
      </c>
      <c r="K9" s="24">
        <v>2672</v>
      </c>
      <c r="L9" s="25">
        <v>0.34</v>
      </c>
      <c r="M9" s="24">
        <v>2840</v>
      </c>
      <c r="N9" s="24">
        <f>(tbl_raw[[#This Row],[Selling_Price]]-tbl_raw[[#This Row],[Cost_Price]])*tbl_raw[[#This Row],[Units_Sold]]</f>
        <v>-2856</v>
      </c>
      <c r="O9" s="25">
        <f>IFERROR((tbl_raw[[#This Row],[Selling_Price]]-tbl_raw[[#This Row],[Cost_Price]]) / tbl_raw[[#This Row],[Selling_Price]],0)</f>
        <v>-6.2874251497005984E-2</v>
      </c>
      <c r="P9" s="24">
        <v>53</v>
      </c>
      <c r="Q9" s="24">
        <f>tbl_raw[[#This Row],[Gross_Profit]]-(tbl_raw[[#This Row],[Shipping_Cost]]*tbl_raw[[#This Row],[Units_Sold]])</f>
        <v>-3757</v>
      </c>
      <c r="R9" s="25">
        <f>IFERROR(tbl_raw[[#This Row],[Net_Profit]]/(tbl_raw[[#This Row],[Selling_Price]]*tbl_raw[[#This Row],[Units_Sold]]),0)</f>
        <v>-8.270958083832336E-2</v>
      </c>
      <c r="S9" s="23" t="s">
        <v>40</v>
      </c>
      <c r="T9" s="23" t="s">
        <v>32</v>
      </c>
      <c r="U9" s="23">
        <f>IF(tbl_raw[[#This Row],[Order_Status]]="Returned",1,0)</f>
        <v>0</v>
      </c>
      <c r="V9" s="23">
        <f>IF(tbl_raw[[#This Row],[Payment_Method]]="COD",1,0)</f>
        <v>1</v>
      </c>
      <c r="W9" s="26">
        <f>MIN(1,(tbl_raw[[#This Row],[Discount_Pct]]*1.4)+(tbl_raw[[#This Row],[COD_Flag]]*0.35))</f>
        <v>0.82599999999999996</v>
      </c>
    </row>
    <row r="10" spans="1:23" ht="22.8" x14ac:dyDescent="0.3">
      <c r="A10" s="17" t="s">
        <v>82</v>
      </c>
      <c r="B10" s="18" t="s">
        <v>83</v>
      </c>
      <c r="C10" s="18" t="s">
        <v>72</v>
      </c>
      <c r="D10" s="18" t="s">
        <v>78</v>
      </c>
      <c r="E10" s="18" t="s">
        <v>84</v>
      </c>
      <c r="F10" s="18" t="s">
        <v>85</v>
      </c>
      <c r="G10" s="18" t="s">
        <v>38</v>
      </c>
      <c r="H10" s="18" t="s">
        <v>39</v>
      </c>
      <c r="I10" s="18">
        <v>9</v>
      </c>
      <c r="J10" s="19">
        <v>7774</v>
      </c>
      <c r="K10" s="19">
        <v>4742</v>
      </c>
      <c r="L10" s="20">
        <v>0.39</v>
      </c>
      <c r="M10" s="19">
        <v>3141</v>
      </c>
      <c r="N10" s="19">
        <f>(tbl_raw[[#This Row],[Selling_Price]]-tbl_raw[[#This Row],[Cost_Price]])*tbl_raw[[#This Row],[Units_Sold]]</f>
        <v>14409</v>
      </c>
      <c r="O10" s="20">
        <f>IFERROR((tbl_raw[[#This Row],[Selling_Price]]-tbl_raw[[#This Row],[Cost_Price]]) / tbl_raw[[#This Row],[Selling_Price]],0)</f>
        <v>0.33762125685364824</v>
      </c>
      <c r="P10" s="19">
        <v>138</v>
      </c>
      <c r="Q10" s="19">
        <f>tbl_raw[[#This Row],[Gross_Profit]]-(tbl_raw[[#This Row],[Shipping_Cost]]*tbl_raw[[#This Row],[Units_Sold]])</f>
        <v>13167</v>
      </c>
      <c r="R10" s="20">
        <f>IFERROR(tbl_raw[[#This Row],[Net_Profit]]/(tbl_raw[[#This Row],[Selling_Price]]*tbl_raw[[#This Row],[Units_Sold]]),0)</f>
        <v>0.30851961197806832</v>
      </c>
      <c r="S10" s="18" t="s">
        <v>65</v>
      </c>
      <c r="T10" s="18" t="s">
        <v>86</v>
      </c>
      <c r="U10" s="18">
        <f>IF(tbl_raw[[#This Row],[Order_Status]]="Returned",1,0)</f>
        <v>1</v>
      </c>
      <c r="V10" s="18">
        <f>IF(tbl_raw[[#This Row],[Payment_Method]]="COD",1,0)</f>
        <v>0</v>
      </c>
      <c r="W10" s="21">
        <f>MIN(1,(tbl_raw[[#This Row],[Discount_Pct]]*1.4)+(tbl_raw[[#This Row],[COD_Flag]]*0.35))</f>
        <v>0.54599999999999993</v>
      </c>
    </row>
    <row r="11" spans="1:23" ht="22.8" x14ac:dyDescent="0.3">
      <c r="A11" s="22" t="s">
        <v>87</v>
      </c>
      <c r="B11" s="23" t="s">
        <v>88</v>
      </c>
      <c r="C11" s="23" t="s">
        <v>89</v>
      </c>
      <c r="D11" s="23" t="s">
        <v>53</v>
      </c>
      <c r="E11" s="23" t="s">
        <v>90</v>
      </c>
      <c r="F11" s="23" t="s">
        <v>91</v>
      </c>
      <c r="G11" s="23" t="s">
        <v>75</v>
      </c>
      <c r="H11" s="23" t="s">
        <v>48</v>
      </c>
      <c r="I11" s="23">
        <v>1</v>
      </c>
      <c r="J11" s="24">
        <v>7640</v>
      </c>
      <c r="K11" s="24">
        <v>4660</v>
      </c>
      <c r="L11" s="25">
        <v>0.39</v>
      </c>
      <c r="M11" s="24">
        <v>3760</v>
      </c>
      <c r="N11" s="24">
        <f>(tbl_raw[[#This Row],[Selling_Price]]-tbl_raw[[#This Row],[Cost_Price]])*tbl_raw[[#This Row],[Units_Sold]]</f>
        <v>900</v>
      </c>
      <c r="O11" s="25">
        <f>IFERROR((tbl_raw[[#This Row],[Selling_Price]]-tbl_raw[[#This Row],[Cost_Price]]) / tbl_raw[[#This Row],[Selling_Price]],0)</f>
        <v>0.19313304721030042</v>
      </c>
      <c r="P11" s="24">
        <v>105</v>
      </c>
      <c r="Q11" s="24">
        <f>tbl_raw[[#This Row],[Gross_Profit]]-(tbl_raw[[#This Row],[Shipping_Cost]]*tbl_raw[[#This Row],[Units_Sold]])</f>
        <v>795</v>
      </c>
      <c r="R11" s="25">
        <f>IFERROR(tbl_raw[[#This Row],[Net_Profit]]/(tbl_raw[[#This Row],[Selling_Price]]*tbl_raw[[#This Row],[Units_Sold]]),0)</f>
        <v>0.17060085836909872</v>
      </c>
      <c r="S11" s="23" t="s">
        <v>40</v>
      </c>
      <c r="T11" s="23" t="s">
        <v>32</v>
      </c>
      <c r="U11" s="23">
        <f>IF(tbl_raw[[#This Row],[Order_Status]]="Returned",1,0)</f>
        <v>0</v>
      </c>
      <c r="V11" s="23">
        <f>IF(tbl_raw[[#This Row],[Payment_Method]]="COD",1,0)</f>
        <v>1</v>
      </c>
      <c r="W11" s="26">
        <f>MIN(1,(tbl_raw[[#This Row],[Discount_Pct]]*1.4)+(tbl_raw[[#This Row],[COD_Flag]]*0.35))</f>
        <v>0.89599999999999991</v>
      </c>
    </row>
    <row r="12" spans="1:23" ht="22.8" x14ac:dyDescent="0.3">
      <c r="A12" s="17" t="s">
        <v>92</v>
      </c>
      <c r="B12" s="18" t="s">
        <v>93</v>
      </c>
      <c r="C12" s="18" t="s">
        <v>25</v>
      </c>
      <c r="D12" s="18" t="s">
        <v>94</v>
      </c>
      <c r="E12" s="18" t="s">
        <v>95</v>
      </c>
      <c r="F12" s="18" t="s">
        <v>96</v>
      </c>
      <c r="G12" s="18" t="s">
        <v>81</v>
      </c>
      <c r="H12" s="18" t="s">
        <v>30</v>
      </c>
      <c r="I12" s="18">
        <v>18</v>
      </c>
      <c r="J12" s="19">
        <v>7637</v>
      </c>
      <c r="K12" s="19">
        <v>4429</v>
      </c>
      <c r="L12" s="20">
        <v>0.42</v>
      </c>
      <c r="M12" s="19">
        <v>5510</v>
      </c>
      <c r="N12" s="19">
        <f>(tbl_raw[[#This Row],[Selling_Price]]-tbl_raw[[#This Row],[Cost_Price]])*tbl_raw[[#This Row],[Units_Sold]]</f>
        <v>-19458</v>
      </c>
      <c r="O12" s="20">
        <f>IFERROR((tbl_raw[[#This Row],[Selling_Price]]-tbl_raw[[#This Row],[Cost_Price]]) / tbl_raw[[#This Row],[Selling_Price]],0)</f>
        <v>-0.24407315421088283</v>
      </c>
      <c r="P12" s="19">
        <v>120</v>
      </c>
      <c r="Q12" s="19">
        <f>tbl_raw[[#This Row],[Gross_Profit]]-(tbl_raw[[#This Row],[Shipping_Cost]]*tbl_raw[[#This Row],[Units_Sold]])</f>
        <v>-21618</v>
      </c>
      <c r="R12" s="20">
        <f>IFERROR(tbl_raw[[#This Row],[Net_Profit]]/(tbl_raw[[#This Row],[Selling_Price]]*tbl_raw[[#This Row],[Units_Sold]]),0)</f>
        <v>-0.27116730638970421</v>
      </c>
      <c r="S12" s="18" t="s">
        <v>31</v>
      </c>
      <c r="T12" s="18" t="s">
        <v>49</v>
      </c>
      <c r="U12" s="18">
        <f>IF(tbl_raw[[#This Row],[Order_Status]]="Returned",1,0)</f>
        <v>0</v>
      </c>
      <c r="V12" s="18">
        <f>IF(tbl_raw[[#This Row],[Payment_Method]]="COD",1,0)</f>
        <v>0</v>
      </c>
      <c r="W12" s="21">
        <f>MIN(1,(tbl_raw[[#This Row],[Discount_Pct]]*1.4)+(tbl_raw[[#This Row],[COD_Flag]]*0.35))</f>
        <v>0.58799999999999997</v>
      </c>
    </row>
    <row r="13" spans="1:23" ht="22.8" x14ac:dyDescent="0.3">
      <c r="A13" s="22" t="s">
        <v>97</v>
      </c>
      <c r="B13" s="23" t="s">
        <v>98</v>
      </c>
      <c r="C13" s="23" t="s">
        <v>99</v>
      </c>
      <c r="D13" s="23" t="s">
        <v>26</v>
      </c>
      <c r="E13" s="23" t="s">
        <v>100</v>
      </c>
      <c r="F13" s="23" t="s">
        <v>101</v>
      </c>
      <c r="G13" s="23" t="s">
        <v>102</v>
      </c>
      <c r="H13" s="23" t="s">
        <v>39</v>
      </c>
      <c r="I13" s="23">
        <v>3</v>
      </c>
      <c r="J13" s="24">
        <v>868</v>
      </c>
      <c r="K13" s="24">
        <v>677</v>
      </c>
      <c r="L13" s="25">
        <v>0.22</v>
      </c>
      <c r="M13" s="24">
        <v>368</v>
      </c>
      <c r="N13" s="24">
        <f>(tbl_raw[[#This Row],[Selling_Price]]-tbl_raw[[#This Row],[Cost_Price]])*tbl_raw[[#This Row],[Units_Sold]]</f>
        <v>927</v>
      </c>
      <c r="O13" s="25">
        <f>IFERROR((tbl_raw[[#This Row],[Selling_Price]]-tbl_raw[[#This Row],[Cost_Price]]) / tbl_raw[[#This Row],[Selling_Price]],0)</f>
        <v>0.45642540620384048</v>
      </c>
      <c r="P13" s="24">
        <v>144</v>
      </c>
      <c r="Q13" s="24">
        <f>tbl_raw[[#This Row],[Gross_Profit]]-(tbl_raw[[#This Row],[Shipping_Cost]]*tbl_raw[[#This Row],[Units_Sold]])</f>
        <v>495</v>
      </c>
      <c r="R13" s="25">
        <f>IFERROR(tbl_raw[[#This Row],[Net_Profit]]/(tbl_raw[[#This Row],[Selling_Price]]*tbl_raw[[#This Row],[Units_Sold]]),0)</f>
        <v>0.24372230428360414</v>
      </c>
      <c r="S13" s="23" t="s">
        <v>40</v>
      </c>
      <c r="T13" s="23" t="s">
        <v>32</v>
      </c>
      <c r="U13" s="23">
        <f>IF(tbl_raw[[#This Row],[Order_Status]]="Returned",1,0)</f>
        <v>0</v>
      </c>
      <c r="V13" s="23">
        <f>IF(tbl_raw[[#This Row],[Payment_Method]]="COD",1,0)</f>
        <v>1</v>
      </c>
      <c r="W13" s="26">
        <f>MIN(1,(tbl_raw[[#This Row],[Discount_Pct]]*1.4)+(tbl_raw[[#This Row],[COD_Flag]]*0.35))</f>
        <v>0.65799999999999992</v>
      </c>
    </row>
    <row r="14" spans="1:23" ht="22.8" x14ac:dyDescent="0.3">
      <c r="A14" s="17" t="s">
        <v>103</v>
      </c>
      <c r="B14" s="18" t="s">
        <v>104</v>
      </c>
      <c r="C14" s="18" t="s">
        <v>105</v>
      </c>
      <c r="D14" s="18" t="s">
        <v>53</v>
      </c>
      <c r="E14" s="18" t="s">
        <v>54</v>
      </c>
      <c r="F14" s="18" t="s">
        <v>106</v>
      </c>
      <c r="G14" s="18" t="s">
        <v>102</v>
      </c>
      <c r="H14" s="18" t="s">
        <v>39</v>
      </c>
      <c r="I14" s="18">
        <v>14</v>
      </c>
      <c r="J14" s="19">
        <v>7722</v>
      </c>
      <c r="K14" s="19">
        <v>4479</v>
      </c>
      <c r="L14" s="20">
        <v>0.42</v>
      </c>
      <c r="M14" s="19">
        <v>5130</v>
      </c>
      <c r="N14" s="19">
        <f>(tbl_raw[[#This Row],[Selling_Price]]-tbl_raw[[#This Row],[Cost_Price]])*tbl_raw[[#This Row],[Units_Sold]]</f>
        <v>-9114</v>
      </c>
      <c r="O14" s="20">
        <f>IFERROR((tbl_raw[[#This Row],[Selling_Price]]-tbl_raw[[#This Row],[Cost_Price]]) / tbl_raw[[#This Row],[Selling_Price]],0)</f>
        <v>-0.14534494306764903</v>
      </c>
      <c r="P14" s="19">
        <v>133</v>
      </c>
      <c r="Q14" s="19">
        <f>tbl_raw[[#This Row],[Gross_Profit]]-(tbl_raw[[#This Row],[Shipping_Cost]]*tbl_raw[[#This Row],[Units_Sold]])</f>
        <v>-10976</v>
      </c>
      <c r="R14" s="20">
        <f>IFERROR(tbl_raw[[#This Row],[Net_Profit]]/(tbl_raw[[#This Row],[Selling_Price]]*tbl_raw[[#This Row],[Units_Sold]]),0)</f>
        <v>-0.17503907122125476</v>
      </c>
      <c r="S14" s="18" t="s">
        <v>107</v>
      </c>
      <c r="T14" s="18" t="s">
        <v>32</v>
      </c>
      <c r="U14" s="18">
        <f>IF(tbl_raw[[#This Row],[Order_Status]]="Returned",1,0)</f>
        <v>0</v>
      </c>
      <c r="V14" s="18">
        <f>IF(tbl_raw[[#This Row],[Payment_Method]]="COD",1,0)</f>
        <v>0</v>
      </c>
      <c r="W14" s="21">
        <f>MIN(1,(tbl_raw[[#This Row],[Discount_Pct]]*1.4)+(tbl_raw[[#This Row],[COD_Flag]]*0.35))</f>
        <v>0.58799999999999997</v>
      </c>
    </row>
    <row r="15" spans="1:23" ht="22.8" x14ac:dyDescent="0.3">
      <c r="A15" s="22" t="s">
        <v>108</v>
      </c>
      <c r="B15" s="23" t="s">
        <v>109</v>
      </c>
      <c r="C15" s="23" t="s">
        <v>89</v>
      </c>
      <c r="D15" s="23" t="s">
        <v>62</v>
      </c>
      <c r="E15" s="23" t="s">
        <v>110</v>
      </c>
      <c r="F15" s="23" t="s">
        <v>111</v>
      </c>
      <c r="G15" s="23" t="s">
        <v>29</v>
      </c>
      <c r="H15" s="23" t="s">
        <v>30</v>
      </c>
      <c r="I15" s="23">
        <v>3</v>
      </c>
      <c r="J15" s="24">
        <v>2837</v>
      </c>
      <c r="K15" s="24">
        <v>2099</v>
      </c>
      <c r="L15" s="25">
        <v>0.26</v>
      </c>
      <c r="M15" s="24">
        <v>1363</v>
      </c>
      <c r="N15" s="24">
        <f>(tbl_raw[[#This Row],[Selling_Price]]-tbl_raw[[#This Row],[Cost_Price]])*tbl_raw[[#This Row],[Units_Sold]]</f>
        <v>2208</v>
      </c>
      <c r="O15" s="25">
        <f>IFERROR((tbl_raw[[#This Row],[Selling_Price]]-tbl_raw[[#This Row],[Cost_Price]]) / tbl_raw[[#This Row],[Selling_Price]],0)</f>
        <v>0.35064316341114815</v>
      </c>
      <c r="P15" s="24">
        <v>63</v>
      </c>
      <c r="Q15" s="24">
        <f>tbl_raw[[#This Row],[Gross_Profit]]-(tbl_raw[[#This Row],[Shipping_Cost]]*tbl_raw[[#This Row],[Units_Sold]])</f>
        <v>2019</v>
      </c>
      <c r="R15" s="25">
        <f>IFERROR(tbl_raw[[#This Row],[Net_Profit]]/(tbl_raw[[#This Row],[Selling_Price]]*tbl_raw[[#This Row],[Units_Sold]]),0)</f>
        <v>0.32062887089090042</v>
      </c>
      <c r="S15" s="23" t="s">
        <v>58</v>
      </c>
      <c r="T15" s="23" t="s">
        <v>32</v>
      </c>
      <c r="U15" s="23">
        <f>IF(tbl_raw[[#This Row],[Order_Status]]="Returned",1,0)</f>
        <v>0</v>
      </c>
      <c r="V15" s="23">
        <f>IF(tbl_raw[[#This Row],[Payment_Method]]="COD",1,0)</f>
        <v>0</v>
      </c>
      <c r="W15" s="26">
        <f>MIN(1,(tbl_raw[[#This Row],[Discount_Pct]]*1.4)+(tbl_raw[[#This Row],[COD_Flag]]*0.35))</f>
        <v>0.36399999999999999</v>
      </c>
    </row>
    <row r="16" spans="1:23" ht="22.8" x14ac:dyDescent="0.3">
      <c r="A16" s="17" t="s">
        <v>112</v>
      </c>
      <c r="B16" s="18" t="s">
        <v>113</v>
      </c>
      <c r="C16" s="18" t="s">
        <v>72</v>
      </c>
      <c r="D16" s="18" t="s">
        <v>44</v>
      </c>
      <c r="E16" s="18" t="s">
        <v>45</v>
      </c>
      <c r="F16" s="18" t="s">
        <v>114</v>
      </c>
      <c r="G16" s="18" t="s">
        <v>29</v>
      </c>
      <c r="H16" s="18" t="s">
        <v>30</v>
      </c>
      <c r="I16" s="18">
        <v>9</v>
      </c>
      <c r="J16" s="19">
        <v>5418</v>
      </c>
      <c r="K16" s="19">
        <v>4876</v>
      </c>
      <c r="L16" s="20">
        <v>0.1</v>
      </c>
      <c r="M16" s="19">
        <v>2418</v>
      </c>
      <c r="N16" s="19">
        <f>(tbl_raw[[#This Row],[Selling_Price]]-tbl_raw[[#This Row],[Cost_Price]])*tbl_raw[[#This Row],[Units_Sold]]</f>
        <v>22122</v>
      </c>
      <c r="O16" s="20">
        <f>IFERROR((tbl_raw[[#This Row],[Selling_Price]]-tbl_raw[[#This Row],[Cost_Price]]) / tbl_raw[[#This Row],[Selling_Price]],0)</f>
        <v>0.50410172272354392</v>
      </c>
      <c r="P16" s="19">
        <v>170</v>
      </c>
      <c r="Q16" s="19">
        <f>tbl_raw[[#This Row],[Gross_Profit]]-(tbl_raw[[#This Row],[Shipping_Cost]]*tbl_raw[[#This Row],[Units_Sold]])</f>
        <v>20592</v>
      </c>
      <c r="R16" s="20">
        <f>IFERROR(tbl_raw[[#This Row],[Net_Profit]]/(tbl_raw[[#This Row],[Selling_Price]]*tbl_raw[[#This Row],[Units_Sold]]),0)</f>
        <v>0.46923707957342081</v>
      </c>
      <c r="S16" s="18" t="s">
        <v>65</v>
      </c>
      <c r="T16" s="18" t="s">
        <v>32</v>
      </c>
      <c r="U16" s="18">
        <f>IF(tbl_raw[[#This Row],[Order_Status]]="Returned",1,0)</f>
        <v>0</v>
      </c>
      <c r="V16" s="18">
        <f>IF(tbl_raw[[#This Row],[Payment_Method]]="COD",1,0)</f>
        <v>0</v>
      </c>
      <c r="W16" s="21">
        <f>MIN(1,(tbl_raw[[#This Row],[Discount_Pct]]*1.4)+(tbl_raw[[#This Row],[COD_Flag]]*0.35))</f>
        <v>0.13999999999999999</v>
      </c>
    </row>
    <row r="17" spans="1:23" ht="22.8" x14ac:dyDescent="0.3">
      <c r="A17" s="22" t="s">
        <v>115</v>
      </c>
      <c r="B17" s="23" t="s">
        <v>116</v>
      </c>
      <c r="C17" s="23" t="s">
        <v>117</v>
      </c>
      <c r="D17" s="23" t="s">
        <v>78</v>
      </c>
      <c r="E17" s="23" t="s">
        <v>118</v>
      </c>
      <c r="F17" s="23" t="s">
        <v>119</v>
      </c>
      <c r="G17" s="23" t="s">
        <v>120</v>
      </c>
      <c r="H17" s="23" t="s">
        <v>39</v>
      </c>
      <c r="I17" s="23">
        <v>14</v>
      </c>
      <c r="J17" s="24">
        <v>2964</v>
      </c>
      <c r="K17" s="24">
        <v>2430</v>
      </c>
      <c r="L17" s="25">
        <v>0.18</v>
      </c>
      <c r="M17" s="24">
        <v>2082</v>
      </c>
      <c r="N17" s="24">
        <f>(tbl_raw[[#This Row],[Selling_Price]]-tbl_raw[[#This Row],[Cost_Price]])*tbl_raw[[#This Row],[Units_Sold]]</f>
        <v>4872</v>
      </c>
      <c r="O17" s="25">
        <f>IFERROR((tbl_raw[[#This Row],[Selling_Price]]-tbl_raw[[#This Row],[Cost_Price]]) / tbl_raw[[#This Row],[Selling_Price]],0)</f>
        <v>0.14320987654320988</v>
      </c>
      <c r="P17" s="24">
        <v>38</v>
      </c>
      <c r="Q17" s="24">
        <f>tbl_raw[[#This Row],[Gross_Profit]]-(tbl_raw[[#This Row],[Shipping_Cost]]*tbl_raw[[#This Row],[Units_Sold]])</f>
        <v>4340</v>
      </c>
      <c r="R17" s="25">
        <f>IFERROR(tbl_raw[[#This Row],[Net_Profit]]/(tbl_raw[[#This Row],[Selling_Price]]*tbl_raw[[#This Row],[Units_Sold]]),0)</f>
        <v>0.12757201646090535</v>
      </c>
      <c r="S17" s="23" t="s">
        <v>58</v>
      </c>
      <c r="T17" s="23" t="s">
        <v>32</v>
      </c>
      <c r="U17" s="23">
        <f>IF(tbl_raw[[#This Row],[Order_Status]]="Returned",1,0)</f>
        <v>0</v>
      </c>
      <c r="V17" s="23">
        <f>IF(tbl_raw[[#This Row],[Payment_Method]]="COD",1,0)</f>
        <v>0</v>
      </c>
      <c r="W17" s="26">
        <f>MIN(1,(tbl_raw[[#This Row],[Discount_Pct]]*1.4)+(tbl_raw[[#This Row],[COD_Flag]]*0.35))</f>
        <v>0.252</v>
      </c>
    </row>
    <row r="18" spans="1:23" ht="22.8" x14ac:dyDescent="0.3">
      <c r="A18" s="17" t="s">
        <v>121</v>
      </c>
      <c r="B18" s="18" t="s">
        <v>122</v>
      </c>
      <c r="C18" s="18" t="s">
        <v>72</v>
      </c>
      <c r="D18" s="18" t="s">
        <v>94</v>
      </c>
      <c r="E18" s="18" t="s">
        <v>95</v>
      </c>
      <c r="F18" s="18" t="s">
        <v>123</v>
      </c>
      <c r="G18" s="18" t="s">
        <v>75</v>
      </c>
      <c r="H18" s="18" t="s">
        <v>48</v>
      </c>
      <c r="I18" s="18">
        <v>5</v>
      </c>
      <c r="J18" s="19">
        <v>3491</v>
      </c>
      <c r="K18" s="19">
        <v>3037</v>
      </c>
      <c r="L18" s="20">
        <v>0.13</v>
      </c>
      <c r="M18" s="19">
        <v>1702</v>
      </c>
      <c r="N18" s="19">
        <f>(tbl_raw[[#This Row],[Selling_Price]]-tbl_raw[[#This Row],[Cost_Price]])*tbl_raw[[#This Row],[Units_Sold]]</f>
        <v>6675</v>
      </c>
      <c r="O18" s="20">
        <f>IFERROR((tbl_raw[[#This Row],[Selling_Price]]-tbl_raw[[#This Row],[Cost_Price]]) / tbl_raw[[#This Row],[Selling_Price]],0)</f>
        <v>0.43957853144550546</v>
      </c>
      <c r="P18" s="19">
        <v>168</v>
      </c>
      <c r="Q18" s="19">
        <f>tbl_raw[[#This Row],[Gross_Profit]]-(tbl_raw[[#This Row],[Shipping_Cost]]*tbl_raw[[#This Row],[Units_Sold]])</f>
        <v>5835</v>
      </c>
      <c r="R18" s="20">
        <f>IFERROR(tbl_raw[[#This Row],[Net_Profit]]/(tbl_raw[[#This Row],[Selling_Price]]*tbl_raw[[#This Row],[Units_Sold]]),0)</f>
        <v>0.38426078366809352</v>
      </c>
      <c r="S18" s="18" t="s">
        <v>31</v>
      </c>
      <c r="T18" s="18" t="s">
        <v>59</v>
      </c>
      <c r="U18" s="18">
        <f>IF(tbl_raw[[#This Row],[Order_Status]]="Returned",1,0)</f>
        <v>0</v>
      </c>
      <c r="V18" s="18">
        <f>IF(tbl_raw[[#This Row],[Payment_Method]]="COD",1,0)</f>
        <v>0</v>
      </c>
      <c r="W18" s="21">
        <f>MIN(1,(tbl_raw[[#This Row],[Discount_Pct]]*1.4)+(tbl_raw[[#This Row],[COD_Flag]]*0.35))</f>
        <v>0.182</v>
      </c>
    </row>
    <row r="19" spans="1:23" ht="22.8" x14ac:dyDescent="0.3">
      <c r="A19" s="22" t="s">
        <v>124</v>
      </c>
      <c r="B19" s="23" t="s">
        <v>113</v>
      </c>
      <c r="C19" s="23" t="s">
        <v>72</v>
      </c>
      <c r="D19" s="23" t="s">
        <v>26</v>
      </c>
      <c r="E19" s="23" t="s">
        <v>125</v>
      </c>
      <c r="F19" s="23" t="s">
        <v>126</v>
      </c>
      <c r="G19" s="23" t="s">
        <v>29</v>
      </c>
      <c r="H19" s="23" t="s">
        <v>30</v>
      </c>
      <c r="I19" s="23">
        <v>6</v>
      </c>
      <c r="J19" s="24">
        <v>3370</v>
      </c>
      <c r="K19" s="24">
        <v>2629</v>
      </c>
      <c r="L19" s="25">
        <v>0.22</v>
      </c>
      <c r="M19" s="24">
        <v>2368</v>
      </c>
      <c r="N19" s="24">
        <f>(tbl_raw[[#This Row],[Selling_Price]]-tbl_raw[[#This Row],[Cost_Price]])*tbl_raw[[#This Row],[Units_Sold]]</f>
        <v>1566</v>
      </c>
      <c r="O19" s="25">
        <f>IFERROR((tbl_raw[[#This Row],[Selling_Price]]-tbl_raw[[#This Row],[Cost_Price]]) / tbl_raw[[#This Row],[Selling_Price]],0)</f>
        <v>9.9277291745910989E-2</v>
      </c>
      <c r="P19" s="24">
        <v>165</v>
      </c>
      <c r="Q19" s="24">
        <f>tbl_raw[[#This Row],[Gross_Profit]]-(tbl_raw[[#This Row],[Shipping_Cost]]*tbl_raw[[#This Row],[Units_Sold]])</f>
        <v>576</v>
      </c>
      <c r="R19" s="25">
        <f>IFERROR(tbl_raw[[#This Row],[Net_Profit]]/(tbl_raw[[#This Row],[Selling_Price]]*tbl_raw[[#This Row],[Units_Sold]]),0)</f>
        <v>3.6515785469760365E-2</v>
      </c>
      <c r="S19" s="23" t="s">
        <v>40</v>
      </c>
      <c r="T19" s="23" t="s">
        <v>49</v>
      </c>
      <c r="U19" s="23">
        <f>IF(tbl_raw[[#This Row],[Order_Status]]="Returned",1,0)</f>
        <v>0</v>
      </c>
      <c r="V19" s="23">
        <f>IF(tbl_raw[[#This Row],[Payment_Method]]="COD",1,0)</f>
        <v>1</v>
      </c>
      <c r="W19" s="26">
        <f>MIN(1,(tbl_raw[[#This Row],[Discount_Pct]]*1.4)+(tbl_raw[[#This Row],[COD_Flag]]*0.35))</f>
        <v>0.65799999999999992</v>
      </c>
    </row>
    <row r="20" spans="1:23" ht="22.8" x14ac:dyDescent="0.3">
      <c r="A20" s="17" t="s">
        <v>127</v>
      </c>
      <c r="B20" s="18" t="s">
        <v>128</v>
      </c>
      <c r="C20" s="18" t="s">
        <v>99</v>
      </c>
      <c r="D20" s="18" t="s">
        <v>62</v>
      </c>
      <c r="E20" s="18" t="s">
        <v>63</v>
      </c>
      <c r="F20" s="18" t="s">
        <v>129</v>
      </c>
      <c r="G20" s="18" t="s">
        <v>38</v>
      </c>
      <c r="H20" s="18" t="s">
        <v>39</v>
      </c>
      <c r="I20" s="18">
        <v>16</v>
      </c>
      <c r="J20" s="19">
        <v>1407</v>
      </c>
      <c r="K20" s="19">
        <v>1224</v>
      </c>
      <c r="L20" s="20">
        <v>0.13</v>
      </c>
      <c r="M20" s="19">
        <v>1040</v>
      </c>
      <c r="N20" s="19">
        <f>(tbl_raw[[#This Row],[Selling_Price]]-tbl_raw[[#This Row],[Cost_Price]])*tbl_raw[[#This Row],[Units_Sold]]</f>
        <v>2944</v>
      </c>
      <c r="O20" s="20">
        <f>IFERROR((tbl_raw[[#This Row],[Selling_Price]]-tbl_raw[[#This Row],[Cost_Price]]) / tbl_raw[[#This Row],[Selling_Price]],0)</f>
        <v>0.15032679738562091</v>
      </c>
      <c r="P20" s="19">
        <v>117</v>
      </c>
      <c r="Q20" s="19">
        <f>tbl_raw[[#This Row],[Gross_Profit]]-(tbl_raw[[#This Row],[Shipping_Cost]]*tbl_raw[[#This Row],[Units_Sold]])</f>
        <v>1072</v>
      </c>
      <c r="R20" s="20">
        <f>IFERROR(tbl_raw[[#This Row],[Net_Profit]]/(tbl_raw[[#This Row],[Selling_Price]]*tbl_raw[[#This Row],[Units_Sold]]),0)</f>
        <v>5.4738562091503268E-2</v>
      </c>
      <c r="S20" s="18" t="s">
        <v>65</v>
      </c>
      <c r="T20" s="18" t="s">
        <v>32</v>
      </c>
      <c r="U20" s="18">
        <f>IF(tbl_raw[[#This Row],[Order_Status]]="Returned",1,0)</f>
        <v>0</v>
      </c>
      <c r="V20" s="18">
        <f>IF(tbl_raw[[#This Row],[Payment_Method]]="COD",1,0)</f>
        <v>0</v>
      </c>
      <c r="W20" s="21">
        <f>MIN(1,(tbl_raw[[#This Row],[Discount_Pct]]*1.4)+(tbl_raw[[#This Row],[COD_Flag]]*0.35))</f>
        <v>0.182</v>
      </c>
    </row>
    <row r="21" spans="1:23" ht="22.8" x14ac:dyDescent="0.3">
      <c r="A21" s="22" t="s">
        <v>130</v>
      </c>
      <c r="B21" s="23" t="s">
        <v>131</v>
      </c>
      <c r="C21" s="23" t="s">
        <v>132</v>
      </c>
      <c r="D21" s="23" t="s">
        <v>62</v>
      </c>
      <c r="E21" s="23" t="s">
        <v>133</v>
      </c>
      <c r="F21" s="23" t="s">
        <v>134</v>
      </c>
      <c r="G21" s="23" t="s">
        <v>38</v>
      </c>
      <c r="H21" s="23" t="s">
        <v>39</v>
      </c>
      <c r="I21" s="23">
        <v>6</v>
      </c>
      <c r="J21" s="24">
        <v>644</v>
      </c>
      <c r="K21" s="24">
        <v>496</v>
      </c>
      <c r="L21" s="25">
        <v>0.23</v>
      </c>
      <c r="M21" s="24">
        <v>449</v>
      </c>
      <c r="N21" s="24">
        <f>(tbl_raw[[#This Row],[Selling_Price]]-tbl_raw[[#This Row],[Cost_Price]])*tbl_raw[[#This Row],[Units_Sold]]</f>
        <v>282</v>
      </c>
      <c r="O21" s="25">
        <f>IFERROR((tbl_raw[[#This Row],[Selling_Price]]-tbl_raw[[#This Row],[Cost_Price]]) / tbl_raw[[#This Row],[Selling_Price]],0)</f>
        <v>9.4758064516129031E-2</v>
      </c>
      <c r="P21" s="24">
        <v>40</v>
      </c>
      <c r="Q21" s="24">
        <f>tbl_raw[[#This Row],[Gross_Profit]]-(tbl_raw[[#This Row],[Shipping_Cost]]*tbl_raw[[#This Row],[Units_Sold]])</f>
        <v>42</v>
      </c>
      <c r="R21" s="25">
        <f>IFERROR(tbl_raw[[#This Row],[Net_Profit]]/(tbl_raw[[#This Row],[Selling_Price]]*tbl_raw[[#This Row],[Units_Sold]]),0)</f>
        <v>1.4112903225806451E-2</v>
      </c>
      <c r="S21" s="23" t="s">
        <v>58</v>
      </c>
      <c r="T21" s="23" t="s">
        <v>32</v>
      </c>
      <c r="U21" s="23">
        <f>IF(tbl_raw[[#This Row],[Order_Status]]="Returned",1,0)</f>
        <v>0</v>
      </c>
      <c r="V21" s="23">
        <f>IF(tbl_raw[[#This Row],[Payment_Method]]="COD",1,0)</f>
        <v>0</v>
      </c>
      <c r="W21" s="26">
        <f>MIN(1,(tbl_raw[[#This Row],[Discount_Pct]]*1.4)+(tbl_raw[[#This Row],[COD_Flag]]*0.35))</f>
        <v>0.32200000000000001</v>
      </c>
    </row>
    <row r="22" spans="1:23" ht="22.8" x14ac:dyDescent="0.3">
      <c r="A22" s="17" t="s">
        <v>135</v>
      </c>
      <c r="B22" s="18" t="s">
        <v>136</v>
      </c>
      <c r="C22" s="18" t="s">
        <v>72</v>
      </c>
      <c r="D22" s="18" t="s">
        <v>94</v>
      </c>
      <c r="E22" s="18" t="s">
        <v>137</v>
      </c>
      <c r="F22" s="18" t="s">
        <v>138</v>
      </c>
      <c r="G22" s="18" t="s">
        <v>139</v>
      </c>
      <c r="H22" s="18" t="s">
        <v>48</v>
      </c>
      <c r="I22" s="18">
        <v>20</v>
      </c>
      <c r="J22" s="19">
        <v>839</v>
      </c>
      <c r="K22" s="19">
        <v>587</v>
      </c>
      <c r="L22" s="20">
        <v>0.3</v>
      </c>
      <c r="M22" s="19">
        <v>502</v>
      </c>
      <c r="N22" s="19">
        <f>(tbl_raw[[#This Row],[Selling_Price]]-tbl_raw[[#This Row],[Cost_Price]])*tbl_raw[[#This Row],[Units_Sold]]</f>
        <v>1700</v>
      </c>
      <c r="O22" s="20">
        <f>IFERROR((tbl_raw[[#This Row],[Selling_Price]]-tbl_raw[[#This Row],[Cost_Price]]) / tbl_raw[[#This Row],[Selling_Price]],0)</f>
        <v>0.14480408858603067</v>
      </c>
      <c r="P22" s="19">
        <v>77</v>
      </c>
      <c r="Q22" s="19">
        <f>tbl_raw[[#This Row],[Gross_Profit]]-(tbl_raw[[#This Row],[Shipping_Cost]]*tbl_raw[[#This Row],[Units_Sold]])</f>
        <v>160</v>
      </c>
      <c r="R22" s="20">
        <f>IFERROR(tbl_raw[[#This Row],[Net_Profit]]/(tbl_raw[[#This Row],[Selling_Price]]*tbl_raw[[#This Row],[Units_Sold]]),0)</f>
        <v>1.3628620102214651E-2</v>
      </c>
      <c r="S22" s="18" t="s">
        <v>107</v>
      </c>
      <c r="T22" s="18" t="s">
        <v>32</v>
      </c>
      <c r="U22" s="18">
        <f>IF(tbl_raw[[#This Row],[Order_Status]]="Returned",1,0)</f>
        <v>0</v>
      </c>
      <c r="V22" s="18">
        <f>IF(tbl_raw[[#This Row],[Payment_Method]]="COD",1,0)</f>
        <v>0</v>
      </c>
      <c r="W22" s="21">
        <f>MIN(1,(tbl_raw[[#This Row],[Discount_Pct]]*1.4)+(tbl_raw[[#This Row],[COD_Flag]]*0.35))</f>
        <v>0.42</v>
      </c>
    </row>
    <row r="23" spans="1:23" ht="22.8" x14ac:dyDescent="0.3">
      <c r="A23" s="22" t="s">
        <v>140</v>
      </c>
      <c r="B23" s="23" t="s">
        <v>141</v>
      </c>
      <c r="C23" s="23" t="s">
        <v>35</v>
      </c>
      <c r="D23" s="23" t="s">
        <v>78</v>
      </c>
      <c r="E23" s="23" t="s">
        <v>118</v>
      </c>
      <c r="F23" s="23" t="s">
        <v>142</v>
      </c>
      <c r="G23" s="23" t="s">
        <v>143</v>
      </c>
      <c r="H23" s="23" t="s">
        <v>30</v>
      </c>
      <c r="I23" s="23">
        <v>15</v>
      </c>
      <c r="J23" s="24">
        <v>2666</v>
      </c>
      <c r="K23" s="24">
        <v>1760</v>
      </c>
      <c r="L23" s="25">
        <v>0.34</v>
      </c>
      <c r="M23" s="24">
        <v>1134</v>
      </c>
      <c r="N23" s="24">
        <f>(tbl_raw[[#This Row],[Selling_Price]]-tbl_raw[[#This Row],[Cost_Price]])*tbl_raw[[#This Row],[Units_Sold]]</f>
        <v>9390</v>
      </c>
      <c r="O23" s="25">
        <f>IFERROR((tbl_raw[[#This Row],[Selling_Price]]-tbl_raw[[#This Row],[Cost_Price]]) / tbl_raw[[#This Row],[Selling_Price]],0)</f>
        <v>0.35568181818181815</v>
      </c>
      <c r="P23" s="24">
        <v>99</v>
      </c>
      <c r="Q23" s="24">
        <f>tbl_raw[[#This Row],[Gross_Profit]]-(tbl_raw[[#This Row],[Shipping_Cost]]*tbl_raw[[#This Row],[Units_Sold]])</f>
        <v>7905</v>
      </c>
      <c r="R23" s="25">
        <f>IFERROR(tbl_raw[[#This Row],[Net_Profit]]/(tbl_raw[[#This Row],[Selling_Price]]*tbl_raw[[#This Row],[Units_Sold]]),0)</f>
        <v>0.29943181818181819</v>
      </c>
      <c r="S23" s="23" t="s">
        <v>65</v>
      </c>
      <c r="T23" s="23" t="s">
        <v>32</v>
      </c>
      <c r="U23" s="23">
        <f>IF(tbl_raw[[#This Row],[Order_Status]]="Returned",1,0)</f>
        <v>0</v>
      </c>
      <c r="V23" s="23">
        <f>IF(tbl_raw[[#This Row],[Payment_Method]]="COD",1,0)</f>
        <v>0</v>
      </c>
      <c r="W23" s="26">
        <f>MIN(1,(tbl_raw[[#This Row],[Discount_Pct]]*1.4)+(tbl_raw[[#This Row],[COD_Flag]]*0.35))</f>
        <v>0.47599999999999998</v>
      </c>
    </row>
    <row r="24" spans="1:23" ht="22.8" x14ac:dyDescent="0.3">
      <c r="A24" s="17" t="s">
        <v>144</v>
      </c>
      <c r="B24" s="18" t="s">
        <v>34</v>
      </c>
      <c r="C24" s="18" t="s">
        <v>35</v>
      </c>
      <c r="D24" s="18" t="s">
        <v>53</v>
      </c>
      <c r="E24" s="18" t="s">
        <v>145</v>
      </c>
      <c r="F24" s="18" t="s">
        <v>146</v>
      </c>
      <c r="G24" s="18" t="s">
        <v>120</v>
      </c>
      <c r="H24" s="18" t="s">
        <v>39</v>
      </c>
      <c r="I24" s="18">
        <v>8</v>
      </c>
      <c r="J24" s="19">
        <v>3082</v>
      </c>
      <c r="K24" s="19">
        <v>2866</v>
      </c>
      <c r="L24" s="20">
        <v>7.0000000000000007E-2</v>
      </c>
      <c r="M24" s="19">
        <v>2132</v>
      </c>
      <c r="N24" s="19">
        <f>(tbl_raw[[#This Row],[Selling_Price]]-tbl_raw[[#This Row],[Cost_Price]])*tbl_raw[[#This Row],[Units_Sold]]</f>
        <v>5872</v>
      </c>
      <c r="O24" s="20">
        <f>IFERROR((tbl_raw[[#This Row],[Selling_Price]]-tbl_raw[[#This Row],[Cost_Price]]) / tbl_raw[[#This Row],[Selling_Price]],0)</f>
        <v>0.25610607117934403</v>
      </c>
      <c r="P24" s="19">
        <v>136</v>
      </c>
      <c r="Q24" s="19">
        <f>tbl_raw[[#This Row],[Gross_Profit]]-(tbl_raw[[#This Row],[Shipping_Cost]]*tbl_raw[[#This Row],[Units_Sold]])</f>
        <v>4784</v>
      </c>
      <c r="R24" s="20">
        <f>IFERROR(tbl_raw[[#This Row],[Net_Profit]]/(tbl_raw[[#This Row],[Selling_Price]]*tbl_raw[[#This Row],[Units_Sold]]),0)</f>
        <v>0.20865317515701326</v>
      </c>
      <c r="S24" s="18" t="s">
        <v>65</v>
      </c>
      <c r="T24" s="18" t="s">
        <v>86</v>
      </c>
      <c r="U24" s="18">
        <f>IF(tbl_raw[[#This Row],[Order_Status]]="Returned",1,0)</f>
        <v>1</v>
      </c>
      <c r="V24" s="18">
        <f>IF(tbl_raw[[#This Row],[Payment_Method]]="COD",1,0)</f>
        <v>0</v>
      </c>
      <c r="W24" s="21">
        <f>MIN(1,(tbl_raw[[#This Row],[Discount_Pct]]*1.4)+(tbl_raw[[#This Row],[COD_Flag]]*0.35))</f>
        <v>9.8000000000000004E-2</v>
      </c>
    </row>
    <row r="25" spans="1:23" ht="22.8" x14ac:dyDescent="0.3">
      <c r="A25" s="22" t="s">
        <v>147</v>
      </c>
      <c r="B25" s="23" t="s">
        <v>148</v>
      </c>
      <c r="C25" s="23" t="s">
        <v>105</v>
      </c>
      <c r="D25" s="23" t="s">
        <v>53</v>
      </c>
      <c r="E25" s="23" t="s">
        <v>149</v>
      </c>
      <c r="F25" s="23" t="s">
        <v>150</v>
      </c>
      <c r="G25" s="23" t="s">
        <v>81</v>
      </c>
      <c r="H25" s="23" t="s">
        <v>30</v>
      </c>
      <c r="I25" s="23">
        <v>9</v>
      </c>
      <c r="J25" s="24">
        <v>1100</v>
      </c>
      <c r="K25" s="24">
        <v>1045</v>
      </c>
      <c r="L25" s="25">
        <v>0.05</v>
      </c>
      <c r="M25" s="24">
        <v>653</v>
      </c>
      <c r="N25" s="24">
        <f>(tbl_raw[[#This Row],[Selling_Price]]-tbl_raw[[#This Row],[Cost_Price]])*tbl_raw[[#This Row],[Units_Sold]]</f>
        <v>3528</v>
      </c>
      <c r="O25" s="25">
        <f>IFERROR((tbl_raw[[#This Row],[Selling_Price]]-tbl_raw[[#This Row],[Cost_Price]]) / tbl_raw[[#This Row],[Selling_Price]],0)</f>
        <v>0.37511961722488041</v>
      </c>
      <c r="P25" s="24">
        <v>71</v>
      </c>
      <c r="Q25" s="24">
        <f>tbl_raw[[#This Row],[Gross_Profit]]-(tbl_raw[[#This Row],[Shipping_Cost]]*tbl_raw[[#This Row],[Units_Sold]])</f>
        <v>2889</v>
      </c>
      <c r="R25" s="25">
        <f>IFERROR(tbl_raw[[#This Row],[Net_Profit]]/(tbl_raw[[#This Row],[Selling_Price]]*tbl_raw[[#This Row],[Units_Sold]]),0)</f>
        <v>0.30717703349282299</v>
      </c>
      <c r="S25" s="23" t="s">
        <v>65</v>
      </c>
      <c r="T25" s="23" t="s">
        <v>32</v>
      </c>
      <c r="U25" s="23">
        <f>IF(tbl_raw[[#This Row],[Order_Status]]="Returned",1,0)</f>
        <v>0</v>
      </c>
      <c r="V25" s="23">
        <f>IF(tbl_raw[[#This Row],[Payment_Method]]="COD",1,0)</f>
        <v>0</v>
      </c>
      <c r="W25" s="26">
        <f>MIN(1,(tbl_raw[[#This Row],[Discount_Pct]]*1.4)+(tbl_raw[[#This Row],[COD_Flag]]*0.35))</f>
        <v>6.9999999999999993E-2</v>
      </c>
    </row>
    <row r="26" spans="1:23" ht="22.8" x14ac:dyDescent="0.3">
      <c r="A26" s="17" t="s">
        <v>151</v>
      </c>
      <c r="B26" s="18" t="s">
        <v>152</v>
      </c>
      <c r="C26" s="18" t="s">
        <v>25</v>
      </c>
      <c r="D26" s="18" t="s">
        <v>53</v>
      </c>
      <c r="E26" s="18" t="s">
        <v>54</v>
      </c>
      <c r="F26" s="18" t="s">
        <v>153</v>
      </c>
      <c r="G26" s="18" t="s">
        <v>143</v>
      </c>
      <c r="H26" s="18" t="s">
        <v>30</v>
      </c>
      <c r="I26" s="18">
        <v>2</v>
      </c>
      <c r="J26" s="19">
        <v>920</v>
      </c>
      <c r="K26" s="19">
        <v>745</v>
      </c>
      <c r="L26" s="20">
        <v>0.19</v>
      </c>
      <c r="M26" s="19">
        <v>457</v>
      </c>
      <c r="N26" s="19">
        <f>(tbl_raw[[#This Row],[Selling_Price]]-tbl_raw[[#This Row],[Cost_Price]])*tbl_raw[[#This Row],[Units_Sold]]</f>
        <v>576</v>
      </c>
      <c r="O26" s="20">
        <f>IFERROR((tbl_raw[[#This Row],[Selling_Price]]-tbl_raw[[#This Row],[Cost_Price]]) / tbl_raw[[#This Row],[Selling_Price]],0)</f>
        <v>0.38657718120805368</v>
      </c>
      <c r="P26" s="19">
        <v>31</v>
      </c>
      <c r="Q26" s="19">
        <f>tbl_raw[[#This Row],[Gross_Profit]]-(tbl_raw[[#This Row],[Shipping_Cost]]*tbl_raw[[#This Row],[Units_Sold]])</f>
        <v>514</v>
      </c>
      <c r="R26" s="20">
        <f>IFERROR(tbl_raw[[#This Row],[Net_Profit]]/(tbl_raw[[#This Row],[Selling_Price]]*tbl_raw[[#This Row],[Units_Sold]]),0)</f>
        <v>0.34496644295302015</v>
      </c>
      <c r="S26" s="18" t="s">
        <v>40</v>
      </c>
      <c r="T26" s="18" t="s">
        <v>32</v>
      </c>
      <c r="U26" s="18">
        <f>IF(tbl_raw[[#This Row],[Order_Status]]="Returned",1,0)</f>
        <v>0</v>
      </c>
      <c r="V26" s="18">
        <f>IF(tbl_raw[[#This Row],[Payment_Method]]="COD",1,0)</f>
        <v>1</v>
      </c>
      <c r="W26" s="21">
        <f>MIN(1,(tbl_raw[[#This Row],[Discount_Pct]]*1.4)+(tbl_raw[[#This Row],[COD_Flag]]*0.35))</f>
        <v>0.61599999999999988</v>
      </c>
    </row>
    <row r="27" spans="1:23" ht="22.8" x14ac:dyDescent="0.3">
      <c r="A27" s="22" t="s">
        <v>154</v>
      </c>
      <c r="B27" s="23" t="s">
        <v>155</v>
      </c>
      <c r="C27" s="23" t="s">
        <v>156</v>
      </c>
      <c r="D27" s="23" t="s">
        <v>78</v>
      </c>
      <c r="E27" s="23" t="s">
        <v>84</v>
      </c>
      <c r="F27" s="23" t="s">
        <v>157</v>
      </c>
      <c r="G27" s="23" t="s">
        <v>120</v>
      </c>
      <c r="H27" s="23" t="s">
        <v>39</v>
      </c>
      <c r="I27" s="23">
        <v>3</v>
      </c>
      <c r="J27" s="24">
        <v>7571</v>
      </c>
      <c r="K27" s="24">
        <v>5224</v>
      </c>
      <c r="L27" s="25">
        <v>0.31</v>
      </c>
      <c r="M27" s="24">
        <v>3423</v>
      </c>
      <c r="N27" s="24">
        <f>(tbl_raw[[#This Row],[Selling_Price]]-tbl_raw[[#This Row],[Cost_Price]])*tbl_raw[[#This Row],[Units_Sold]]</f>
        <v>5403</v>
      </c>
      <c r="O27" s="25">
        <f>IFERROR((tbl_raw[[#This Row],[Selling_Price]]-tbl_raw[[#This Row],[Cost_Price]]) / tbl_raw[[#This Row],[Selling_Price]],0)</f>
        <v>0.34475497702909647</v>
      </c>
      <c r="P27" s="24">
        <v>35</v>
      </c>
      <c r="Q27" s="24">
        <f>tbl_raw[[#This Row],[Gross_Profit]]-(tbl_raw[[#This Row],[Shipping_Cost]]*tbl_raw[[#This Row],[Units_Sold]])</f>
        <v>5298</v>
      </c>
      <c r="R27" s="25">
        <f>IFERROR(tbl_raw[[#This Row],[Net_Profit]]/(tbl_raw[[#This Row],[Selling_Price]]*tbl_raw[[#This Row],[Units_Sold]]),0)</f>
        <v>0.33805513016845329</v>
      </c>
      <c r="S27" s="23" t="s">
        <v>107</v>
      </c>
      <c r="T27" s="23" t="s">
        <v>32</v>
      </c>
      <c r="U27" s="23">
        <f>IF(tbl_raw[[#This Row],[Order_Status]]="Returned",1,0)</f>
        <v>0</v>
      </c>
      <c r="V27" s="23">
        <f>IF(tbl_raw[[#This Row],[Payment_Method]]="COD",1,0)</f>
        <v>0</v>
      </c>
      <c r="W27" s="26">
        <f>MIN(1,(tbl_raw[[#This Row],[Discount_Pct]]*1.4)+(tbl_raw[[#This Row],[COD_Flag]]*0.35))</f>
        <v>0.434</v>
      </c>
    </row>
    <row r="28" spans="1:23" ht="22.8" x14ac:dyDescent="0.3">
      <c r="A28" s="17" t="s">
        <v>158</v>
      </c>
      <c r="B28" s="18" t="s">
        <v>159</v>
      </c>
      <c r="C28" s="18" t="s">
        <v>43</v>
      </c>
      <c r="D28" s="18" t="s">
        <v>53</v>
      </c>
      <c r="E28" s="18" t="s">
        <v>160</v>
      </c>
      <c r="F28" s="18" t="s">
        <v>161</v>
      </c>
      <c r="G28" s="18" t="s">
        <v>139</v>
      </c>
      <c r="H28" s="18" t="s">
        <v>48</v>
      </c>
      <c r="I28" s="18">
        <v>12</v>
      </c>
      <c r="J28" s="19">
        <v>1839</v>
      </c>
      <c r="K28" s="19">
        <v>1637</v>
      </c>
      <c r="L28" s="20">
        <v>0.11</v>
      </c>
      <c r="M28" s="19">
        <v>802</v>
      </c>
      <c r="N28" s="19">
        <f>(tbl_raw[[#This Row],[Selling_Price]]-tbl_raw[[#This Row],[Cost_Price]])*tbl_raw[[#This Row],[Units_Sold]]</f>
        <v>10020</v>
      </c>
      <c r="O28" s="20">
        <f>IFERROR((tbl_raw[[#This Row],[Selling_Price]]-tbl_raw[[#This Row],[Cost_Price]]) / tbl_raw[[#This Row],[Selling_Price]],0)</f>
        <v>0.51007941356139275</v>
      </c>
      <c r="P28" s="19">
        <v>147</v>
      </c>
      <c r="Q28" s="19">
        <f>tbl_raw[[#This Row],[Gross_Profit]]-(tbl_raw[[#This Row],[Shipping_Cost]]*tbl_raw[[#This Row],[Units_Sold]])</f>
        <v>8256</v>
      </c>
      <c r="R28" s="20">
        <f>IFERROR(tbl_raw[[#This Row],[Net_Profit]]/(tbl_raw[[#This Row],[Selling_Price]]*tbl_raw[[#This Row],[Units_Sold]]),0)</f>
        <v>0.42028100183262063</v>
      </c>
      <c r="S28" s="18" t="s">
        <v>31</v>
      </c>
      <c r="T28" s="18" t="s">
        <v>32</v>
      </c>
      <c r="U28" s="18">
        <f>IF(tbl_raw[[#This Row],[Order_Status]]="Returned",1,0)</f>
        <v>0</v>
      </c>
      <c r="V28" s="18">
        <f>IF(tbl_raw[[#This Row],[Payment_Method]]="COD",1,0)</f>
        <v>0</v>
      </c>
      <c r="W28" s="21">
        <f>MIN(1,(tbl_raw[[#This Row],[Discount_Pct]]*1.4)+(tbl_raw[[#This Row],[COD_Flag]]*0.35))</f>
        <v>0.154</v>
      </c>
    </row>
    <row r="29" spans="1:23" ht="22.8" x14ac:dyDescent="0.3">
      <c r="A29" s="22" t="s">
        <v>162</v>
      </c>
      <c r="B29" s="23" t="s">
        <v>163</v>
      </c>
      <c r="C29" s="23" t="s">
        <v>35</v>
      </c>
      <c r="D29" s="23" t="s">
        <v>164</v>
      </c>
      <c r="E29" s="23" t="s">
        <v>165</v>
      </c>
      <c r="F29" s="23" t="s">
        <v>166</v>
      </c>
      <c r="G29" s="23" t="s">
        <v>139</v>
      </c>
      <c r="H29" s="23" t="s">
        <v>48</v>
      </c>
      <c r="I29" s="23">
        <v>6</v>
      </c>
      <c r="J29" s="24">
        <v>5945</v>
      </c>
      <c r="K29" s="24">
        <v>5053</v>
      </c>
      <c r="L29" s="25">
        <v>0.15</v>
      </c>
      <c r="M29" s="24">
        <v>4315</v>
      </c>
      <c r="N29" s="24">
        <f>(tbl_raw[[#This Row],[Selling_Price]]-tbl_raw[[#This Row],[Cost_Price]])*tbl_raw[[#This Row],[Units_Sold]]</f>
        <v>4428</v>
      </c>
      <c r="O29" s="25">
        <f>IFERROR((tbl_raw[[#This Row],[Selling_Price]]-tbl_raw[[#This Row],[Cost_Price]]) / tbl_raw[[#This Row],[Selling_Price]],0)</f>
        <v>0.14605185038590937</v>
      </c>
      <c r="P29" s="24">
        <v>150</v>
      </c>
      <c r="Q29" s="24">
        <f>tbl_raw[[#This Row],[Gross_Profit]]-(tbl_raw[[#This Row],[Shipping_Cost]]*tbl_raw[[#This Row],[Units_Sold]])</f>
        <v>3528</v>
      </c>
      <c r="R29" s="25">
        <f>IFERROR(tbl_raw[[#This Row],[Net_Profit]]/(tbl_raw[[#This Row],[Selling_Price]]*tbl_raw[[#This Row],[Units_Sold]]),0)</f>
        <v>0.11636651494161884</v>
      </c>
      <c r="S29" s="23" t="s">
        <v>40</v>
      </c>
      <c r="T29" s="23" t="s">
        <v>59</v>
      </c>
      <c r="U29" s="23">
        <f>IF(tbl_raw[[#This Row],[Order_Status]]="Returned",1,0)</f>
        <v>0</v>
      </c>
      <c r="V29" s="23">
        <f>IF(tbl_raw[[#This Row],[Payment_Method]]="COD",1,0)</f>
        <v>1</v>
      </c>
      <c r="W29" s="26">
        <f>MIN(1,(tbl_raw[[#This Row],[Discount_Pct]]*1.4)+(tbl_raw[[#This Row],[COD_Flag]]*0.35))</f>
        <v>0.55999999999999994</v>
      </c>
    </row>
    <row r="30" spans="1:23" ht="22.8" x14ac:dyDescent="0.3">
      <c r="A30" s="17" t="s">
        <v>167</v>
      </c>
      <c r="B30" s="18" t="s">
        <v>83</v>
      </c>
      <c r="C30" s="18" t="s">
        <v>72</v>
      </c>
      <c r="D30" s="18" t="s">
        <v>26</v>
      </c>
      <c r="E30" s="18" t="s">
        <v>168</v>
      </c>
      <c r="F30" s="18" t="s">
        <v>169</v>
      </c>
      <c r="G30" s="18" t="s">
        <v>29</v>
      </c>
      <c r="H30" s="18" t="s">
        <v>30</v>
      </c>
      <c r="I30" s="18">
        <v>15</v>
      </c>
      <c r="J30" s="19">
        <v>2927</v>
      </c>
      <c r="K30" s="19">
        <v>1844</v>
      </c>
      <c r="L30" s="20">
        <v>0.37</v>
      </c>
      <c r="M30" s="19">
        <v>2063</v>
      </c>
      <c r="N30" s="19">
        <f>(tbl_raw[[#This Row],[Selling_Price]]-tbl_raw[[#This Row],[Cost_Price]])*tbl_raw[[#This Row],[Units_Sold]]</f>
        <v>-3285</v>
      </c>
      <c r="O30" s="20">
        <f>IFERROR((tbl_raw[[#This Row],[Selling_Price]]-tbl_raw[[#This Row],[Cost_Price]]) / tbl_raw[[#This Row],[Selling_Price]],0)</f>
        <v>-0.11876355748373102</v>
      </c>
      <c r="P30" s="19">
        <v>63</v>
      </c>
      <c r="Q30" s="19">
        <f>tbl_raw[[#This Row],[Gross_Profit]]-(tbl_raw[[#This Row],[Shipping_Cost]]*tbl_raw[[#This Row],[Units_Sold]])</f>
        <v>-4230</v>
      </c>
      <c r="R30" s="20">
        <f>IFERROR(tbl_raw[[#This Row],[Net_Profit]]/(tbl_raw[[#This Row],[Selling_Price]]*tbl_raw[[#This Row],[Units_Sold]]),0)</f>
        <v>-0.15292841648590022</v>
      </c>
      <c r="S30" s="18" t="s">
        <v>40</v>
      </c>
      <c r="T30" s="18" t="s">
        <v>32</v>
      </c>
      <c r="U30" s="18">
        <f>IF(tbl_raw[[#This Row],[Order_Status]]="Returned",1,0)</f>
        <v>0</v>
      </c>
      <c r="V30" s="18">
        <f>IF(tbl_raw[[#This Row],[Payment_Method]]="COD",1,0)</f>
        <v>1</v>
      </c>
      <c r="W30" s="21">
        <f>MIN(1,(tbl_raw[[#This Row],[Discount_Pct]]*1.4)+(tbl_raw[[#This Row],[COD_Flag]]*0.35))</f>
        <v>0.86799999999999999</v>
      </c>
    </row>
    <row r="31" spans="1:23" ht="22.8" x14ac:dyDescent="0.3">
      <c r="A31" s="22" t="s">
        <v>170</v>
      </c>
      <c r="B31" s="23" t="s">
        <v>171</v>
      </c>
      <c r="C31" s="23" t="s">
        <v>72</v>
      </c>
      <c r="D31" s="23" t="s">
        <v>53</v>
      </c>
      <c r="E31" s="23" t="s">
        <v>160</v>
      </c>
      <c r="F31" s="23" t="s">
        <v>172</v>
      </c>
      <c r="G31" s="23" t="s">
        <v>38</v>
      </c>
      <c r="H31" s="23" t="s">
        <v>39</v>
      </c>
      <c r="I31" s="23">
        <v>13</v>
      </c>
      <c r="J31" s="24">
        <v>5500</v>
      </c>
      <c r="K31" s="24">
        <v>3410</v>
      </c>
      <c r="L31" s="25">
        <v>0.38</v>
      </c>
      <c r="M31" s="24">
        <v>2837</v>
      </c>
      <c r="N31" s="24">
        <f>(tbl_raw[[#This Row],[Selling_Price]]-tbl_raw[[#This Row],[Cost_Price]])*tbl_raw[[#This Row],[Units_Sold]]</f>
        <v>7449</v>
      </c>
      <c r="O31" s="25">
        <f>IFERROR((tbl_raw[[#This Row],[Selling_Price]]-tbl_raw[[#This Row],[Cost_Price]]) / tbl_raw[[#This Row],[Selling_Price]],0)</f>
        <v>0.16803519061583577</v>
      </c>
      <c r="P31" s="24">
        <v>34</v>
      </c>
      <c r="Q31" s="24">
        <f>tbl_raw[[#This Row],[Gross_Profit]]-(tbl_raw[[#This Row],[Shipping_Cost]]*tbl_raw[[#This Row],[Units_Sold]])</f>
        <v>7007</v>
      </c>
      <c r="R31" s="25">
        <f>IFERROR(tbl_raw[[#This Row],[Net_Profit]]/(tbl_raw[[#This Row],[Selling_Price]]*tbl_raw[[#This Row],[Units_Sold]]),0)</f>
        <v>0.15806451612903225</v>
      </c>
      <c r="S31" s="23" t="s">
        <v>107</v>
      </c>
      <c r="T31" s="23" t="s">
        <v>49</v>
      </c>
      <c r="U31" s="23">
        <f>IF(tbl_raw[[#This Row],[Order_Status]]="Returned",1,0)</f>
        <v>0</v>
      </c>
      <c r="V31" s="23">
        <f>IF(tbl_raw[[#This Row],[Payment_Method]]="COD",1,0)</f>
        <v>0</v>
      </c>
      <c r="W31" s="26">
        <f>MIN(1,(tbl_raw[[#This Row],[Discount_Pct]]*1.4)+(tbl_raw[[#This Row],[COD_Flag]]*0.35))</f>
        <v>0.53199999999999992</v>
      </c>
    </row>
    <row r="32" spans="1:23" ht="22.8" x14ac:dyDescent="0.3">
      <c r="A32" s="17" t="s">
        <v>173</v>
      </c>
      <c r="B32" s="18" t="s">
        <v>174</v>
      </c>
      <c r="C32" s="18" t="s">
        <v>99</v>
      </c>
      <c r="D32" s="18" t="s">
        <v>175</v>
      </c>
      <c r="E32" s="18" t="s">
        <v>176</v>
      </c>
      <c r="F32" s="18" t="s">
        <v>177</v>
      </c>
      <c r="G32" s="18" t="s">
        <v>56</v>
      </c>
      <c r="H32" s="18" t="s">
        <v>57</v>
      </c>
      <c r="I32" s="18">
        <v>11</v>
      </c>
      <c r="J32" s="19">
        <v>3604</v>
      </c>
      <c r="K32" s="19">
        <v>2018</v>
      </c>
      <c r="L32" s="20">
        <v>0.44</v>
      </c>
      <c r="M32" s="19">
        <v>1587</v>
      </c>
      <c r="N32" s="19">
        <f>(tbl_raw[[#This Row],[Selling_Price]]-tbl_raw[[#This Row],[Cost_Price]])*tbl_raw[[#This Row],[Units_Sold]]</f>
        <v>4741</v>
      </c>
      <c r="O32" s="20">
        <f>IFERROR((tbl_raw[[#This Row],[Selling_Price]]-tbl_raw[[#This Row],[Cost_Price]]) / tbl_raw[[#This Row],[Selling_Price]],0)</f>
        <v>0.21357779980178396</v>
      </c>
      <c r="P32" s="19">
        <v>165</v>
      </c>
      <c r="Q32" s="19">
        <f>tbl_raw[[#This Row],[Gross_Profit]]-(tbl_raw[[#This Row],[Shipping_Cost]]*tbl_raw[[#This Row],[Units_Sold]])</f>
        <v>2926</v>
      </c>
      <c r="R32" s="20">
        <f>IFERROR(tbl_raw[[#This Row],[Net_Profit]]/(tbl_raw[[#This Row],[Selling_Price]]*tbl_raw[[#This Row],[Units_Sold]]),0)</f>
        <v>0.13181367690782952</v>
      </c>
      <c r="S32" s="18" t="s">
        <v>40</v>
      </c>
      <c r="T32" s="18" t="s">
        <v>86</v>
      </c>
      <c r="U32" s="18">
        <f>IF(tbl_raw[[#This Row],[Order_Status]]="Returned",1,0)</f>
        <v>1</v>
      </c>
      <c r="V32" s="18">
        <f>IF(tbl_raw[[#This Row],[Payment_Method]]="COD",1,0)</f>
        <v>1</v>
      </c>
      <c r="W32" s="21">
        <f>MIN(1,(tbl_raw[[#This Row],[Discount_Pct]]*1.4)+(tbl_raw[[#This Row],[COD_Flag]]*0.35))</f>
        <v>0.96599999999999997</v>
      </c>
    </row>
    <row r="33" spans="1:23" ht="22.8" x14ac:dyDescent="0.3">
      <c r="A33" s="22" t="s">
        <v>178</v>
      </c>
      <c r="B33" s="23" t="s">
        <v>179</v>
      </c>
      <c r="C33" s="23" t="s">
        <v>132</v>
      </c>
      <c r="D33" s="23" t="s">
        <v>94</v>
      </c>
      <c r="E33" s="23" t="s">
        <v>180</v>
      </c>
      <c r="F33" s="23" t="s">
        <v>181</v>
      </c>
      <c r="G33" s="23" t="s">
        <v>120</v>
      </c>
      <c r="H33" s="23" t="s">
        <v>39</v>
      </c>
      <c r="I33" s="23">
        <v>11</v>
      </c>
      <c r="J33" s="24">
        <v>5061</v>
      </c>
      <c r="K33" s="24">
        <v>3543</v>
      </c>
      <c r="L33" s="25">
        <v>0.3</v>
      </c>
      <c r="M33" s="24">
        <v>2245</v>
      </c>
      <c r="N33" s="24">
        <f>(tbl_raw[[#This Row],[Selling_Price]]-tbl_raw[[#This Row],[Cost_Price]])*tbl_raw[[#This Row],[Units_Sold]]</f>
        <v>14278</v>
      </c>
      <c r="O33" s="25">
        <f>IFERROR((tbl_raw[[#This Row],[Selling_Price]]-tbl_raw[[#This Row],[Cost_Price]]) / tbl_raw[[#This Row],[Selling_Price]],0)</f>
        <v>0.36635619531470504</v>
      </c>
      <c r="P33" s="24">
        <v>165</v>
      </c>
      <c r="Q33" s="24">
        <f>tbl_raw[[#This Row],[Gross_Profit]]-(tbl_raw[[#This Row],[Shipping_Cost]]*tbl_raw[[#This Row],[Units_Sold]])</f>
        <v>12463</v>
      </c>
      <c r="R33" s="25">
        <f>IFERROR(tbl_raw[[#This Row],[Net_Profit]]/(tbl_raw[[#This Row],[Selling_Price]]*tbl_raw[[#This Row],[Units_Sold]]),0)</f>
        <v>0.3197854925204629</v>
      </c>
      <c r="S33" s="23" t="s">
        <v>65</v>
      </c>
      <c r="T33" s="23" t="s">
        <v>32</v>
      </c>
      <c r="U33" s="23">
        <f>IF(tbl_raw[[#This Row],[Order_Status]]="Returned",1,0)</f>
        <v>0</v>
      </c>
      <c r="V33" s="23">
        <f>IF(tbl_raw[[#This Row],[Payment_Method]]="COD",1,0)</f>
        <v>0</v>
      </c>
      <c r="W33" s="26">
        <f>MIN(1,(tbl_raw[[#This Row],[Discount_Pct]]*1.4)+(tbl_raw[[#This Row],[COD_Flag]]*0.35))</f>
        <v>0.42</v>
      </c>
    </row>
    <row r="34" spans="1:23" ht="22.8" x14ac:dyDescent="0.3">
      <c r="A34" s="17" t="s">
        <v>182</v>
      </c>
      <c r="B34" s="18" t="s">
        <v>183</v>
      </c>
      <c r="C34" s="18" t="s">
        <v>52</v>
      </c>
      <c r="D34" s="18" t="s">
        <v>53</v>
      </c>
      <c r="E34" s="18" t="s">
        <v>54</v>
      </c>
      <c r="F34" s="18" t="s">
        <v>184</v>
      </c>
      <c r="G34" s="18" t="s">
        <v>29</v>
      </c>
      <c r="H34" s="18" t="s">
        <v>30</v>
      </c>
      <c r="I34" s="18">
        <v>14</v>
      </c>
      <c r="J34" s="19">
        <v>5386</v>
      </c>
      <c r="K34" s="19">
        <v>4470</v>
      </c>
      <c r="L34" s="20">
        <v>0.17</v>
      </c>
      <c r="M34" s="19">
        <v>3565</v>
      </c>
      <c r="N34" s="19">
        <f>(tbl_raw[[#This Row],[Selling_Price]]-tbl_raw[[#This Row],[Cost_Price]])*tbl_raw[[#This Row],[Units_Sold]]</f>
        <v>12670</v>
      </c>
      <c r="O34" s="20">
        <f>IFERROR((tbl_raw[[#This Row],[Selling_Price]]-tbl_raw[[#This Row],[Cost_Price]]) / tbl_raw[[#This Row],[Selling_Price]],0)</f>
        <v>0.20246085011185683</v>
      </c>
      <c r="P34" s="19">
        <v>56</v>
      </c>
      <c r="Q34" s="19">
        <f>tbl_raw[[#This Row],[Gross_Profit]]-(tbl_raw[[#This Row],[Shipping_Cost]]*tbl_raw[[#This Row],[Units_Sold]])</f>
        <v>11886</v>
      </c>
      <c r="R34" s="20">
        <f>IFERROR(tbl_raw[[#This Row],[Net_Profit]]/(tbl_raw[[#This Row],[Selling_Price]]*tbl_raw[[#This Row],[Units_Sold]]),0)</f>
        <v>0.18993288590604027</v>
      </c>
      <c r="S34" s="18" t="s">
        <v>65</v>
      </c>
      <c r="T34" s="18" t="s">
        <v>32</v>
      </c>
      <c r="U34" s="18">
        <f>IF(tbl_raw[[#This Row],[Order_Status]]="Returned",1,0)</f>
        <v>0</v>
      </c>
      <c r="V34" s="18">
        <f>IF(tbl_raw[[#This Row],[Payment_Method]]="COD",1,0)</f>
        <v>0</v>
      </c>
      <c r="W34" s="21">
        <f>MIN(1,(tbl_raw[[#This Row],[Discount_Pct]]*1.4)+(tbl_raw[[#This Row],[COD_Flag]]*0.35))</f>
        <v>0.23799999999999999</v>
      </c>
    </row>
    <row r="35" spans="1:23" ht="22.8" x14ac:dyDescent="0.3">
      <c r="A35" s="22" t="s">
        <v>185</v>
      </c>
      <c r="B35" s="23" t="s">
        <v>186</v>
      </c>
      <c r="C35" s="23" t="s">
        <v>132</v>
      </c>
      <c r="D35" s="23" t="s">
        <v>53</v>
      </c>
      <c r="E35" s="23" t="s">
        <v>145</v>
      </c>
      <c r="F35" s="23" t="s">
        <v>187</v>
      </c>
      <c r="G35" s="23" t="s">
        <v>102</v>
      </c>
      <c r="H35" s="23" t="s">
        <v>39</v>
      </c>
      <c r="I35" s="23">
        <v>20</v>
      </c>
      <c r="J35" s="24">
        <v>5307</v>
      </c>
      <c r="K35" s="24">
        <v>4193</v>
      </c>
      <c r="L35" s="25">
        <v>0.21</v>
      </c>
      <c r="M35" s="24">
        <v>2944</v>
      </c>
      <c r="N35" s="24">
        <f>(tbl_raw[[#This Row],[Selling_Price]]-tbl_raw[[#This Row],[Cost_Price]])*tbl_raw[[#This Row],[Units_Sold]]</f>
        <v>24980</v>
      </c>
      <c r="O35" s="25">
        <f>IFERROR((tbl_raw[[#This Row],[Selling_Price]]-tbl_raw[[#This Row],[Cost_Price]]) / tbl_raw[[#This Row],[Selling_Price]],0)</f>
        <v>0.29787741473885049</v>
      </c>
      <c r="P35" s="24">
        <v>62</v>
      </c>
      <c r="Q35" s="24">
        <f>tbl_raw[[#This Row],[Gross_Profit]]-(tbl_raw[[#This Row],[Shipping_Cost]]*tbl_raw[[#This Row],[Units_Sold]])</f>
        <v>23740</v>
      </c>
      <c r="R35" s="25">
        <f>IFERROR(tbl_raw[[#This Row],[Net_Profit]]/(tbl_raw[[#This Row],[Selling_Price]]*tbl_raw[[#This Row],[Units_Sold]]),0)</f>
        <v>0.28309086572859526</v>
      </c>
      <c r="S35" s="23" t="s">
        <v>31</v>
      </c>
      <c r="T35" s="23" t="s">
        <v>49</v>
      </c>
      <c r="U35" s="23">
        <f>IF(tbl_raw[[#This Row],[Order_Status]]="Returned",1,0)</f>
        <v>0</v>
      </c>
      <c r="V35" s="23">
        <f>IF(tbl_raw[[#This Row],[Payment_Method]]="COD",1,0)</f>
        <v>0</v>
      </c>
      <c r="W35" s="26">
        <f>MIN(1,(tbl_raw[[#This Row],[Discount_Pct]]*1.4)+(tbl_raw[[#This Row],[COD_Flag]]*0.35))</f>
        <v>0.29399999999999998</v>
      </c>
    </row>
    <row r="36" spans="1:23" ht="22.8" x14ac:dyDescent="0.3">
      <c r="A36" s="17" t="s">
        <v>188</v>
      </c>
      <c r="B36" s="18" t="s">
        <v>189</v>
      </c>
      <c r="C36" s="18" t="s">
        <v>156</v>
      </c>
      <c r="D36" s="18" t="s">
        <v>175</v>
      </c>
      <c r="E36" s="18" t="s">
        <v>190</v>
      </c>
      <c r="F36" s="18" t="s">
        <v>191</v>
      </c>
      <c r="G36" s="18" t="s">
        <v>102</v>
      </c>
      <c r="H36" s="18" t="s">
        <v>39</v>
      </c>
      <c r="I36" s="18">
        <v>11</v>
      </c>
      <c r="J36" s="19">
        <v>928</v>
      </c>
      <c r="K36" s="19">
        <v>529</v>
      </c>
      <c r="L36" s="20">
        <v>0.43</v>
      </c>
      <c r="M36" s="19">
        <v>447</v>
      </c>
      <c r="N36" s="19">
        <f>(tbl_raw[[#This Row],[Selling_Price]]-tbl_raw[[#This Row],[Cost_Price]])*tbl_raw[[#This Row],[Units_Sold]]</f>
        <v>902</v>
      </c>
      <c r="O36" s="20">
        <f>IFERROR((tbl_raw[[#This Row],[Selling_Price]]-tbl_raw[[#This Row],[Cost_Price]]) / tbl_raw[[#This Row],[Selling_Price]],0)</f>
        <v>0.15500945179584122</v>
      </c>
      <c r="P36" s="19">
        <v>77</v>
      </c>
      <c r="Q36" s="19">
        <f>tbl_raw[[#This Row],[Gross_Profit]]-(tbl_raw[[#This Row],[Shipping_Cost]]*tbl_raw[[#This Row],[Units_Sold]])</f>
        <v>55</v>
      </c>
      <c r="R36" s="20">
        <f>IFERROR(tbl_raw[[#This Row],[Net_Profit]]/(tbl_raw[[#This Row],[Selling_Price]]*tbl_raw[[#This Row],[Units_Sold]]),0)</f>
        <v>9.4517958412098299E-3</v>
      </c>
      <c r="S36" s="18" t="s">
        <v>40</v>
      </c>
      <c r="T36" s="18" t="s">
        <v>32</v>
      </c>
      <c r="U36" s="18">
        <f>IF(tbl_raw[[#This Row],[Order_Status]]="Returned",1,0)</f>
        <v>0</v>
      </c>
      <c r="V36" s="18">
        <f>IF(tbl_raw[[#This Row],[Payment_Method]]="COD",1,0)</f>
        <v>1</v>
      </c>
      <c r="W36" s="21">
        <f>MIN(1,(tbl_raw[[#This Row],[Discount_Pct]]*1.4)+(tbl_raw[[#This Row],[COD_Flag]]*0.35))</f>
        <v>0.95199999999999996</v>
      </c>
    </row>
    <row r="37" spans="1:23" ht="22.8" x14ac:dyDescent="0.3">
      <c r="A37" s="22" t="s">
        <v>192</v>
      </c>
      <c r="B37" s="23" t="s">
        <v>193</v>
      </c>
      <c r="C37" s="23" t="s">
        <v>117</v>
      </c>
      <c r="D37" s="23" t="s">
        <v>175</v>
      </c>
      <c r="E37" s="23" t="s">
        <v>149</v>
      </c>
      <c r="F37" s="23" t="s">
        <v>194</v>
      </c>
      <c r="G37" s="23" t="s">
        <v>102</v>
      </c>
      <c r="H37" s="23" t="s">
        <v>39</v>
      </c>
      <c r="I37" s="23">
        <v>7</v>
      </c>
      <c r="J37" s="24">
        <v>5803</v>
      </c>
      <c r="K37" s="24">
        <v>4816</v>
      </c>
      <c r="L37" s="25">
        <v>0.17</v>
      </c>
      <c r="M37" s="24">
        <v>3133</v>
      </c>
      <c r="N37" s="24">
        <f>(tbl_raw[[#This Row],[Selling_Price]]-tbl_raw[[#This Row],[Cost_Price]])*tbl_raw[[#This Row],[Units_Sold]]</f>
        <v>11781</v>
      </c>
      <c r="O37" s="25">
        <f>IFERROR((tbl_raw[[#This Row],[Selling_Price]]-tbl_raw[[#This Row],[Cost_Price]]) / tbl_raw[[#This Row],[Selling_Price]],0)</f>
        <v>0.34946013289036543</v>
      </c>
      <c r="P37" s="24">
        <v>52</v>
      </c>
      <c r="Q37" s="24">
        <f>tbl_raw[[#This Row],[Gross_Profit]]-(tbl_raw[[#This Row],[Shipping_Cost]]*tbl_raw[[#This Row],[Units_Sold]])</f>
        <v>11417</v>
      </c>
      <c r="R37" s="25">
        <f>IFERROR(tbl_raw[[#This Row],[Net_Profit]]/(tbl_raw[[#This Row],[Selling_Price]]*tbl_raw[[#This Row],[Units_Sold]]),0)</f>
        <v>0.33866279069767441</v>
      </c>
      <c r="S37" s="23" t="s">
        <v>58</v>
      </c>
      <c r="T37" s="23" t="s">
        <v>59</v>
      </c>
      <c r="U37" s="23">
        <f>IF(tbl_raw[[#This Row],[Order_Status]]="Returned",1,0)</f>
        <v>0</v>
      </c>
      <c r="V37" s="23">
        <f>IF(tbl_raw[[#This Row],[Payment_Method]]="COD",1,0)</f>
        <v>0</v>
      </c>
      <c r="W37" s="26">
        <f>MIN(1,(tbl_raw[[#This Row],[Discount_Pct]]*1.4)+(tbl_raw[[#This Row],[COD_Flag]]*0.35))</f>
        <v>0.23799999999999999</v>
      </c>
    </row>
    <row r="38" spans="1:23" ht="22.8" x14ac:dyDescent="0.3">
      <c r="A38" s="17" t="s">
        <v>195</v>
      </c>
      <c r="B38" s="18" t="s">
        <v>171</v>
      </c>
      <c r="C38" s="18" t="s">
        <v>72</v>
      </c>
      <c r="D38" s="18" t="s">
        <v>78</v>
      </c>
      <c r="E38" s="18" t="s">
        <v>118</v>
      </c>
      <c r="F38" s="18" t="s">
        <v>196</v>
      </c>
      <c r="G38" s="18" t="s">
        <v>38</v>
      </c>
      <c r="H38" s="18" t="s">
        <v>39</v>
      </c>
      <c r="I38" s="18">
        <v>15</v>
      </c>
      <c r="J38" s="19">
        <v>592</v>
      </c>
      <c r="K38" s="19">
        <v>527</v>
      </c>
      <c r="L38" s="20">
        <v>0.11</v>
      </c>
      <c r="M38" s="19">
        <v>413</v>
      </c>
      <c r="N38" s="19">
        <f>(tbl_raw[[#This Row],[Selling_Price]]-tbl_raw[[#This Row],[Cost_Price]])*tbl_raw[[#This Row],[Units_Sold]]</f>
        <v>1710</v>
      </c>
      <c r="O38" s="20">
        <f>IFERROR((tbl_raw[[#This Row],[Selling_Price]]-tbl_raw[[#This Row],[Cost_Price]]) / tbl_raw[[#This Row],[Selling_Price]],0)</f>
        <v>0.21631878557874762</v>
      </c>
      <c r="P38" s="19">
        <v>98</v>
      </c>
      <c r="Q38" s="19">
        <f>tbl_raw[[#This Row],[Gross_Profit]]-(tbl_raw[[#This Row],[Shipping_Cost]]*tbl_raw[[#This Row],[Units_Sold]])</f>
        <v>240</v>
      </c>
      <c r="R38" s="20">
        <f>IFERROR(tbl_raw[[#This Row],[Net_Profit]]/(tbl_raw[[#This Row],[Selling_Price]]*tbl_raw[[#This Row],[Units_Sold]]),0)</f>
        <v>3.0360531309297913E-2</v>
      </c>
      <c r="S38" s="18" t="s">
        <v>31</v>
      </c>
      <c r="T38" s="18" t="s">
        <v>49</v>
      </c>
      <c r="U38" s="18">
        <f>IF(tbl_raw[[#This Row],[Order_Status]]="Returned",1,0)</f>
        <v>0</v>
      </c>
      <c r="V38" s="18">
        <f>IF(tbl_raw[[#This Row],[Payment_Method]]="COD",1,0)</f>
        <v>0</v>
      </c>
      <c r="W38" s="21">
        <f>MIN(1,(tbl_raw[[#This Row],[Discount_Pct]]*1.4)+(tbl_raw[[#This Row],[COD_Flag]]*0.35))</f>
        <v>0.154</v>
      </c>
    </row>
    <row r="39" spans="1:23" ht="22.8" x14ac:dyDescent="0.3">
      <c r="A39" s="22" t="s">
        <v>197</v>
      </c>
      <c r="B39" s="23" t="s">
        <v>198</v>
      </c>
      <c r="C39" s="23" t="s">
        <v>199</v>
      </c>
      <c r="D39" s="23" t="s">
        <v>62</v>
      </c>
      <c r="E39" s="23" t="s">
        <v>133</v>
      </c>
      <c r="F39" s="23" t="s">
        <v>200</v>
      </c>
      <c r="G39" s="23" t="s">
        <v>38</v>
      </c>
      <c r="H39" s="23" t="s">
        <v>39</v>
      </c>
      <c r="I39" s="23">
        <v>14</v>
      </c>
      <c r="J39" s="24">
        <v>6678</v>
      </c>
      <c r="K39" s="24">
        <v>5008</v>
      </c>
      <c r="L39" s="25">
        <v>0.25</v>
      </c>
      <c r="M39" s="24">
        <v>4768</v>
      </c>
      <c r="N39" s="24">
        <f>(tbl_raw[[#This Row],[Selling_Price]]-tbl_raw[[#This Row],[Cost_Price]])*tbl_raw[[#This Row],[Units_Sold]]</f>
        <v>3360</v>
      </c>
      <c r="O39" s="25">
        <f>IFERROR((tbl_raw[[#This Row],[Selling_Price]]-tbl_raw[[#This Row],[Cost_Price]]) / tbl_raw[[#This Row],[Selling_Price]],0)</f>
        <v>4.7923322683706068E-2</v>
      </c>
      <c r="P39" s="24">
        <v>142</v>
      </c>
      <c r="Q39" s="24">
        <f>tbl_raw[[#This Row],[Gross_Profit]]-(tbl_raw[[#This Row],[Shipping_Cost]]*tbl_raw[[#This Row],[Units_Sold]])</f>
        <v>1372</v>
      </c>
      <c r="R39" s="25">
        <f>IFERROR(tbl_raw[[#This Row],[Net_Profit]]/(tbl_raw[[#This Row],[Selling_Price]]*tbl_raw[[#This Row],[Units_Sold]]),0)</f>
        <v>1.9568690095846646E-2</v>
      </c>
      <c r="S39" s="23" t="s">
        <v>31</v>
      </c>
      <c r="T39" s="23" t="s">
        <v>86</v>
      </c>
      <c r="U39" s="23">
        <f>IF(tbl_raw[[#This Row],[Order_Status]]="Returned",1,0)</f>
        <v>1</v>
      </c>
      <c r="V39" s="23">
        <f>IF(tbl_raw[[#This Row],[Payment_Method]]="COD",1,0)</f>
        <v>0</v>
      </c>
      <c r="W39" s="26">
        <f>MIN(1,(tbl_raw[[#This Row],[Discount_Pct]]*1.4)+(tbl_raw[[#This Row],[COD_Flag]]*0.35))</f>
        <v>0.35</v>
      </c>
    </row>
    <row r="40" spans="1:23" ht="22.8" x14ac:dyDescent="0.3">
      <c r="A40" s="17" t="s">
        <v>201</v>
      </c>
      <c r="B40" s="18" t="s">
        <v>202</v>
      </c>
      <c r="C40" s="18" t="s">
        <v>25</v>
      </c>
      <c r="D40" s="18" t="s">
        <v>62</v>
      </c>
      <c r="E40" s="18" t="s">
        <v>203</v>
      </c>
      <c r="F40" s="18" t="s">
        <v>204</v>
      </c>
      <c r="G40" s="18" t="s">
        <v>75</v>
      </c>
      <c r="H40" s="18" t="s">
        <v>48</v>
      </c>
      <c r="I40" s="18">
        <v>3</v>
      </c>
      <c r="J40" s="19">
        <v>5766</v>
      </c>
      <c r="K40" s="19">
        <v>5132</v>
      </c>
      <c r="L40" s="20">
        <v>0.11</v>
      </c>
      <c r="M40" s="19">
        <v>2984</v>
      </c>
      <c r="N40" s="19">
        <f>(tbl_raw[[#This Row],[Selling_Price]]-tbl_raw[[#This Row],[Cost_Price]])*tbl_raw[[#This Row],[Units_Sold]]</f>
        <v>6444</v>
      </c>
      <c r="O40" s="20">
        <f>IFERROR((tbl_raw[[#This Row],[Selling_Price]]-tbl_raw[[#This Row],[Cost_Price]]) / tbl_raw[[#This Row],[Selling_Price]],0)</f>
        <v>0.4185502727981294</v>
      </c>
      <c r="P40" s="19">
        <v>164</v>
      </c>
      <c r="Q40" s="19">
        <f>tbl_raw[[#This Row],[Gross_Profit]]-(tbl_raw[[#This Row],[Shipping_Cost]]*tbl_raw[[#This Row],[Units_Sold]])</f>
        <v>5952</v>
      </c>
      <c r="R40" s="20">
        <f>IFERROR(tbl_raw[[#This Row],[Net_Profit]]/(tbl_raw[[#This Row],[Selling_Price]]*tbl_raw[[#This Row],[Units_Sold]]),0)</f>
        <v>0.38659392049883085</v>
      </c>
      <c r="S40" s="18" t="s">
        <v>58</v>
      </c>
      <c r="T40" s="18" t="s">
        <v>32</v>
      </c>
      <c r="U40" s="18">
        <f>IF(tbl_raw[[#This Row],[Order_Status]]="Returned",1,0)</f>
        <v>0</v>
      </c>
      <c r="V40" s="18">
        <f>IF(tbl_raw[[#This Row],[Payment_Method]]="COD",1,0)</f>
        <v>0</v>
      </c>
      <c r="W40" s="21">
        <f>MIN(1,(tbl_raw[[#This Row],[Discount_Pct]]*1.4)+(tbl_raw[[#This Row],[COD_Flag]]*0.35))</f>
        <v>0.154</v>
      </c>
    </row>
    <row r="41" spans="1:23" ht="22.8" x14ac:dyDescent="0.3">
      <c r="A41" s="22" t="s">
        <v>205</v>
      </c>
      <c r="B41" s="23" t="s">
        <v>206</v>
      </c>
      <c r="C41" s="23" t="s">
        <v>156</v>
      </c>
      <c r="D41" s="23" t="s">
        <v>94</v>
      </c>
      <c r="E41" s="23" t="s">
        <v>207</v>
      </c>
      <c r="F41" s="23" t="s">
        <v>208</v>
      </c>
      <c r="G41" s="23" t="s">
        <v>47</v>
      </c>
      <c r="H41" s="23" t="s">
        <v>48</v>
      </c>
      <c r="I41" s="23">
        <v>11</v>
      </c>
      <c r="J41" s="24">
        <v>4432</v>
      </c>
      <c r="K41" s="24">
        <v>3590</v>
      </c>
      <c r="L41" s="25">
        <v>0.19</v>
      </c>
      <c r="M41" s="24">
        <v>2094</v>
      </c>
      <c r="N41" s="24">
        <f>(tbl_raw[[#This Row],[Selling_Price]]-tbl_raw[[#This Row],[Cost_Price]])*tbl_raw[[#This Row],[Units_Sold]]</f>
        <v>16456</v>
      </c>
      <c r="O41" s="25">
        <f>IFERROR((tbl_raw[[#This Row],[Selling_Price]]-tbl_raw[[#This Row],[Cost_Price]]) / tbl_raw[[#This Row],[Selling_Price]],0)</f>
        <v>0.41671309192200556</v>
      </c>
      <c r="P41" s="24">
        <v>93</v>
      </c>
      <c r="Q41" s="24">
        <f>tbl_raw[[#This Row],[Gross_Profit]]-(tbl_raw[[#This Row],[Shipping_Cost]]*tbl_raw[[#This Row],[Units_Sold]])</f>
        <v>15433</v>
      </c>
      <c r="R41" s="25">
        <f>IFERROR(tbl_raw[[#This Row],[Net_Profit]]/(tbl_raw[[#This Row],[Selling_Price]]*tbl_raw[[#This Row],[Units_Sold]]),0)</f>
        <v>0.39080779944289695</v>
      </c>
      <c r="S41" s="23" t="s">
        <v>65</v>
      </c>
      <c r="T41" s="23" t="s">
        <v>32</v>
      </c>
      <c r="U41" s="23">
        <f>IF(tbl_raw[[#This Row],[Order_Status]]="Returned",1,0)</f>
        <v>0</v>
      </c>
      <c r="V41" s="23">
        <f>IF(tbl_raw[[#This Row],[Payment_Method]]="COD",1,0)</f>
        <v>0</v>
      </c>
      <c r="W41" s="26">
        <f>MIN(1,(tbl_raw[[#This Row],[Discount_Pct]]*1.4)+(tbl_raw[[#This Row],[COD_Flag]]*0.35))</f>
        <v>0.26599999999999996</v>
      </c>
    </row>
    <row r="42" spans="1:23" ht="22.8" x14ac:dyDescent="0.3">
      <c r="A42" s="17" t="s">
        <v>209</v>
      </c>
      <c r="B42" s="18" t="s">
        <v>210</v>
      </c>
      <c r="C42" s="18" t="s">
        <v>199</v>
      </c>
      <c r="D42" s="18" t="s">
        <v>62</v>
      </c>
      <c r="E42" s="18" t="s">
        <v>110</v>
      </c>
      <c r="F42" s="18" t="s">
        <v>211</v>
      </c>
      <c r="G42" s="18" t="s">
        <v>143</v>
      </c>
      <c r="H42" s="18" t="s">
        <v>30</v>
      </c>
      <c r="I42" s="18">
        <v>13</v>
      </c>
      <c r="J42" s="19">
        <v>6857</v>
      </c>
      <c r="K42" s="19">
        <v>3908</v>
      </c>
      <c r="L42" s="20">
        <v>0.43</v>
      </c>
      <c r="M42" s="19">
        <v>3748</v>
      </c>
      <c r="N42" s="19">
        <f>(tbl_raw[[#This Row],[Selling_Price]]-tbl_raw[[#This Row],[Cost_Price]])*tbl_raw[[#This Row],[Units_Sold]]</f>
        <v>2080</v>
      </c>
      <c r="O42" s="20">
        <f>IFERROR((tbl_raw[[#This Row],[Selling_Price]]-tbl_raw[[#This Row],[Cost_Price]]) / tbl_raw[[#This Row],[Selling_Price]],0)</f>
        <v>4.0941658137154557E-2</v>
      </c>
      <c r="P42" s="19">
        <v>142</v>
      </c>
      <c r="Q42" s="19">
        <f>tbl_raw[[#This Row],[Gross_Profit]]-(tbl_raw[[#This Row],[Shipping_Cost]]*tbl_raw[[#This Row],[Units_Sold]])</f>
        <v>234</v>
      </c>
      <c r="R42" s="20">
        <f>IFERROR(tbl_raw[[#This Row],[Net_Profit]]/(tbl_raw[[#This Row],[Selling_Price]]*tbl_raw[[#This Row],[Units_Sold]]),0)</f>
        <v>4.6059365404298872E-3</v>
      </c>
      <c r="S42" s="18" t="s">
        <v>65</v>
      </c>
      <c r="T42" s="18" t="s">
        <v>49</v>
      </c>
      <c r="U42" s="18">
        <f>IF(tbl_raw[[#This Row],[Order_Status]]="Returned",1,0)</f>
        <v>0</v>
      </c>
      <c r="V42" s="18">
        <f>IF(tbl_raw[[#This Row],[Payment_Method]]="COD",1,0)</f>
        <v>0</v>
      </c>
      <c r="W42" s="21">
        <f>MIN(1,(tbl_raw[[#This Row],[Discount_Pct]]*1.4)+(tbl_raw[[#This Row],[COD_Flag]]*0.35))</f>
        <v>0.60199999999999998</v>
      </c>
    </row>
    <row r="43" spans="1:23" ht="22.8" x14ac:dyDescent="0.3">
      <c r="A43" s="22" t="s">
        <v>212</v>
      </c>
      <c r="B43" s="23" t="s">
        <v>213</v>
      </c>
      <c r="C43" s="23" t="s">
        <v>117</v>
      </c>
      <c r="D43" s="23" t="s">
        <v>53</v>
      </c>
      <c r="E43" s="23" t="s">
        <v>90</v>
      </c>
      <c r="F43" s="23" t="s">
        <v>214</v>
      </c>
      <c r="G43" s="23" t="s">
        <v>139</v>
      </c>
      <c r="H43" s="23" t="s">
        <v>48</v>
      </c>
      <c r="I43" s="23">
        <v>13</v>
      </c>
      <c r="J43" s="24">
        <v>2822</v>
      </c>
      <c r="K43" s="24">
        <v>1947</v>
      </c>
      <c r="L43" s="25">
        <v>0.31</v>
      </c>
      <c r="M43" s="24">
        <v>1528</v>
      </c>
      <c r="N43" s="24">
        <f>(tbl_raw[[#This Row],[Selling_Price]]-tbl_raw[[#This Row],[Cost_Price]])*tbl_raw[[#This Row],[Units_Sold]]</f>
        <v>5447</v>
      </c>
      <c r="O43" s="25">
        <f>IFERROR((tbl_raw[[#This Row],[Selling_Price]]-tbl_raw[[#This Row],[Cost_Price]]) / tbl_raw[[#This Row],[Selling_Price]],0)</f>
        <v>0.21520287621982537</v>
      </c>
      <c r="P43" s="24">
        <v>55</v>
      </c>
      <c r="Q43" s="24">
        <f>tbl_raw[[#This Row],[Gross_Profit]]-(tbl_raw[[#This Row],[Shipping_Cost]]*tbl_raw[[#This Row],[Units_Sold]])</f>
        <v>4732</v>
      </c>
      <c r="R43" s="25">
        <f>IFERROR(tbl_raw[[#This Row],[Net_Profit]]/(tbl_raw[[#This Row],[Selling_Price]]*tbl_raw[[#This Row],[Units_Sold]]),0)</f>
        <v>0.18695428864920391</v>
      </c>
      <c r="S43" s="23" t="s">
        <v>31</v>
      </c>
      <c r="T43" s="23" t="s">
        <v>49</v>
      </c>
      <c r="U43" s="23">
        <f>IF(tbl_raw[[#This Row],[Order_Status]]="Returned",1,0)</f>
        <v>0</v>
      </c>
      <c r="V43" s="23">
        <f>IF(tbl_raw[[#This Row],[Payment_Method]]="COD",1,0)</f>
        <v>0</v>
      </c>
      <c r="W43" s="26">
        <f>MIN(1,(tbl_raw[[#This Row],[Discount_Pct]]*1.4)+(tbl_raw[[#This Row],[COD_Flag]]*0.35))</f>
        <v>0.434</v>
      </c>
    </row>
    <row r="44" spans="1:23" ht="22.8" x14ac:dyDescent="0.3">
      <c r="A44" s="17" t="s">
        <v>215</v>
      </c>
      <c r="B44" s="18" t="s">
        <v>148</v>
      </c>
      <c r="C44" s="18" t="s">
        <v>105</v>
      </c>
      <c r="D44" s="18" t="s">
        <v>78</v>
      </c>
      <c r="E44" s="18" t="s">
        <v>84</v>
      </c>
      <c r="F44" s="18" t="s">
        <v>216</v>
      </c>
      <c r="G44" s="18" t="s">
        <v>139</v>
      </c>
      <c r="H44" s="18" t="s">
        <v>48</v>
      </c>
      <c r="I44" s="18">
        <v>3</v>
      </c>
      <c r="J44" s="19">
        <v>5213</v>
      </c>
      <c r="K44" s="19">
        <v>4900</v>
      </c>
      <c r="L44" s="20">
        <v>0.06</v>
      </c>
      <c r="M44" s="19">
        <v>2928</v>
      </c>
      <c r="N44" s="19">
        <f>(tbl_raw[[#This Row],[Selling_Price]]-tbl_raw[[#This Row],[Cost_Price]])*tbl_raw[[#This Row],[Units_Sold]]</f>
        <v>5916</v>
      </c>
      <c r="O44" s="20">
        <f>IFERROR((tbl_raw[[#This Row],[Selling_Price]]-tbl_raw[[#This Row],[Cost_Price]]) / tbl_raw[[#This Row],[Selling_Price]],0)</f>
        <v>0.40244897959183673</v>
      </c>
      <c r="P44" s="19">
        <v>38</v>
      </c>
      <c r="Q44" s="19">
        <f>tbl_raw[[#This Row],[Gross_Profit]]-(tbl_raw[[#This Row],[Shipping_Cost]]*tbl_raw[[#This Row],[Units_Sold]])</f>
        <v>5802</v>
      </c>
      <c r="R44" s="20">
        <f>IFERROR(tbl_raw[[#This Row],[Net_Profit]]/(tbl_raw[[#This Row],[Selling_Price]]*tbl_raw[[#This Row],[Units_Sold]]),0)</f>
        <v>0.39469387755102042</v>
      </c>
      <c r="S44" s="18" t="s">
        <v>31</v>
      </c>
      <c r="T44" s="18" t="s">
        <v>32</v>
      </c>
      <c r="U44" s="18">
        <f>IF(tbl_raw[[#This Row],[Order_Status]]="Returned",1,0)</f>
        <v>0</v>
      </c>
      <c r="V44" s="18">
        <f>IF(tbl_raw[[#This Row],[Payment_Method]]="COD",1,0)</f>
        <v>0</v>
      </c>
      <c r="W44" s="21">
        <f>MIN(1,(tbl_raw[[#This Row],[Discount_Pct]]*1.4)+(tbl_raw[[#This Row],[COD_Flag]]*0.35))</f>
        <v>8.3999999999999991E-2</v>
      </c>
    </row>
    <row r="45" spans="1:23" ht="22.8" x14ac:dyDescent="0.3">
      <c r="A45" s="22" t="s">
        <v>217</v>
      </c>
      <c r="B45" s="23" t="s">
        <v>218</v>
      </c>
      <c r="C45" s="23" t="s">
        <v>89</v>
      </c>
      <c r="D45" s="23" t="s">
        <v>78</v>
      </c>
      <c r="E45" s="23" t="s">
        <v>79</v>
      </c>
      <c r="F45" s="23" t="s">
        <v>219</v>
      </c>
      <c r="G45" s="23" t="s">
        <v>47</v>
      </c>
      <c r="H45" s="23" t="s">
        <v>48</v>
      </c>
      <c r="I45" s="23">
        <v>9</v>
      </c>
      <c r="J45" s="24">
        <v>6712</v>
      </c>
      <c r="K45" s="24">
        <v>5302</v>
      </c>
      <c r="L45" s="25">
        <v>0.21</v>
      </c>
      <c r="M45" s="24">
        <v>4444</v>
      </c>
      <c r="N45" s="24">
        <f>(tbl_raw[[#This Row],[Selling_Price]]-tbl_raw[[#This Row],[Cost_Price]])*tbl_raw[[#This Row],[Units_Sold]]</f>
        <v>7722</v>
      </c>
      <c r="O45" s="25">
        <f>IFERROR((tbl_raw[[#This Row],[Selling_Price]]-tbl_raw[[#This Row],[Cost_Price]]) / tbl_raw[[#This Row],[Selling_Price]],0)</f>
        <v>0.16182572614107885</v>
      </c>
      <c r="P45" s="24">
        <v>38</v>
      </c>
      <c r="Q45" s="24">
        <f>tbl_raw[[#This Row],[Gross_Profit]]-(tbl_raw[[#This Row],[Shipping_Cost]]*tbl_raw[[#This Row],[Units_Sold]])</f>
        <v>7380</v>
      </c>
      <c r="R45" s="25">
        <f>IFERROR(tbl_raw[[#This Row],[Net_Profit]]/(tbl_raw[[#This Row],[Selling_Price]]*tbl_raw[[#This Row],[Units_Sold]]),0)</f>
        <v>0.15465861938890985</v>
      </c>
      <c r="S45" s="23" t="s">
        <v>107</v>
      </c>
      <c r="T45" s="23" t="s">
        <v>32</v>
      </c>
      <c r="U45" s="23">
        <f>IF(tbl_raw[[#This Row],[Order_Status]]="Returned",1,0)</f>
        <v>0</v>
      </c>
      <c r="V45" s="23">
        <f>IF(tbl_raw[[#This Row],[Payment_Method]]="COD",1,0)</f>
        <v>0</v>
      </c>
      <c r="W45" s="26">
        <f>MIN(1,(tbl_raw[[#This Row],[Discount_Pct]]*1.4)+(tbl_raw[[#This Row],[COD_Flag]]*0.35))</f>
        <v>0.29399999999999998</v>
      </c>
    </row>
    <row r="46" spans="1:23" ht="22.8" x14ac:dyDescent="0.3">
      <c r="A46" s="17" t="s">
        <v>220</v>
      </c>
      <c r="B46" s="18" t="s">
        <v>221</v>
      </c>
      <c r="C46" s="18" t="s">
        <v>25</v>
      </c>
      <c r="D46" s="18" t="s">
        <v>26</v>
      </c>
      <c r="E46" s="18" t="s">
        <v>100</v>
      </c>
      <c r="F46" s="18" t="s">
        <v>222</v>
      </c>
      <c r="G46" s="18" t="s">
        <v>139</v>
      </c>
      <c r="H46" s="18" t="s">
        <v>48</v>
      </c>
      <c r="I46" s="18">
        <v>20</v>
      </c>
      <c r="J46" s="19">
        <v>1389</v>
      </c>
      <c r="K46" s="19">
        <v>1306</v>
      </c>
      <c r="L46" s="20">
        <v>0.06</v>
      </c>
      <c r="M46" s="19">
        <v>881</v>
      </c>
      <c r="N46" s="19">
        <f>(tbl_raw[[#This Row],[Selling_Price]]-tbl_raw[[#This Row],[Cost_Price]])*tbl_raw[[#This Row],[Units_Sold]]</f>
        <v>8500</v>
      </c>
      <c r="O46" s="20">
        <f>IFERROR((tbl_raw[[#This Row],[Selling_Price]]-tbl_raw[[#This Row],[Cost_Price]]) / tbl_raw[[#This Row],[Selling_Price]],0)</f>
        <v>0.32542113323124044</v>
      </c>
      <c r="P46" s="19">
        <v>115</v>
      </c>
      <c r="Q46" s="19">
        <f>tbl_raw[[#This Row],[Gross_Profit]]-(tbl_raw[[#This Row],[Shipping_Cost]]*tbl_raw[[#This Row],[Units_Sold]])</f>
        <v>6200</v>
      </c>
      <c r="R46" s="20">
        <f>IFERROR(tbl_raw[[#This Row],[Net_Profit]]/(tbl_raw[[#This Row],[Selling_Price]]*tbl_raw[[#This Row],[Units_Sold]]),0)</f>
        <v>0.23736600306278713</v>
      </c>
      <c r="S46" s="18" t="s">
        <v>40</v>
      </c>
      <c r="T46" s="18" t="s">
        <v>32</v>
      </c>
      <c r="U46" s="18">
        <f>IF(tbl_raw[[#This Row],[Order_Status]]="Returned",1,0)</f>
        <v>0</v>
      </c>
      <c r="V46" s="18">
        <f>IF(tbl_raw[[#This Row],[Payment_Method]]="COD",1,0)</f>
        <v>1</v>
      </c>
      <c r="W46" s="21">
        <f>MIN(1,(tbl_raw[[#This Row],[Discount_Pct]]*1.4)+(tbl_raw[[#This Row],[COD_Flag]]*0.35))</f>
        <v>0.43399999999999994</v>
      </c>
    </row>
    <row r="47" spans="1:23" ht="22.8" x14ac:dyDescent="0.3">
      <c r="A47" s="22" t="s">
        <v>223</v>
      </c>
      <c r="B47" s="23" t="s">
        <v>224</v>
      </c>
      <c r="C47" s="23" t="s">
        <v>89</v>
      </c>
      <c r="D47" s="23" t="s">
        <v>175</v>
      </c>
      <c r="E47" s="23" t="s">
        <v>225</v>
      </c>
      <c r="F47" s="23" t="s">
        <v>226</v>
      </c>
      <c r="G47" s="23" t="s">
        <v>120</v>
      </c>
      <c r="H47" s="23" t="s">
        <v>39</v>
      </c>
      <c r="I47" s="23">
        <v>19</v>
      </c>
      <c r="J47" s="24">
        <v>400</v>
      </c>
      <c r="K47" s="24">
        <v>344</v>
      </c>
      <c r="L47" s="25">
        <v>0.14000000000000001</v>
      </c>
      <c r="M47" s="24">
        <v>255</v>
      </c>
      <c r="N47" s="24">
        <f>(tbl_raw[[#This Row],[Selling_Price]]-tbl_raw[[#This Row],[Cost_Price]])*tbl_raw[[#This Row],[Units_Sold]]</f>
        <v>1691</v>
      </c>
      <c r="O47" s="25">
        <f>IFERROR((tbl_raw[[#This Row],[Selling_Price]]-tbl_raw[[#This Row],[Cost_Price]]) / tbl_raw[[#This Row],[Selling_Price]],0)</f>
        <v>0.25872093023255816</v>
      </c>
      <c r="P47" s="24">
        <v>174</v>
      </c>
      <c r="Q47" s="24">
        <f>tbl_raw[[#This Row],[Gross_Profit]]-(tbl_raw[[#This Row],[Shipping_Cost]]*tbl_raw[[#This Row],[Units_Sold]])</f>
        <v>-1615</v>
      </c>
      <c r="R47" s="25">
        <f>IFERROR(tbl_raw[[#This Row],[Net_Profit]]/(tbl_raw[[#This Row],[Selling_Price]]*tbl_raw[[#This Row],[Units_Sold]]),0)</f>
        <v>-0.24709302325581395</v>
      </c>
      <c r="S47" s="23" t="s">
        <v>31</v>
      </c>
      <c r="T47" s="23" t="s">
        <v>32</v>
      </c>
      <c r="U47" s="23">
        <f>IF(tbl_raw[[#This Row],[Order_Status]]="Returned",1,0)</f>
        <v>0</v>
      </c>
      <c r="V47" s="23">
        <f>IF(tbl_raw[[#This Row],[Payment_Method]]="COD",1,0)</f>
        <v>0</v>
      </c>
      <c r="W47" s="26">
        <f>MIN(1,(tbl_raw[[#This Row],[Discount_Pct]]*1.4)+(tbl_raw[[#This Row],[COD_Flag]]*0.35))</f>
        <v>0.19600000000000001</v>
      </c>
    </row>
    <row r="48" spans="1:23" ht="22.8" x14ac:dyDescent="0.3">
      <c r="A48" s="17" t="s">
        <v>227</v>
      </c>
      <c r="B48" s="18" t="s">
        <v>228</v>
      </c>
      <c r="C48" s="18" t="s">
        <v>199</v>
      </c>
      <c r="D48" s="18" t="s">
        <v>94</v>
      </c>
      <c r="E48" s="18" t="s">
        <v>207</v>
      </c>
      <c r="F48" s="18" t="s">
        <v>229</v>
      </c>
      <c r="G48" s="18" t="s">
        <v>143</v>
      </c>
      <c r="H48" s="18" t="s">
        <v>30</v>
      </c>
      <c r="I48" s="18">
        <v>20</v>
      </c>
      <c r="J48" s="19">
        <v>6483</v>
      </c>
      <c r="K48" s="19">
        <v>4149</v>
      </c>
      <c r="L48" s="20">
        <v>0.36</v>
      </c>
      <c r="M48" s="19">
        <v>3877</v>
      </c>
      <c r="N48" s="19">
        <f>(tbl_raw[[#This Row],[Selling_Price]]-tbl_raw[[#This Row],[Cost_Price]])*tbl_raw[[#This Row],[Units_Sold]]</f>
        <v>5440</v>
      </c>
      <c r="O48" s="20">
        <f>IFERROR((tbl_raw[[#This Row],[Selling_Price]]-tbl_raw[[#This Row],[Cost_Price]]) / tbl_raw[[#This Row],[Selling_Price]],0)</f>
        <v>6.5557965774885513E-2</v>
      </c>
      <c r="P48" s="19">
        <v>36</v>
      </c>
      <c r="Q48" s="19">
        <f>tbl_raw[[#This Row],[Gross_Profit]]-(tbl_raw[[#This Row],[Shipping_Cost]]*tbl_raw[[#This Row],[Units_Sold]])</f>
        <v>4720</v>
      </c>
      <c r="R48" s="20">
        <f>IFERROR(tbl_raw[[#This Row],[Net_Profit]]/(tbl_raw[[#This Row],[Selling_Price]]*tbl_raw[[#This Row],[Units_Sold]]),0)</f>
        <v>5.688117618703302E-2</v>
      </c>
      <c r="S48" s="18" t="s">
        <v>65</v>
      </c>
      <c r="T48" s="18" t="s">
        <v>32</v>
      </c>
      <c r="U48" s="18">
        <f>IF(tbl_raw[[#This Row],[Order_Status]]="Returned",1,0)</f>
        <v>0</v>
      </c>
      <c r="V48" s="18">
        <f>IF(tbl_raw[[#This Row],[Payment_Method]]="COD",1,0)</f>
        <v>0</v>
      </c>
      <c r="W48" s="21">
        <f>MIN(1,(tbl_raw[[#This Row],[Discount_Pct]]*1.4)+(tbl_raw[[#This Row],[COD_Flag]]*0.35))</f>
        <v>0.504</v>
      </c>
    </row>
    <row r="49" spans="1:23" ht="22.8" x14ac:dyDescent="0.3">
      <c r="A49" s="22" t="s">
        <v>230</v>
      </c>
      <c r="B49" s="23" t="s">
        <v>231</v>
      </c>
      <c r="C49" s="23" t="s">
        <v>105</v>
      </c>
      <c r="D49" s="23" t="s">
        <v>44</v>
      </c>
      <c r="E49" s="23" t="s">
        <v>45</v>
      </c>
      <c r="F49" s="23" t="s">
        <v>232</v>
      </c>
      <c r="G49" s="23" t="s">
        <v>47</v>
      </c>
      <c r="H49" s="23" t="s">
        <v>48</v>
      </c>
      <c r="I49" s="23">
        <v>16</v>
      </c>
      <c r="J49" s="24">
        <v>1023</v>
      </c>
      <c r="K49" s="24">
        <v>583</v>
      </c>
      <c r="L49" s="25">
        <v>0.43</v>
      </c>
      <c r="M49" s="24">
        <v>637</v>
      </c>
      <c r="N49" s="24">
        <f>(tbl_raw[[#This Row],[Selling_Price]]-tbl_raw[[#This Row],[Cost_Price]])*tbl_raw[[#This Row],[Units_Sold]]</f>
        <v>-864</v>
      </c>
      <c r="O49" s="25">
        <f>IFERROR((tbl_raw[[#This Row],[Selling_Price]]-tbl_raw[[#This Row],[Cost_Price]]) / tbl_raw[[#This Row],[Selling_Price]],0)</f>
        <v>-9.2624356775300176E-2</v>
      </c>
      <c r="P49" s="24">
        <v>154</v>
      </c>
      <c r="Q49" s="24">
        <f>tbl_raw[[#This Row],[Gross_Profit]]-(tbl_raw[[#This Row],[Shipping_Cost]]*tbl_raw[[#This Row],[Units_Sold]])</f>
        <v>-3328</v>
      </c>
      <c r="R49" s="25">
        <f>IFERROR(tbl_raw[[#This Row],[Net_Profit]]/(tbl_raw[[#This Row],[Selling_Price]]*tbl_raw[[#This Row],[Units_Sold]]),0)</f>
        <v>-0.35677530017152659</v>
      </c>
      <c r="S49" s="23" t="s">
        <v>40</v>
      </c>
      <c r="T49" s="23" t="s">
        <v>86</v>
      </c>
      <c r="U49" s="23">
        <f>IF(tbl_raw[[#This Row],[Order_Status]]="Returned",1,0)</f>
        <v>1</v>
      </c>
      <c r="V49" s="23">
        <f>IF(tbl_raw[[#This Row],[Payment_Method]]="COD",1,0)</f>
        <v>1</v>
      </c>
      <c r="W49" s="26">
        <f>MIN(1,(tbl_raw[[#This Row],[Discount_Pct]]*1.4)+(tbl_raw[[#This Row],[COD_Flag]]*0.35))</f>
        <v>0.95199999999999996</v>
      </c>
    </row>
    <row r="50" spans="1:23" ht="22.8" x14ac:dyDescent="0.3">
      <c r="A50" s="17" t="s">
        <v>233</v>
      </c>
      <c r="B50" s="18" t="s">
        <v>202</v>
      </c>
      <c r="C50" s="18" t="s">
        <v>25</v>
      </c>
      <c r="D50" s="18" t="s">
        <v>62</v>
      </c>
      <c r="E50" s="18" t="s">
        <v>68</v>
      </c>
      <c r="F50" s="18" t="s">
        <v>234</v>
      </c>
      <c r="G50" s="18" t="s">
        <v>102</v>
      </c>
      <c r="H50" s="18" t="s">
        <v>39</v>
      </c>
      <c r="I50" s="18">
        <v>9</v>
      </c>
      <c r="J50" s="19">
        <v>2714</v>
      </c>
      <c r="K50" s="19">
        <v>2415</v>
      </c>
      <c r="L50" s="20">
        <v>0.11</v>
      </c>
      <c r="M50" s="19">
        <v>1973</v>
      </c>
      <c r="N50" s="19">
        <f>(tbl_raw[[#This Row],[Selling_Price]]-tbl_raw[[#This Row],[Cost_Price]])*tbl_raw[[#This Row],[Units_Sold]]</f>
        <v>3978</v>
      </c>
      <c r="O50" s="20">
        <f>IFERROR((tbl_raw[[#This Row],[Selling_Price]]-tbl_raw[[#This Row],[Cost_Price]]) / tbl_raw[[#This Row],[Selling_Price]],0)</f>
        <v>0.18302277432712216</v>
      </c>
      <c r="P50" s="19">
        <v>72</v>
      </c>
      <c r="Q50" s="19">
        <f>tbl_raw[[#This Row],[Gross_Profit]]-(tbl_raw[[#This Row],[Shipping_Cost]]*tbl_raw[[#This Row],[Units_Sold]])</f>
        <v>3330</v>
      </c>
      <c r="R50" s="20">
        <f>IFERROR(tbl_raw[[#This Row],[Net_Profit]]/(tbl_raw[[#This Row],[Selling_Price]]*tbl_raw[[#This Row],[Units_Sold]]),0)</f>
        <v>0.15320910973084886</v>
      </c>
      <c r="S50" s="18" t="s">
        <v>31</v>
      </c>
      <c r="T50" s="18" t="s">
        <v>32</v>
      </c>
      <c r="U50" s="18">
        <f>IF(tbl_raw[[#This Row],[Order_Status]]="Returned",1,0)</f>
        <v>0</v>
      </c>
      <c r="V50" s="18">
        <f>IF(tbl_raw[[#This Row],[Payment_Method]]="COD",1,0)</f>
        <v>0</v>
      </c>
      <c r="W50" s="21">
        <f>MIN(1,(tbl_raw[[#This Row],[Discount_Pct]]*1.4)+(tbl_raw[[#This Row],[COD_Flag]]*0.35))</f>
        <v>0.154</v>
      </c>
    </row>
    <row r="51" spans="1:23" ht="22.8" x14ac:dyDescent="0.3">
      <c r="A51" s="22" t="s">
        <v>235</v>
      </c>
      <c r="B51" s="23" t="s">
        <v>236</v>
      </c>
      <c r="C51" s="23" t="s">
        <v>199</v>
      </c>
      <c r="D51" s="23" t="s">
        <v>78</v>
      </c>
      <c r="E51" s="23" t="s">
        <v>79</v>
      </c>
      <c r="F51" s="23" t="s">
        <v>237</v>
      </c>
      <c r="G51" s="23" t="s">
        <v>75</v>
      </c>
      <c r="H51" s="23" t="s">
        <v>48</v>
      </c>
      <c r="I51" s="23">
        <v>11</v>
      </c>
      <c r="J51" s="24">
        <v>1618</v>
      </c>
      <c r="K51" s="24">
        <v>1456</v>
      </c>
      <c r="L51" s="25">
        <v>0.1</v>
      </c>
      <c r="M51" s="24">
        <v>1099</v>
      </c>
      <c r="N51" s="24">
        <f>(tbl_raw[[#This Row],[Selling_Price]]-tbl_raw[[#This Row],[Cost_Price]])*tbl_raw[[#This Row],[Units_Sold]]</f>
        <v>3927</v>
      </c>
      <c r="O51" s="25">
        <f>IFERROR((tbl_raw[[#This Row],[Selling_Price]]-tbl_raw[[#This Row],[Cost_Price]]) / tbl_raw[[#This Row],[Selling_Price]],0)</f>
        <v>0.24519230769230768</v>
      </c>
      <c r="P51" s="24">
        <v>81</v>
      </c>
      <c r="Q51" s="24">
        <f>tbl_raw[[#This Row],[Gross_Profit]]-(tbl_raw[[#This Row],[Shipping_Cost]]*tbl_raw[[#This Row],[Units_Sold]])</f>
        <v>3036</v>
      </c>
      <c r="R51" s="25">
        <f>IFERROR(tbl_raw[[#This Row],[Net_Profit]]/(tbl_raw[[#This Row],[Selling_Price]]*tbl_raw[[#This Row],[Units_Sold]]),0)</f>
        <v>0.18956043956043955</v>
      </c>
      <c r="S51" s="23" t="s">
        <v>65</v>
      </c>
      <c r="T51" s="23" t="s">
        <v>32</v>
      </c>
      <c r="U51" s="23">
        <f>IF(tbl_raw[[#This Row],[Order_Status]]="Returned",1,0)</f>
        <v>0</v>
      </c>
      <c r="V51" s="23">
        <f>IF(tbl_raw[[#This Row],[Payment_Method]]="COD",1,0)</f>
        <v>0</v>
      </c>
      <c r="W51" s="26">
        <f>MIN(1,(tbl_raw[[#This Row],[Discount_Pct]]*1.4)+(tbl_raw[[#This Row],[COD_Flag]]*0.35))</f>
        <v>0.13999999999999999</v>
      </c>
    </row>
    <row r="52" spans="1:23" ht="22.8" x14ac:dyDescent="0.3">
      <c r="A52" s="17" t="s">
        <v>238</v>
      </c>
      <c r="B52" s="18" t="s">
        <v>179</v>
      </c>
      <c r="C52" s="18" t="s">
        <v>132</v>
      </c>
      <c r="D52" s="18" t="s">
        <v>94</v>
      </c>
      <c r="E52" s="18" t="s">
        <v>207</v>
      </c>
      <c r="F52" s="18" t="s">
        <v>239</v>
      </c>
      <c r="G52" s="18" t="s">
        <v>47</v>
      </c>
      <c r="H52" s="18" t="s">
        <v>48</v>
      </c>
      <c r="I52" s="18">
        <v>16</v>
      </c>
      <c r="J52" s="19">
        <v>4530</v>
      </c>
      <c r="K52" s="19">
        <v>4032</v>
      </c>
      <c r="L52" s="20">
        <v>0.11</v>
      </c>
      <c r="M52" s="19">
        <v>2567</v>
      </c>
      <c r="N52" s="19">
        <f>(tbl_raw[[#This Row],[Selling_Price]]-tbl_raw[[#This Row],[Cost_Price]])*tbl_raw[[#This Row],[Units_Sold]]</f>
        <v>23440</v>
      </c>
      <c r="O52" s="20">
        <f>IFERROR((tbl_raw[[#This Row],[Selling_Price]]-tbl_raw[[#This Row],[Cost_Price]]) / tbl_raw[[#This Row],[Selling_Price]],0)</f>
        <v>0.36334325396825395</v>
      </c>
      <c r="P52" s="19">
        <v>137</v>
      </c>
      <c r="Q52" s="19">
        <f>tbl_raw[[#This Row],[Gross_Profit]]-(tbl_raw[[#This Row],[Shipping_Cost]]*tbl_raw[[#This Row],[Units_Sold]])</f>
        <v>21248</v>
      </c>
      <c r="R52" s="20">
        <f>IFERROR(tbl_raw[[#This Row],[Net_Profit]]/(tbl_raw[[#This Row],[Selling_Price]]*tbl_raw[[#This Row],[Units_Sold]]),0)</f>
        <v>0.32936507936507936</v>
      </c>
      <c r="S52" s="18" t="s">
        <v>31</v>
      </c>
      <c r="T52" s="18" t="s">
        <v>32</v>
      </c>
      <c r="U52" s="18">
        <f>IF(tbl_raw[[#This Row],[Order_Status]]="Returned",1,0)</f>
        <v>0</v>
      </c>
      <c r="V52" s="18">
        <f>IF(tbl_raw[[#This Row],[Payment_Method]]="COD",1,0)</f>
        <v>0</v>
      </c>
      <c r="W52" s="21">
        <f>MIN(1,(tbl_raw[[#This Row],[Discount_Pct]]*1.4)+(tbl_raw[[#This Row],[COD_Flag]]*0.35))</f>
        <v>0.154</v>
      </c>
    </row>
    <row r="53" spans="1:23" ht="22.8" x14ac:dyDescent="0.3">
      <c r="A53" s="22" t="s">
        <v>240</v>
      </c>
      <c r="B53" s="23" t="s">
        <v>241</v>
      </c>
      <c r="C53" s="23" t="s">
        <v>35</v>
      </c>
      <c r="D53" s="23" t="s">
        <v>94</v>
      </c>
      <c r="E53" s="23" t="s">
        <v>180</v>
      </c>
      <c r="F53" s="23" t="s">
        <v>242</v>
      </c>
      <c r="G53" s="23" t="s">
        <v>102</v>
      </c>
      <c r="H53" s="23" t="s">
        <v>39</v>
      </c>
      <c r="I53" s="23">
        <v>12</v>
      </c>
      <c r="J53" s="24">
        <v>3891</v>
      </c>
      <c r="K53" s="24">
        <v>2957</v>
      </c>
      <c r="L53" s="25">
        <v>0.24</v>
      </c>
      <c r="M53" s="24">
        <v>2136</v>
      </c>
      <c r="N53" s="24">
        <f>(tbl_raw[[#This Row],[Selling_Price]]-tbl_raw[[#This Row],[Cost_Price]])*tbl_raw[[#This Row],[Units_Sold]]</f>
        <v>9852</v>
      </c>
      <c r="O53" s="25">
        <f>IFERROR((tbl_raw[[#This Row],[Selling_Price]]-tbl_raw[[#This Row],[Cost_Price]]) / tbl_raw[[#This Row],[Selling_Price]],0)</f>
        <v>0.2776462631044978</v>
      </c>
      <c r="P53" s="24">
        <v>142</v>
      </c>
      <c r="Q53" s="24">
        <f>tbl_raw[[#This Row],[Gross_Profit]]-(tbl_raw[[#This Row],[Shipping_Cost]]*tbl_raw[[#This Row],[Units_Sold]])</f>
        <v>8148</v>
      </c>
      <c r="R53" s="25">
        <f>IFERROR(tbl_raw[[#This Row],[Net_Profit]]/(tbl_raw[[#This Row],[Selling_Price]]*tbl_raw[[#This Row],[Units_Sold]]),0)</f>
        <v>0.22962461954683802</v>
      </c>
      <c r="S53" s="23" t="s">
        <v>107</v>
      </c>
      <c r="T53" s="23" t="s">
        <v>32</v>
      </c>
      <c r="U53" s="23">
        <f>IF(tbl_raw[[#This Row],[Order_Status]]="Returned",1,0)</f>
        <v>0</v>
      </c>
      <c r="V53" s="23">
        <f>IF(tbl_raw[[#This Row],[Payment_Method]]="COD",1,0)</f>
        <v>0</v>
      </c>
      <c r="W53" s="26">
        <f>MIN(1,(tbl_raw[[#This Row],[Discount_Pct]]*1.4)+(tbl_raw[[#This Row],[COD_Flag]]*0.35))</f>
        <v>0.33599999999999997</v>
      </c>
    </row>
    <row r="54" spans="1:23" ht="22.8" x14ac:dyDescent="0.3">
      <c r="A54" s="17" t="s">
        <v>243</v>
      </c>
      <c r="B54" s="18" t="s">
        <v>244</v>
      </c>
      <c r="C54" s="18" t="s">
        <v>99</v>
      </c>
      <c r="D54" s="18" t="s">
        <v>94</v>
      </c>
      <c r="E54" s="18" t="s">
        <v>207</v>
      </c>
      <c r="F54" s="18" t="s">
        <v>245</v>
      </c>
      <c r="G54" s="18" t="s">
        <v>29</v>
      </c>
      <c r="H54" s="18" t="s">
        <v>30</v>
      </c>
      <c r="I54" s="18">
        <v>11</v>
      </c>
      <c r="J54" s="19">
        <v>1133</v>
      </c>
      <c r="K54" s="19">
        <v>861</v>
      </c>
      <c r="L54" s="20">
        <v>0.24</v>
      </c>
      <c r="M54" s="19">
        <v>755</v>
      </c>
      <c r="N54" s="19">
        <f>(tbl_raw[[#This Row],[Selling_Price]]-tbl_raw[[#This Row],[Cost_Price]])*tbl_raw[[#This Row],[Units_Sold]]</f>
        <v>1166</v>
      </c>
      <c r="O54" s="20">
        <f>IFERROR((tbl_raw[[#This Row],[Selling_Price]]-tbl_raw[[#This Row],[Cost_Price]]) / tbl_raw[[#This Row],[Selling_Price]],0)</f>
        <v>0.12311265969802555</v>
      </c>
      <c r="P54" s="19">
        <v>58</v>
      </c>
      <c r="Q54" s="19">
        <f>tbl_raw[[#This Row],[Gross_Profit]]-(tbl_raw[[#This Row],[Shipping_Cost]]*tbl_raw[[#This Row],[Units_Sold]])</f>
        <v>528</v>
      </c>
      <c r="R54" s="20">
        <f>IFERROR(tbl_raw[[#This Row],[Net_Profit]]/(tbl_raw[[#This Row],[Selling_Price]]*tbl_raw[[#This Row],[Units_Sold]]),0)</f>
        <v>5.5749128919860627E-2</v>
      </c>
      <c r="S54" s="18" t="s">
        <v>40</v>
      </c>
      <c r="T54" s="18" t="s">
        <v>32</v>
      </c>
      <c r="U54" s="18">
        <f>IF(tbl_raw[[#This Row],[Order_Status]]="Returned",1,0)</f>
        <v>0</v>
      </c>
      <c r="V54" s="18">
        <f>IF(tbl_raw[[#This Row],[Payment_Method]]="COD",1,0)</f>
        <v>1</v>
      </c>
      <c r="W54" s="21">
        <f>MIN(1,(tbl_raw[[#This Row],[Discount_Pct]]*1.4)+(tbl_raw[[#This Row],[COD_Flag]]*0.35))</f>
        <v>0.68599999999999994</v>
      </c>
    </row>
    <row r="55" spans="1:23" ht="22.8" x14ac:dyDescent="0.3">
      <c r="A55" s="22" t="s">
        <v>246</v>
      </c>
      <c r="B55" s="23" t="s">
        <v>247</v>
      </c>
      <c r="C55" s="23" t="s">
        <v>199</v>
      </c>
      <c r="D55" s="23" t="s">
        <v>53</v>
      </c>
      <c r="E55" s="23" t="s">
        <v>149</v>
      </c>
      <c r="F55" s="23" t="s">
        <v>248</v>
      </c>
      <c r="G55" s="23" t="s">
        <v>29</v>
      </c>
      <c r="H55" s="23" t="s">
        <v>30</v>
      </c>
      <c r="I55" s="23">
        <v>10</v>
      </c>
      <c r="J55" s="24">
        <v>1974</v>
      </c>
      <c r="K55" s="24">
        <v>1816</v>
      </c>
      <c r="L55" s="25">
        <v>0.08</v>
      </c>
      <c r="M55" s="24">
        <v>799</v>
      </c>
      <c r="N55" s="24">
        <f>(tbl_raw[[#This Row],[Selling_Price]]-tbl_raw[[#This Row],[Cost_Price]])*tbl_raw[[#This Row],[Units_Sold]]</f>
        <v>10170</v>
      </c>
      <c r="O55" s="25">
        <f>IFERROR((tbl_raw[[#This Row],[Selling_Price]]-tbl_raw[[#This Row],[Cost_Price]]) / tbl_raw[[#This Row],[Selling_Price]],0)</f>
        <v>0.56002202643171806</v>
      </c>
      <c r="P55" s="24">
        <v>110</v>
      </c>
      <c r="Q55" s="24">
        <f>tbl_raw[[#This Row],[Gross_Profit]]-(tbl_raw[[#This Row],[Shipping_Cost]]*tbl_raw[[#This Row],[Units_Sold]])</f>
        <v>9070</v>
      </c>
      <c r="R55" s="25">
        <f>IFERROR(tbl_raw[[#This Row],[Net_Profit]]/(tbl_raw[[#This Row],[Selling_Price]]*tbl_raw[[#This Row],[Units_Sold]]),0)</f>
        <v>0.49944933920704848</v>
      </c>
      <c r="S55" s="23" t="s">
        <v>107</v>
      </c>
      <c r="T55" s="23" t="s">
        <v>32</v>
      </c>
      <c r="U55" s="23">
        <f>IF(tbl_raw[[#This Row],[Order_Status]]="Returned",1,0)</f>
        <v>0</v>
      </c>
      <c r="V55" s="23">
        <f>IF(tbl_raw[[#This Row],[Payment_Method]]="COD",1,0)</f>
        <v>0</v>
      </c>
      <c r="W55" s="26">
        <f>MIN(1,(tbl_raw[[#This Row],[Discount_Pct]]*1.4)+(tbl_raw[[#This Row],[COD_Flag]]*0.35))</f>
        <v>0.11199999999999999</v>
      </c>
    </row>
    <row r="56" spans="1:23" ht="22.8" x14ac:dyDescent="0.3">
      <c r="A56" s="17" t="s">
        <v>249</v>
      </c>
      <c r="B56" s="18" t="s">
        <v>250</v>
      </c>
      <c r="C56" s="18" t="s">
        <v>99</v>
      </c>
      <c r="D56" s="18" t="s">
        <v>164</v>
      </c>
      <c r="E56" s="18" t="s">
        <v>251</v>
      </c>
      <c r="F56" s="18" t="s">
        <v>252</v>
      </c>
      <c r="G56" s="18" t="s">
        <v>139</v>
      </c>
      <c r="H56" s="18" t="s">
        <v>48</v>
      </c>
      <c r="I56" s="18">
        <v>19</v>
      </c>
      <c r="J56" s="19">
        <v>2418</v>
      </c>
      <c r="K56" s="19">
        <v>1886</v>
      </c>
      <c r="L56" s="20">
        <v>0.22</v>
      </c>
      <c r="M56" s="19">
        <v>1256</v>
      </c>
      <c r="N56" s="19">
        <f>(tbl_raw[[#This Row],[Selling_Price]]-tbl_raw[[#This Row],[Cost_Price]])*tbl_raw[[#This Row],[Units_Sold]]</f>
        <v>11970</v>
      </c>
      <c r="O56" s="20">
        <f>IFERROR((tbl_raw[[#This Row],[Selling_Price]]-tbl_raw[[#This Row],[Cost_Price]]) / tbl_raw[[#This Row],[Selling_Price]],0)</f>
        <v>0.33404029692470838</v>
      </c>
      <c r="P56" s="19">
        <v>175</v>
      </c>
      <c r="Q56" s="19">
        <f>tbl_raw[[#This Row],[Gross_Profit]]-(tbl_raw[[#This Row],[Shipping_Cost]]*tbl_raw[[#This Row],[Units_Sold]])</f>
        <v>8645</v>
      </c>
      <c r="R56" s="20">
        <f>IFERROR(tbl_raw[[#This Row],[Net_Profit]]/(tbl_raw[[#This Row],[Selling_Price]]*tbl_raw[[#This Row],[Units_Sold]]),0)</f>
        <v>0.24125132555673381</v>
      </c>
      <c r="S56" s="18" t="s">
        <v>107</v>
      </c>
      <c r="T56" s="18" t="s">
        <v>32</v>
      </c>
      <c r="U56" s="18">
        <f>IF(tbl_raw[[#This Row],[Order_Status]]="Returned",1,0)</f>
        <v>0</v>
      </c>
      <c r="V56" s="18">
        <f>IF(tbl_raw[[#This Row],[Payment_Method]]="COD",1,0)</f>
        <v>0</v>
      </c>
      <c r="W56" s="21">
        <f>MIN(1,(tbl_raw[[#This Row],[Discount_Pct]]*1.4)+(tbl_raw[[#This Row],[COD_Flag]]*0.35))</f>
        <v>0.308</v>
      </c>
    </row>
    <row r="57" spans="1:23" ht="22.8" x14ac:dyDescent="0.3">
      <c r="A57" s="22" t="s">
        <v>253</v>
      </c>
      <c r="B57" s="23" t="s">
        <v>83</v>
      </c>
      <c r="C57" s="23" t="s">
        <v>72</v>
      </c>
      <c r="D57" s="23" t="s">
        <v>62</v>
      </c>
      <c r="E57" s="23" t="s">
        <v>110</v>
      </c>
      <c r="F57" s="23" t="s">
        <v>254</v>
      </c>
      <c r="G57" s="23" t="s">
        <v>139</v>
      </c>
      <c r="H57" s="23" t="s">
        <v>48</v>
      </c>
      <c r="I57" s="23">
        <v>5</v>
      </c>
      <c r="J57" s="24">
        <v>1364</v>
      </c>
      <c r="K57" s="24">
        <v>1023</v>
      </c>
      <c r="L57" s="25">
        <v>0.25</v>
      </c>
      <c r="M57" s="24">
        <v>691</v>
      </c>
      <c r="N57" s="24">
        <f>(tbl_raw[[#This Row],[Selling_Price]]-tbl_raw[[#This Row],[Cost_Price]])*tbl_raw[[#This Row],[Units_Sold]]</f>
        <v>1660</v>
      </c>
      <c r="O57" s="25">
        <f>IFERROR((tbl_raw[[#This Row],[Selling_Price]]-tbl_raw[[#This Row],[Cost_Price]]) / tbl_raw[[#This Row],[Selling_Price]],0)</f>
        <v>0.32453567937438904</v>
      </c>
      <c r="P57" s="24">
        <v>179</v>
      </c>
      <c r="Q57" s="24">
        <f>tbl_raw[[#This Row],[Gross_Profit]]-(tbl_raw[[#This Row],[Shipping_Cost]]*tbl_raw[[#This Row],[Units_Sold]])</f>
        <v>765</v>
      </c>
      <c r="R57" s="25">
        <f>IFERROR(tbl_raw[[#This Row],[Net_Profit]]/(tbl_raw[[#This Row],[Selling_Price]]*tbl_raw[[#This Row],[Units_Sold]]),0)</f>
        <v>0.14956011730205279</v>
      </c>
      <c r="S57" s="23" t="s">
        <v>58</v>
      </c>
      <c r="T57" s="23" t="s">
        <v>32</v>
      </c>
      <c r="U57" s="23">
        <f>IF(tbl_raw[[#This Row],[Order_Status]]="Returned",1,0)</f>
        <v>0</v>
      </c>
      <c r="V57" s="23">
        <f>IF(tbl_raw[[#This Row],[Payment_Method]]="COD",1,0)</f>
        <v>0</v>
      </c>
      <c r="W57" s="26">
        <f>MIN(1,(tbl_raw[[#This Row],[Discount_Pct]]*1.4)+(tbl_raw[[#This Row],[COD_Flag]]*0.35))</f>
        <v>0.35</v>
      </c>
    </row>
    <row r="58" spans="1:23" ht="22.8" x14ac:dyDescent="0.3">
      <c r="A58" s="17" t="s">
        <v>255</v>
      </c>
      <c r="B58" s="18" t="s">
        <v>256</v>
      </c>
      <c r="C58" s="18" t="s">
        <v>199</v>
      </c>
      <c r="D58" s="18" t="s">
        <v>94</v>
      </c>
      <c r="E58" s="18" t="s">
        <v>137</v>
      </c>
      <c r="F58" s="18" t="s">
        <v>257</v>
      </c>
      <c r="G58" s="18" t="s">
        <v>75</v>
      </c>
      <c r="H58" s="18" t="s">
        <v>48</v>
      </c>
      <c r="I58" s="18">
        <v>15</v>
      </c>
      <c r="J58" s="19">
        <v>2519</v>
      </c>
      <c r="K58" s="19">
        <v>1864</v>
      </c>
      <c r="L58" s="20">
        <v>0.26</v>
      </c>
      <c r="M58" s="19">
        <v>1386</v>
      </c>
      <c r="N58" s="19">
        <f>(tbl_raw[[#This Row],[Selling_Price]]-tbl_raw[[#This Row],[Cost_Price]])*tbl_raw[[#This Row],[Units_Sold]]</f>
        <v>7170</v>
      </c>
      <c r="O58" s="20">
        <f>IFERROR((tbl_raw[[#This Row],[Selling_Price]]-tbl_raw[[#This Row],[Cost_Price]]) / tbl_raw[[#This Row],[Selling_Price]],0)</f>
        <v>0.25643776824034337</v>
      </c>
      <c r="P58" s="19">
        <v>115</v>
      </c>
      <c r="Q58" s="19">
        <f>tbl_raw[[#This Row],[Gross_Profit]]-(tbl_raw[[#This Row],[Shipping_Cost]]*tbl_raw[[#This Row],[Units_Sold]])</f>
        <v>5445</v>
      </c>
      <c r="R58" s="20">
        <f>IFERROR(tbl_raw[[#This Row],[Net_Profit]]/(tbl_raw[[#This Row],[Selling_Price]]*tbl_raw[[#This Row],[Units_Sold]]),0)</f>
        <v>0.19474248927038626</v>
      </c>
      <c r="S58" s="18" t="s">
        <v>58</v>
      </c>
      <c r="T58" s="18" t="s">
        <v>32</v>
      </c>
      <c r="U58" s="18">
        <f>IF(tbl_raw[[#This Row],[Order_Status]]="Returned",1,0)</f>
        <v>0</v>
      </c>
      <c r="V58" s="18">
        <f>IF(tbl_raw[[#This Row],[Payment_Method]]="COD",1,0)</f>
        <v>0</v>
      </c>
      <c r="W58" s="21">
        <f>MIN(1,(tbl_raw[[#This Row],[Discount_Pct]]*1.4)+(tbl_raw[[#This Row],[COD_Flag]]*0.35))</f>
        <v>0.36399999999999999</v>
      </c>
    </row>
    <row r="59" spans="1:23" ht="22.8" x14ac:dyDescent="0.3">
      <c r="A59" s="22" t="s">
        <v>258</v>
      </c>
      <c r="B59" s="23" t="s">
        <v>259</v>
      </c>
      <c r="C59" s="23" t="s">
        <v>35</v>
      </c>
      <c r="D59" s="23" t="s">
        <v>94</v>
      </c>
      <c r="E59" s="23" t="s">
        <v>180</v>
      </c>
      <c r="F59" s="23" t="s">
        <v>260</v>
      </c>
      <c r="G59" s="23" t="s">
        <v>120</v>
      </c>
      <c r="H59" s="23" t="s">
        <v>39</v>
      </c>
      <c r="I59" s="23">
        <v>6</v>
      </c>
      <c r="J59" s="24">
        <v>2071</v>
      </c>
      <c r="K59" s="24">
        <v>1553</v>
      </c>
      <c r="L59" s="25">
        <v>0.25</v>
      </c>
      <c r="M59" s="24">
        <v>942</v>
      </c>
      <c r="N59" s="24">
        <f>(tbl_raw[[#This Row],[Selling_Price]]-tbl_raw[[#This Row],[Cost_Price]])*tbl_raw[[#This Row],[Units_Sold]]</f>
        <v>3666</v>
      </c>
      <c r="O59" s="25">
        <f>IFERROR((tbl_raw[[#This Row],[Selling_Price]]-tbl_raw[[#This Row],[Cost_Price]]) / tbl_raw[[#This Row],[Selling_Price]],0)</f>
        <v>0.39343206696716032</v>
      </c>
      <c r="P59" s="24">
        <v>91</v>
      </c>
      <c r="Q59" s="24">
        <f>tbl_raw[[#This Row],[Gross_Profit]]-(tbl_raw[[#This Row],[Shipping_Cost]]*tbl_raw[[#This Row],[Units_Sold]])</f>
        <v>3120</v>
      </c>
      <c r="R59" s="25">
        <f>IFERROR(tbl_raw[[#This Row],[Net_Profit]]/(tbl_raw[[#This Row],[Selling_Price]]*tbl_raw[[#This Row],[Units_Sold]]),0)</f>
        <v>0.33483580167417903</v>
      </c>
      <c r="S59" s="23" t="s">
        <v>65</v>
      </c>
      <c r="T59" s="23" t="s">
        <v>32</v>
      </c>
      <c r="U59" s="23">
        <f>IF(tbl_raw[[#This Row],[Order_Status]]="Returned",1,0)</f>
        <v>0</v>
      </c>
      <c r="V59" s="23">
        <f>IF(tbl_raw[[#This Row],[Payment_Method]]="COD",1,0)</f>
        <v>0</v>
      </c>
      <c r="W59" s="26">
        <f>MIN(1,(tbl_raw[[#This Row],[Discount_Pct]]*1.4)+(tbl_raw[[#This Row],[COD_Flag]]*0.35))</f>
        <v>0.35</v>
      </c>
    </row>
    <row r="60" spans="1:23" ht="22.8" x14ac:dyDescent="0.3">
      <c r="A60" s="17" t="s">
        <v>261</v>
      </c>
      <c r="B60" s="18" t="s">
        <v>250</v>
      </c>
      <c r="C60" s="18" t="s">
        <v>99</v>
      </c>
      <c r="D60" s="18" t="s">
        <v>53</v>
      </c>
      <c r="E60" s="18" t="s">
        <v>90</v>
      </c>
      <c r="F60" s="18" t="s">
        <v>262</v>
      </c>
      <c r="G60" s="18" t="s">
        <v>29</v>
      </c>
      <c r="H60" s="18" t="s">
        <v>30</v>
      </c>
      <c r="I60" s="18">
        <v>9</v>
      </c>
      <c r="J60" s="19">
        <v>6345</v>
      </c>
      <c r="K60" s="19">
        <v>4568</v>
      </c>
      <c r="L60" s="20">
        <v>0.28000000000000003</v>
      </c>
      <c r="M60" s="19">
        <v>4006</v>
      </c>
      <c r="N60" s="19">
        <f>(tbl_raw[[#This Row],[Selling_Price]]-tbl_raw[[#This Row],[Cost_Price]])*tbl_raw[[#This Row],[Units_Sold]]</f>
        <v>5058</v>
      </c>
      <c r="O60" s="20">
        <f>IFERROR((tbl_raw[[#This Row],[Selling_Price]]-tbl_raw[[#This Row],[Cost_Price]]) / tbl_raw[[#This Row],[Selling_Price]],0)</f>
        <v>0.12302977232924693</v>
      </c>
      <c r="P60" s="19">
        <v>170</v>
      </c>
      <c r="Q60" s="19">
        <f>tbl_raw[[#This Row],[Gross_Profit]]-(tbl_raw[[#This Row],[Shipping_Cost]]*tbl_raw[[#This Row],[Units_Sold]])</f>
        <v>3528</v>
      </c>
      <c r="R60" s="20">
        <f>IFERROR(tbl_raw[[#This Row],[Net_Profit]]/(tbl_raw[[#This Row],[Selling_Price]]*tbl_raw[[#This Row],[Units_Sold]]),0)</f>
        <v>8.5814360770577927E-2</v>
      </c>
      <c r="S60" s="18" t="s">
        <v>31</v>
      </c>
      <c r="T60" s="18" t="s">
        <v>32</v>
      </c>
      <c r="U60" s="18">
        <f>IF(tbl_raw[[#This Row],[Order_Status]]="Returned",1,0)</f>
        <v>0</v>
      </c>
      <c r="V60" s="18">
        <f>IF(tbl_raw[[#This Row],[Payment_Method]]="COD",1,0)</f>
        <v>0</v>
      </c>
      <c r="W60" s="21">
        <f>MIN(1,(tbl_raw[[#This Row],[Discount_Pct]]*1.4)+(tbl_raw[[#This Row],[COD_Flag]]*0.35))</f>
        <v>0.39200000000000002</v>
      </c>
    </row>
    <row r="61" spans="1:23" ht="22.8" x14ac:dyDescent="0.3">
      <c r="A61" s="22" t="s">
        <v>263</v>
      </c>
      <c r="B61" s="23" t="s">
        <v>264</v>
      </c>
      <c r="C61" s="23" t="s">
        <v>43</v>
      </c>
      <c r="D61" s="23" t="s">
        <v>164</v>
      </c>
      <c r="E61" s="23" t="s">
        <v>265</v>
      </c>
      <c r="F61" s="23" t="s">
        <v>266</v>
      </c>
      <c r="G61" s="23" t="s">
        <v>81</v>
      </c>
      <c r="H61" s="23" t="s">
        <v>30</v>
      </c>
      <c r="I61" s="23">
        <v>10</v>
      </c>
      <c r="J61" s="24">
        <v>4841</v>
      </c>
      <c r="K61" s="24">
        <v>3050</v>
      </c>
      <c r="L61" s="25">
        <v>0.37</v>
      </c>
      <c r="M61" s="24">
        <v>3497</v>
      </c>
      <c r="N61" s="24">
        <f>(tbl_raw[[#This Row],[Selling_Price]]-tbl_raw[[#This Row],[Cost_Price]])*tbl_raw[[#This Row],[Units_Sold]]</f>
        <v>-4470</v>
      </c>
      <c r="O61" s="25">
        <f>IFERROR((tbl_raw[[#This Row],[Selling_Price]]-tbl_raw[[#This Row],[Cost_Price]]) / tbl_raw[[#This Row],[Selling_Price]],0)</f>
        <v>-0.14655737704918032</v>
      </c>
      <c r="P61" s="24">
        <v>96</v>
      </c>
      <c r="Q61" s="24">
        <f>tbl_raw[[#This Row],[Gross_Profit]]-(tbl_raw[[#This Row],[Shipping_Cost]]*tbl_raw[[#This Row],[Units_Sold]])</f>
        <v>-5430</v>
      </c>
      <c r="R61" s="25">
        <f>IFERROR(tbl_raw[[#This Row],[Net_Profit]]/(tbl_raw[[#This Row],[Selling_Price]]*tbl_raw[[#This Row],[Units_Sold]]),0)</f>
        <v>-0.1780327868852459</v>
      </c>
      <c r="S61" s="23" t="s">
        <v>31</v>
      </c>
      <c r="T61" s="23" t="s">
        <v>32</v>
      </c>
      <c r="U61" s="23">
        <f>IF(tbl_raw[[#This Row],[Order_Status]]="Returned",1,0)</f>
        <v>0</v>
      </c>
      <c r="V61" s="23">
        <f>IF(tbl_raw[[#This Row],[Payment_Method]]="COD",1,0)</f>
        <v>0</v>
      </c>
      <c r="W61" s="26">
        <f>MIN(1,(tbl_raw[[#This Row],[Discount_Pct]]*1.4)+(tbl_raw[[#This Row],[COD_Flag]]*0.35))</f>
        <v>0.51800000000000002</v>
      </c>
    </row>
    <row r="62" spans="1:23" ht="22.8" x14ac:dyDescent="0.3">
      <c r="A62" s="17" t="s">
        <v>267</v>
      </c>
      <c r="B62" s="18" t="s">
        <v>268</v>
      </c>
      <c r="C62" s="18" t="s">
        <v>99</v>
      </c>
      <c r="D62" s="18" t="s">
        <v>62</v>
      </c>
      <c r="E62" s="18" t="s">
        <v>68</v>
      </c>
      <c r="F62" s="18" t="s">
        <v>269</v>
      </c>
      <c r="G62" s="18" t="s">
        <v>102</v>
      </c>
      <c r="H62" s="18" t="s">
        <v>39</v>
      </c>
      <c r="I62" s="18">
        <v>2</v>
      </c>
      <c r="J62" s="19">
        <v>7137</v>
      </c>
      <c r="K62" s="19">
        <v>4782</v>
      </c>
      <c r="L62" s="20">
        <v>0.33</v>
      </c>
      <c r="M62" s="19">
        <v>4363</v>
      </c>
      <c r="N62" s="19">
        <f>(tbl_raw[[#This Row],[Selling_Price]]-tbl_raw[[#This Row],[Cost_Price]])*tbl_raw[[#This Row],[Units_Sold]]</f>
        <v>838</v>
      </c>
      <c r="O62" s="20">
        <f>IFERROR((tbl_raw[[#This Row],[Selling_Price]]-tbl_raw[[#This Row],[Cost_Price]]) / tbl_raw[[#This Row],[Selling_Price]],0)</f>
        <v>8.7620242576327903E-2</v>
      </c>
      <c r="P62" s="19">
        <v>34</v>
      </c>
      <c r="Q62" s="19">
        <f>tbl_raw[[#This Row],[Gross_Profit]]-(tbl_raw[[#This Row],[Shipping_Cost]]*tbl_raw[[#This Row],[Units_Sold]])</f>
        <v>770</v>
      </c>
      <c r="R62" s="20">
        <f>IFERROR(tbl_raw[[#This Row],[Net_Profit]]/(tbl_raw[[#This Row],[Selling_Price]]*tbl_raw[[#This Row],[Units_Sold]]),0)</f>
        <v>8.0510246758678378E-2</v>
      </c>
      <c r="S62" s="18" t="s">
        <v>40</v>
      </c>
      <c r="T62" s="18" t="s">
        <v>49</v>
      </c>
      <c r="U62" s="18">
        <f>IF(tbl_raw[[#This Row],[Order_Status]]="Returned",1,0)</f>
        <v>0</v>
      </c>
      <c r="V62" s="18">
        <f>IF(tbl_raw[[#This Row],[Payment_Method]]="COD",1,0)</f>
        <v>1</v>
      </c>
      <c r="W62" s="21">
        <f>MIN(1,(tbl_raw[[#This Row],[Discount_Pct]]*1.4)+(tbl_raw[[#This Row],[COD_Flag]]*0.35))</f>
        <v>0.81199999999999994</v>
      </c>
    </row>
    <row r="63" spans="1:23" ht="22.8" x14ac:dyDescent="0.3">
      <c r="A63" s="22" t="s">
        <v>270</v>
      </c>
      <c r="B63" s="23" t="s">
        <v>271</v>
      </c>
      <c r="C63" s="23" t="s">
        <v>199</v>
      </c>
      <c r="D63" s="23" t="s">
        <v>26</v>
      </c>
      <c r="E63" s="23" t="s">
        <v>27</v>
      </c>
      <c r="F63" s="23" t="s">
        <v>272</v>
      </c>
      <c r="G63" s="23" t="s">
        <v>139</v>
      </c>
      <c r="H63" s="23" t="s">
        <v>48</v>
      </c>
      <c r="I63" s="23">
        <v>6</v>
      </c>
      <c r="J63" s="24">
        <v>3870</v>
      </c>
      <c r="K63" s="24">
        <v>2748</v>
      </c>
      <c r="L63" s="25">
        <v>0.28999999999999998</v>
      </c>
      <c r="M63" s="24">
        <v>2789</v>
      </c>
      <c r="N63" s="24">
        <f>(tbl_raw[[#This Row],[Selling_Price]]-tbl_raw[[#This Row],[Cost_Price]])*tbl_raw[[#This Row],[Units_Sold]]</f>
        <v>-246</v>
      </c>
      <c r="O63" s="25">
        <f>IFERROR((tbl_raw[[#This Row],[Selling_Price]]-tbl_raw[[#This Row],[Cost_Price]]) / tbl_raw[[#This Row],[Selling_Price]],0)</f>
        <v>-1.4919941775836972E-2</v>
      </c>
      <c r="P63" s="24">
        <v>57</v>
      </c>
      <c r="Q63" s="24">
        <f>tbl_raw[[#This Row],[Gross_Profit]]-(tbl_raw[[#This Row],[Shipping_Cost]]*tbl_raw[[#This Row],[Units_Sold]])</f>
        <v>-588</v>
      </c>
      <c r="R63" s="25">
        <f>IFERROR(tbl_raw[[#This Row],[Net_Profit]]/(tbl_raw[[#This Row],[Selling_Price]]*tbl_raw[[#This Row],[Units_Sold]]),0)</f>
        <v>-3.566229985443959E-2</v>
      </c>
      <c r="S63" s="23" t="s">
        <v>65</v>
      </c>
      <c r="T63" s="23" t="s">
        <v>86</v>
      </c>
      <c r="U63" s="23">
        <f>IF(tbl_raw[[#This Row],[Order_Status]]="Returned",1,0)</f>
        <v>1</v>
      </c>
      <c r="V63" s="23">
        <f>IF(tbl_raw[[#This Row],[Payment_Method]]="COD",1,0)</f>
        <v>0</v>
      </c>
      <c r="W63" s="26">
        <f>MIN(1,(tbl_raw[[#This Row],[Discount_Pct]]*1.4)+(tbl_raw[[#This Row],[COD_Flag]]*0.35))</f>
        <v>0.40599999999999997</v>
      </c>
    </row>
    <row r="64" spans="1:23" ht="22.8" x14ac:dyDescent="0.3">
      <c r="A64" s="17" t="s">
        <v>273</v>
      </c>
      <c r="B64" s="18" t="s">
        <v>274</v>
      </c>
      <c r="C64" s="18" t="s">
        <v>72</v>
      </c>
      <c r="D64" s="18" t="s">
        <v>44</v>
      </c>
      <c r="E64" s="18" t="s">
        <v>275</v>
      </c>
      <c r="F64" s="18" t="s">
        <v>276</v>
      </c>
      <c r="G64" s="18" t="s">
        <v>56</v>
      </c>
      <c r="H64" s="18" t="s">
        <v>57</v>
      </c>
      <c r="I64" s="18">
        <v>4</v>
      </c>
      <c r="J64" s="19">
        <v>6890</v>
      </c>
      <c r="K64" s="19">
        <v>5856</v>
      </c>
      <c r="L64" s="20">
        <v>0.15</v>
      </c>
      <c r="M64" s="19">
        <v>4429</v>
      </c>
      <c r="N64" s="19">
        <f>(tbl_raw[[#This Row],[Selling_Price]]-tbl_raw[[#This Row],[Cost_Price]])*tbl_raw[[#This Row],[Units_Sold]]</f>
        <v>5708</v>
      </c>
      <c r="O64" s="20">
        <f>IFERROR((tbl_raw[[#This Row],[Selling_Price]]-tbl_raw[[#This Row],[Cost_Price]]) / tbl_raw[[#This Row],[Selling_Price]],0)</f>
        <v>0.24368169398907105</v>
      </c>
      <c r="P64" s="19">
        <v>73</v>
      </c>
      <c r="Q64" s="19">
        <f>tbl_raw[[#This Row],[Gross_Profit]]-(tbl_raw[[#This Row],[Shipping_Cost]]*tbl_raw[[#This Row],[Units_Sold]])</f>
        <v>5416</v>
      </c>
      <c r="R64" s="20">
        <f>IFERROR(tbl_raw[[#This Row],[Net_Profit]]/(tbl_raw[[#This Row],[Selling_Price]]*tbl_raw[[#This Row],[Units_Sold]]),0)</f>
        <v>0.23121584699453551</v>
      </c>
      <c r="S64" s="18" t="s">
        <v>31</v>
      </c>
      <c r="T64" s="18" t="s">
        <v>32</v>
      </c>
      <c r="U64" s="18">
        <f>IF(tbl_raw[[#This Row],[Order_Status]]="Returned",1,0)</f>
        <v>0</v>
      </c>
      <c r="V64" s="18">
        <f>IF(tbl_raw[[#This Row],[Payment_Method]]="COD",1,0)</f>
        <v>0</v>
      </c>
      <c r="W64" s="21">
        <f>MIN(1,(tbl_raw[[#This Row],[Discount_Pct]]*1.4)+(tbl_raw[[#This Row],[COD_Flag]]*0.35))</f>
        <v>0.21</v>
      </c>
    </row>
    <row r="65" spans="1:23" ht="22.8" x14ac:dyDescent="0.3">
      <c r="A65" s="22" t="s">
        <v>277</v>
      </c>
      <c r="B65" s="23" t="s">
        <v>278</v>
      </c>
      <c r="C65" s="23" t="s">
        <v>117</v>
      </c>
      <c r="D65" s="23" t="s">
        <v>44</v>
      </c>
      <c r="E65" s="23" t="s">
        <v>279</v>
      </c>
      <c r="F65" s="23" t="s">
        <v>280</v>
      </c>
      <c r="G65" s="23" t="s">
        <v>120</v>
      </c>
      <c r="H65" s="23" t="s">
        <v>39</v>
      </c>
      <c r="I65" s="23">
        <v>13</v>
      </c>
      <c r="J65" s="24">
        <v>6946</v>
      </c>
      <c r="K65" s="24">
        <v>4376</v>
      </c>
      <c r="L65" s="25">
        <v>0.37</v>
      </c>
      <c r="M65" s="24">
        <v>2781</v>
      </c>
      <c r="N65" s="24">
        <f>(tbl_raw[[#This Row],[Selling_Price]]-tbl_raw[[#This Row],[Cost_Price]])*tbl_raw[[#This Row],[Units_Sold]]</f>
        <v>20735</v>
      </c>
      <c r="O65" s="25">
        <f>IFERROR((tbl_raw[[#This Row],[Selling_Price]]-tbl_raw[[#This Row],[Cost_Price]]) / tbl_raw[[#This Row],[Selling_Price]],0)</f>
        <v>0.36448811700182815</v>
      </c>
      <c r="P65" s="24">
        <v>160</v>
      </c>
      <c r="Q65" s="24">
        <f>tbl_raw[[#This Row],[Gross_Profit]]-(tbl_raw[[#This Row],[Shipping_Cost]]*tbl_raw[[#This Row],[Units_Sold]])</f>
        <v>18655</v>
      </c>
      <c r="R65" s="25">
        <f>IFERROR(tbl_raw[[#This Row],[Net_Profit]]/(tbl_raw[[#This Row],[Selling_Price]]*tbl_raw[[#This Row],[Units_Sold]]),0)</f>
        <v>0.32792504570383912</v>
      </c>
      <c r="S65" s="23" t="s">
        <v>31</v>
      </c>
      <c r="T65" s="23" t="s">
        <v>32</v>
      </c>
      <c r="U65" s="23">
        <f>IF(tbl_raw[[#This Row],[Order_Status]]="Returned",1,0)</f>
        <v>0</v>
      </c>
      <c r="V65" s="23">
        <f>IF(tbl_raw[[#This Row],[Payment_Method]]="COD",1,0)</f>
        <v>0</v>
      </c>
      <c r="W65" s="26">
        <f>MIN(1,(tbl_raw[[#This Row],[Discount_Pct]]*1.4)+(tbl_raw[[#This Row],[COD_Flag]]*0.35))</f>
        <v>0.51800000000000002</v>
      </c>
    </row>
    <row r="66" spans="1:23" ht="22.8" x14ac:dyDescent="0.3">
      <c r="A66" s="17" t="s">
        <v>281</v>
      </c>
      <c r="B66" s="18" t="s">
        <v>282</v>
      </c>
      <c r="C66" s="18" t="s">
        <v>89</v>
      </c>
      <c r="D66" s="18" t="s">
        <v>62</v>
      </c>
      <c r="E66" s="18" t="s">
        <v>68</v>
      </c>
      <c r="F66" s="18" t="s">
        <v>283</v>
      </c>
      <c r="G66" s="18" t="s">
        <v>139</v>
      </c>
      <c r="H66" s="18" t="s">
        <v>48</v>
      </c>
      <c r="I66" s="18">
        <v>7</v>
      </c>
      <c r="J66" s="19">
        <v>2283</v>
      </c>
      <c r="K66" s="19">
        <v>2146</v>
      </c>
      <c r="L66" s="20">
        <v>0.06</v>
      </c>
      <c r="M66" s="19">
        <v>1143</v>
      </c>
      <c r="N66" s="19">
        <f>(tbl_raw[[#This Row],[Selling_Price]]-tbl_raw[[#This Row],[Cost_Price]])*tbl_raw[[#This Row],[Units_Sold]]</f>
        <v>7021</v>
      </c>
      <c r="O66" s="20">
        <f>IFERROR((tbl_raw[[#This Row],[Selling_Price]]-tbl_raw[[#This Row],[Cost_Price]]) / tbl_raw[[#This Row],[Selling_Price]],0)</f>
        <v>0.46738117427772602</v>
      </c>
      <c r="P66" s="19">
        <v>162</v>
      </c>
      <c r="Q66" s="19">
        <f>tbl_raw[[#This Row],[Gross_Profit]]-(tbl_raw[[#This Row],[Shipping_Cost]]*tbl_raw[[#This Row],[Units_Sold]])</f>
        <v>5887</v>
      </c>
      <c r="R66" s="20">
        <f>IFERROR(tbl_raw[[#This Row],[Net_Profit]]/(tbl_raw[[#This Row],[Selling_Price]]*tbl_raw[[#This Row],[Units_Sold]]),0)</f>
        <v>0.39189189189189189</v>
      </c>
      <c r="S66" s="18" t="s">
        <v>31</v>
      </c>
      <c r="T66" s="18" t="s">
        <v>49</v>
      </c>
      <c r="U66" s="18">
        <f>IF(tbl_raw[[#This Row],[Order_Status]]="Returned",1,0)</f>
        <v>0</v>
      </c>
      <c r="V66" s="18">
        <f>IF(tbl_raw[[#This Row],[Payment_Method]]="COD",1,0)</f>
        <v>0</v>
      </c>
      <c r="W66" s="21">
        <f>MIN(1,(tbl_raw[[#This Row],[Discount_Pct]]*1.4)+(tbl_raw[[#This Row],[COD_Flag]]*0.35))</f>
        <v>8.3999999999999991E-2</v>
      </c>
    </row>
    <row r="67" spans="1:23" ht="22.8" x14ac:dyDescent="0.3">
      <c r="A67" s="22" t="s">
        <v>284</v>
      </c>
      <c r="B67" s="23" t="s">
        <v>256</v>
      </c>
      <c r="C67" s="23" t="s">
        <v>199</v>
      </c>
      <c r="D67" s="23" t="s">
        <v>94</v>
      </c>
      <c r="E67" s="23" t="s">
        <v>95</v>
      </c>
      <c r="F67" s="23" t="s">
        <v>285</v>
      </c>
      <c r="G67" s="23" t="s">
        <v>38</v>
      </c>
      <c r="H67" s="23" t="s">
        <v>39</v>
      </c>
      <c r="I67" s="23">
        <v>1</v>
      </c>
      <c r="J67" s="24">
        <v>4508</v>
      </c>
      <c r="K67" s="24">
        <v>4328</v>
      </c>
      <c r="L67" s="25">
        <v>0.04</v>
      </c>
      <c r="M67" s="24">
        <v>3369</v>
      </c>
      <c r="N67" s="24">
        <f>(tbl_raw[[#This Row],[Selling_Price]]-tbl_raw[[#This Row],[Cost_Price]])*tbl_raw[[#This Row],[Units_Sold]]</f>
        <v>959</v>
      </c>
      <c r="O67" s="25">
        <f>IFERROR((tbl_raw[[#This Row],[Selling_Price]]-tbl_raw[[#This Row],[Cost_Price]]) / tbl_raw[[#This Row],[Selling_Price]],0)</f>
        <v>0.22158040665434381</v>
      </c>
      <c r="P67" s="24">
        <v>167</v>
      </c>
      <c r="Q67" s="24">
        <f>tbl_raw[[#This Row],[Gross_Profit]]-(tbl_raw[[#This Row],[Shipping_Cost]]*tbl_raw[[#This Row],[Units_Sold]])</f>
        <v>792</v>
      </c>
      <c r="R67" s="25">
        <f>IFERROR(tbl_raw[[#This Row],[Net_Profit]]/(tbl_raw[[#This Row],[Selling_Price]]*tbl_raw[[#This Row],[Units_Sold]]),0)</f>
        <v>0.18299445471349354</v>
      </c>
      <c r="S67" s="23" t="s">
        <v>31</v>
      </c>
      <c r="T67" s="23" t="s">
        <v>32</v>
      </c>
      <c r="U67" s="23">
        <f>IF(tbl_raw[[#This Row],[Order_Status]]="Returned",1,0)</f>
        <v>0</v>
      </c>
      <c r="V67" s="23">
        <f>IF(tbl_raw[[#This Row],[Payment_Method]]="COD",1,0)</f>
        <v>0</v>
      </c>
      <c r="W67" s="26">
        <f>MIN(1,(tbl_raw[[#This Row],[Discount_Pct]]*1.4)+(tbl_raw[[#This Row],[COD_Flag]]*0.35))</f>
        <v>5.5999999999999994E-2</v>
      </c>
    </row>
    <row r="68" spans="1:23" ht="22.8" x14ac:dyDescent="0.3">
      <c r="A68" s="17" t="s">
        <v>286</v>
      </c>
      <c r="B68" s="18" t="s">
        <v>287</v>
      </c>
      <c r="C68" s="18" t="s">
        <v>43</v>
      </c>
      <c r="D68" s="18" t="s">
        <v>53</v>
      </c>
      <c r="E68" s="18" t="s">
        <v>54</v>
      </c>
      <c r="F68" s="18" t="s">
        <v>288</v>
      </c>
      <c r="G68" s="18" t="s">
        <v>143</v>
      </c>
      <c r="H68" s="18" t="s">
        <v>30</v>
      </c>
      <c r="I68" s="18">
        <v>14</v>
      </c>
      <c r="J68" s="19">
        <v>6711</v>
      </c>
      <c r="K68" s="19">
        <v>3758</v>
      </c>
      <c r="L68" s="20">
        <v>0.44</v>
      </c>
      <c r="M68" s="19">
        <v>3257</v>
      </c>
      <c r="N68" s="19">
        <f>(tbl_raw[[#This Row],[Selling_Price]]-tbl_raw[[#This Row],[Cost_Price]])*tbl_raw[[#This Row],[Units_Sold]]</f>
        <v>7014</v>
      </c>
      <c r="O68" s="20">
        <f>IFERROR((tbl_raw[[#This Row],[Selling_Price]]-tbl_raw[[#This Row],[Cost_Price]]) / tbl_raw[[#This Row],[Selling_Price]],0)</f>
        <v>0.13331559340074509</v>
      </c>
      <c r="P68" s="19">
        <v>113</v>
      </c>
      <c r="Q68" s="19">
        <f>tbl_raw[[#This Row],[Gross_Profit]]-(tbl_raw[[#This Row],[Shipping_Cost]]*tbl_raw[[#This Row],[Units_Sold]])</f>
        <v>5432</v>
      </c>
      <c r="R68" s="20">
        <f>IFERROR(tbl_raw[[#This Row],[Net_Profit]]/(tbl_raw[[#This Row],[Selling_Price]]*tbl_raw[[#This Row],[Units_Sold]]),0)</f>
        <v>0.10324640766365088</v>
      </c>
      <c r="S68" s="18" t="s">
        <v>31</v>
      </c>
      <c r="T68" s="18" t="s">
        <v>32</v>
      </c>
      <c r="U68" s="18">
        <f>IF(tbl_raw[[#This Row],[Order_Status]]="Returned",1,0)</f>
        <v>0</v>
      </c>
      <c r="V68" s="18">
        <f>IF(tbl_raw[[#This Row],[Payment_Method]]="COD",1,0)</f>
        <v>0</v>
      </c>
      <c r="W68" s="21">
        <f>MIN(1,(tbl_raw[[#This Row],[Discount_Pct]]*1.4)+(tbl_raw[[#This Row],[COD_Flag]]*0.35))</f>
        <v>0.61599999999999999</v>
      </c>
    </row>
    <row r="69" spans="1:23" ht="22.8" x14ac:dyDescent="0.3">
      <c r="A69" s="22" t="s">
        <v>289</v>
      </c>
      <c r="B69" s="23" t="s">
        <v>206</v>
      </c>
      <c r="C69" s="23" t="s">
        <v>156</v>
      </c>
      <c r="D69" s="23" t="s">
        <v>175</v>
      </c>
      <c r="E69" s="23" t="s">
        <v>190</v>
      </c>
      <c r="F69" s="23" t="s">
        <v>290</v>
      </c>
      <c r="G69" s="23" t="s">
        <v>47</v>
      </c>
      <c r="H69" s="23" t="s">
        <v>48</v>
      </c>
      <c r="I69" s="23">
        <v>11</v>
      </c>
      <c r="J69" s="24">
        <v>7487</v>
      </c>
      <c r="K69" s="24">
        <v>5765</v>
      </c>
      <c r="L69" s="25">
        <v>0.23</v>
      </c>
      <c r="M69" s="24">
        <v>5145</v>
      </c>
      <c r="N69" s="24">
        <f>(tbl_raw[[#This Row],[Selling_Price]]-tbl_raw[[#This Row],[Cost_Price]])*tbl_raw[[#This Row],[Units_Sold]]</f>
        <v>6820</v>
      </c>
      <c r="O69" s="25">
        <f>IFERROR((tbl_raw[[#This Row],[Selling_Price]]-tbl_raw[[#This Row],[Cost_Price]]) / tbl_raw[[#This Row],[Selling_Price]],0)</f>
        <v>0.10754553339115351</v>
      </c>
      <c r="P69" s="24">
        <v>72</v>
      </c>
      <c r="Q69" s="24">
        <f>tbl_raw[[#This Row],[Gross_Profit]]-(tbl_raw[[#This Row],[Shipping_Cost]]*tbl_raw[[#This Row],[Units_Sold]])</f>
        <v>6028</v>
      </c>
      <c r="R69" s="25">
        <f>IFERROR(tbl_raw[[#This Row],[Net_Profit]]/(tbl_raw[[#This Row],[Selling_Price]]*tbl_raw[[#This Row],[Units_Sold]]),0)</f>
        <v>9.5056374674761496E-2</v>
      </c>
      <c r="S69" s="23" t="s">
        <v>107</v>
      </c>
      <c r="T69" s="23" t="s">
        <v>32</v>
      </c>
      <c r="U69" s="23">
        <f>IF(tbl_raw[[#This Row],[Order_Status]]="Returned",1,0)</f>
        <v>0</v>
      </c>
      <c r="V69" s="23">
        <f>IF(tbl_raw[[#This Row],[Payment_Method]]="COD",1,0)</f>
        <v>0</v>
      </c>
      <c r="W69" s="26">
        <f>MIN(1,(tbl_raw[[#This Row],[Discount_Pct]]*1.4)+(tbl_raw[[#This Row],[COD_Flag]]*0.35))</f>
        <v>0.32200000000000001</v>
      </c>
    </row>
    <row r="70" spans="1:23" ht="22.8" x14ac:dyDescent="0.3">
      <c r="A70" s="17" t="s">
        <v>291</v>
      </c>
      <c r="B70" s="18" t="s">
        <v>292</v>
      </c>
      <c r="C70" s="18" t="s">
        <v>25</v>
      </c>
      <c r="D70" s="18" t="s">
        <v>164</v>
      </c>
      <c r="E70" s="18" t="s">
        <v>251</v>
      </c>
      <c r="F70" s="18" t="s">
        <v>293</v>
      </c>
      <c r="G70" s="18" t="s">
        <v>75</v>
      </c>
      <c r="H70" s="18" t="s">
        <v>48</v>
      </c>
      <c r="I70" s="18">
        <v>12</v>
      </c>
      <c r="J70" s="19">
        <v>2793</v>
      </c>
      <c r="K70" s="19">
        <v>1843</v>
      </c>
      <c r="L70" s="20">
        <v>0.34</v>
      </c>
      <c r="M70" s="19">
        <v>1486</v>
      </c>
      <c r="N70" s="19">
        <f>(tbl_raw[[#This Row],[Selling_Price]]-tbl_raw[[#This Row],[Cost_Price]])*tbl_raw[[#This Row],[Units_Sold]]</f>
        <v>4284</v>
      </c>
      <c r="O70" s="20">
        <f>IFERROR((tbl_raw[[#This Row],[Selling_Price]]-tbl_raw[[#This Row],[Cost_Price]]) / tbl_raw[[#This Row],[Selling_Price]],0)</f>
        <v>0.19370591427021161</v>
      </c>
      <c r="P70" s="19">
        <v>170</v>
      </c>
      <c r="Q70" s="19">
        <f>tbl_raw[[#This Row],[Gross_Profit]]-(tbl_raw[[#This Row],[Shipping_Cost]]*tbl_raw[[#This Row],[Units_Sold]])</f>
        <v>2244</v>
      </c>
      <c r="R70" s="20">
        <f>IFERROR(tbl_raw[[#This Row],[Net_Profit]]/(tbl_raw[[#This Row],[Selling_Price]]*tbl_raw[[#This Row],[Units_Sold]]),0)</f>
        <v>0.10146500271296799</v>
      </c>
      <c r="S70" s="18" t="s">
        <v>40</v>
      </c>
      <c r="T70" s="18" t="s">
        <v>32</v>
      </c>
      <c r="U70" s="18">
        <f>IF(tbl_raw[[#This Row],[Order_Status]]="Returned",1,0)</f>
        <v>0</v>
      </c>
      <c r="V70" s="18">
        <f>IF(tbl_raw[[#This Row],[Payment_Method]]="COD",1,0)</f>
        <v>1</v>
      </c>
      <c r="W70" s="21">
        <f>MIN(1,(tbl_raw[[#This Row],[Discount_Pct]]*1.4)+(tbl_raw[[#This Row],[COD_Flag]]*0.35))</f>
        <v>0.82599999999999996</v>
      </c>
    </row>
    <row r="71" spans="1:23" ht="22.8" x14ac:dyDescent="0.3">
      <c r="A71" s="22" t="s">
        <v>294</v>
      </c>
      <c r="B71" s="23" t="s">
        <v>295</v>
      </c>
      <c r="C71" s="23" t="s">
        <v>52</v>
      </c>
      <c r="D71" s="23" t="s">
        <v>78</v>
      </c>
      <c r="E71" s="23" t="s">
        <v>296</v>
      </c>
      <c r="F71" s="23" t="s">
        <v>297</v>
      </c>
      <c r="G71" s="23" t="s">
        <v>75</v>
      </c>
      <c r="H71" s="23" t="s">
        <v>48</v>
      </c>
      <c r="I71" s="23">
        <v>13</v>
      </c>
      <c r="J71" s="24">
        <v>3211</v>
      </c>
      <c r="K71" s="24">
        <v>2248</v>
      </c>
      <c r="L71" s="25">
        <v>0.3</v>
      </c>
      <c r="M71" s="24">
        <v>2207</v>
      </c>
      <c r="N71" s="24">
        <f>(tbl_raw[[#This Row],[Selling_Price]]-tbl_raw[[#This Row],[Cost_Price]])*tbl_raw[[#This Row],[Units_Sold]]</f>
        <v>533</v>
      </c>
      <c r="O71" s="25">
        <f>IFERROR((tbl_raw[[#This Row],[Selling_Price]]-tbl_raw[[#This Row],[Cost_Price]]) / tbl_raw[[#This Row],[Selling_Price]],0)</f>
        <v>1.8238434163701068E-2</v>
      </c>
      <c r="P71" s="24">
        <v>177</v>
      </c>
      <c r="Q71" s="24">
        <f>tbl_raw[[#This Row],[Gross_Profit]]-(tbl_raw[[#This Row],[Shipping_Cost]]*tbl_raw[[#This Row],[Units_Sold]])</f>
        <v>-1768</v>
      </c>
      <c r="R71" s="25">
        <f>IFERROR(tbl_raw[[#This Row],[Net_Profit]]/(tbl_raw[[#This Row],[Selling_Price]]*tbl_raw[[#This Row],[Units_Sold]]),0)</f>
        <v>-6.0498220640569395E-2</v>
      </c>
      <c r="S71" s="23" t="s">
        <v>31</v>
      </c>
      <c r="T71" s="23" t="s">
        <v>32</v>
      </c>
      <c r="U71" s="23">
        <f>IF(tbl_raw[[#This Row],[Order_Status]]="Returned",1,0)</f>
        <v>0</v>
      </c>
      <c r="V71" s="23">
        <f>IF(tbl_raw[[#This Row],[Payment_Method]]="COD",1,0)</f>
        <v>0</v>
      </c>
      <c r="W71" s="26">
        <f>MIN(1,(tbl_raw[[#This Row],[Discount_Pct]]*1.4)+(tbl_raw[[#This Row],[COD_Flag]]*0.35))</f>
        <v>0.42</v>
      </c>
    </row>
    <row r="72" spans="1:23" ht="22.8" x14ac:dyDescent="0.3">
      <c r="A72" s="17" t="s">
        <v>298</v>
      </c>
      <c r="B72" s="18" t="s">
        <v>198</v>
      </c>
      <c r="C72" s="18" t="s">
        <v>199</v>
      </c>
      <c r="D72" s="18" t="s">
        <v>175</v>
      </c>
      <c r="E72" s="18" t="s">
        <v>149</v>
      </c>
      <c r="F72" s="18" t="s">
        <v>299</v>
      </c>
      <c r="G72" s="18" t="s">
        <v>38</v>
      </c>
      <c r="H72" s="18" t="s">
        <v>39</v>
      </c>
      <c r="I72" s="18">
        <v>15</v>
      </c>
      <c r="J72" s="19">
        <v>320</v>
      </c>
      <c r="K72" s="19">
        <v>301</v>
      </c>
      <c r="L72" s="20">
        <v>0.06</v>
      </c>
      <c r="M72" s="19">
        <v>226</v>
      </c>
      <c r="N72" s="19">
        <f>(tbl_raw[[#This Row],[Selling_Price]]-tbl_raw[[#This Row],[Cost_Price]])*tbl_raw[[#This Row],[Units_Sold]]</f>
        <v>1125</v>
      </c>
      <c r="O72" s="20">
        <f>IFERROR((tbl_raw[[#This Row],[Selling_Price]]-tbl_raw[[#This Row],[Cost_Price]]) / tbl_raw[[#This Row],[Selling_Price]],0)</f>
        <v>0.24916943521594684</v>
      </c>
      <c r="P72" s="19">
        <v>175</v>
      </c>
      <c r="Q72" s="19">
        <f>tbl_raw[[#This Row],[Gross_Profit]]-(tbl_raw[[#This Row],[Shipping_Cost]]*tbl_raw[[#This Row],[Units_Sold]])</f>
        <v>-1500</v>
      </c>
      <c r="R72" s="20">
        <f>IFERROR(tbl_raw[[#This Row],[Net_Profit]]/(tbl_raw[[#This Row],[Selling_Price]]*tbl_raw[[#This Row],[Units_Sold]]),0)</f>
        <v>-0.33222591362126247</v>
      </c>
      <c r="S72" s="18" t="s">
        <v>58</v>
      </c>
      <c r="T72" s="18" t="s">
        <v>49</v>
      </c>
      <c r="U72" s="18">
        <f>IF(tbl_raw[[#This Row],[Order_Status]]="Returned",1,0)</f>
        <v>0</v>
      </c>
      <c r="V72" s="18">
        <f>IF(tbl_raw[[#This Row],[Payment_Method]]="COD",1,0)</f>
        <v>0</v>
      </c>
      <c r="W72" s="21">
        <f>MIN(1,(tbl_raw[[#This Row],[Discount_Pct]]*1.4)+(tbl_raw[[#This Row],[COD_Flag]]*0.35))</f>
        <v>8.3999999999999991E-2</v>
      </c>
    </row>
    <row r="73" spans="1:23" ht="22.8" x14ac:dyDescent="0.3">
      <c r="A73" s="22" t="s">
        <v>300</v>
      </c>
      <c r="B73" s="23" t="s">
        <v>282</v>
      </c>
      <c r="C73" s="23" t="s">
        <v>89</v>
      </c>
      <c r="D73" s="23" t="s">
        <v>78</v>
      </c>
      <c r="E73" s="23" t="s">
        <v>296</v>
      </c>
      <c r="F73" s="23" t="s">
        <v>301</v>
      </c>
      <c r="G73" s="23" t="s">
        <v>56</v>
      </c>
      <c r="H73" s="23" t="s">
        <v>57</v>
      </c>
      <c r="I73" s="23">
        <v>18</v>
      </c>
      <c r="J73" s="24">
        <v>3164</v>
      </c>
      <c r="K73" s="24">
        <v>2721</v>
      </c>
      <c r="L73" s="25">
        <v>0.14000000000000001</v>
      </c>
      <c r="M73" s="24">
        <v>2062</v>
      </c>
      <c r="N73" s="24">
        <f>(tbl_raw[[#This Row],[Selling_Price]]-tbl_raw[[#This Row],[Cost_Price]])*tbl_raw[[#This Row],[Units_Sold]]</f>
        <v>11862</v>
      </c>
      <c r="O73" s="25">
        <f>IFERROR((tbl_raw[[#This Row],[Selling_Price]]-tbl_raw[[#This Row],[Cost_Price]]) / tbl_raw[[#This Row],[Selling_Price]],0)</f>
        <v>0.24219037118706357</v>
      </c>
      <c r="P73" s="24">
        <v>144</v>
      </c>
      <c r="Q73" s="24">
        <f>tbl_raw[[#This Row],[Gross_Profit]]-(tbl_raw[[#This Row],[Shipping_Cost]]*tbl_raw[[#This Row],[Units_Sold]])</f>
        <v>9270</v>
      </c>
      <c r="R73" s="25">
        <f>IFERROR(tbl_raw[[#This Row],[Net_Profit]]/(tbl_raw[[#This Row],[Selling_Price]]*tbl_raw[[#This Row],[Units_Sold]]),0)</f>
        <v>0.18926865123116501</v>
      </c>
      <c r="S73" s="23" t="s">
        <v>65</v>
      </c>
      <c r="T73" s="23" t="s">
        <v>32</v>
      </c>
      <c r="U73" s="23">
        <f>IF(tbl_raw[[#This Row],[Order_Status]]="Returned",1,0)</f>
        <v>0</v>
      </c>
      <c r="V73" s="23">
        <f>IF(tbl_raw[[#This Row],[Payment_Method]]="COD",1,0)</f>
        <v>0</v>
      </c>
      <c r="W73" s="26">
        <f>MIN(1,(tbl_raw[[#This Row],[Discount_Pct]]*1.4)+(tbl_raw[[#This Row],[COD_Flag]]*0.35))</f>
        <v>0.19600000000000001</v>
      </c>
    </row>
    <row r="74" spans="1:23" ht="22.8" x14ac:dyDescent="0.3">
      <c r="A74" s="17" t="s">
        <v>302</v>
      </c>
      <c r="B74" s="18" t="s">
        <v>303</v>
      </c>
      <c r="C74" s="18" t="s">
        <v>25</v>
      </c>
      <c r="D74" s="18" t="s">
        <v>53</v>
      </c>
      <c r="E74" s="18" t="s">
        <v>145</v>
      </c>
      <c r="F74" s="18" t="s">
        <v>304</v>
      </c>
      <c r="G74" s="18" t="s">
        <v>120</v>
      </c>
      <c r="H74" s="18" t="s">
        <v>39</v>
      </c>
      <c r="I74" s="18">
        <v>14</v>
      </c>
      <c r="J74" s="19">
        <v>7831</v>
      </c>
      <c r="K74" s="19">
        <v>5168</v>
      </c>
      <c r="L74" s="20">
        <v>0.34</v>
      </c>
      <c r="M74" s="19">
        <v>5062</v>
      </c>
      <c r="N74" s="19">
        <f>(tbl_raw[[#This Row],[Selling_Price]]-tbl_raw[[#This Row],[Cost_Price]])*tbl_raw[[#This Row],[Units_Sold]]</f>
        <v>1484</v>
      </c>
      <c r="O74" s="20">
        <f>IFERROR((tbl_raw[[#This Row],[Selling_Price]]-tbl_raw[[#This Row],[Cost_Price]]) / tbl_raw[[#This Row],[Selling_Price]],0)</f>
        <v>2.0510835913312694E-2</v>
      </c>
      <c r="P74" s="19">
        <v>45</v>
      </c>
      <c r="Q74" s="19">
        <f>tbl_raw[[#This Row],[Gross_Profit]]-(tbl_raw[[#This Row],[Shipping_Cost]]*tbl_raw[[#This Row],[Units_Sold]])</f>
        <v>854</v>
      </c>
      <c r="R74" s="20">
        <f>IFERROR(tbl_raw[[#This Row],[Net_Profit]]/(tbl_raw[[#This Row],[Selling_Price]]*tbl_raw[[#This Row],[Units_Sold]]),0)</f>
        <v>1.1803405572755417E-2</v>
      </c>
      <c r="S74" s="18" t="s">
        <v>40</v>
      </c>
      <c r="T74" s="18" t="s">
        <v>49</v>
      </c>
      <c r="U74" s="18">
        <f>IF(tbl_raw[[#This Row],[Order_Status]]="Returned",1,0)</f>
        <v>0</v>
      </c>
      <c r="V74" s="18">
        <f>IF(tbl_raw[[#This Row],[Payment_Method]]="COD",1,0)</f>
        <v>1</v>
      </c>
      <c r="W74" s="21">
        <f>MIN(1,(tbl_raw[[#This Row],[Discount_Pct]]*1.4)+(tbl_raw[[#This Row],[COD_Flag]]*0.35))</f>
        <v>0.82599999999999996</v>
      </c>
    </row>
    <row r="75" spans="1:23" ht="22.8" x14ac:dyDescent="0.3">
      <c r="A75" s="22" t="s">
        <v>305</v>
      </c>
      <c r="B75" s="23" t="s">
        <v>306</v>
      </c>
      <c r="C75" s="23" t="s">
        <v>132</v>
      </c>
      <c r="D75" s="23" t="s">
        <v>26</v>
      </c>
      <c r="E75" s="23" t="s">
        <v>27</v>
      </c>
      <c r="F75" s="23" t="s">
        <v>307</v>
      </c>
      <c r="G75" s="23" t="s">
        <v>56</v>
      </c>
      <c r="H75" s="23" t="s">
        <v>57</v>
      </c>
      <c r="I75" s="23">
        <v>14</v>
      </c>
      <c r="J75" s="24">
        <v>1335</v>
      </c>
      <c r="K75" s="24">
        <v>1015</v>
      </c>
      <c r="L75" s="25">
        <v>0.24</v>
      </c>
      <c r="M75" s="24">
        <v>798</v>
      </c>
      <c r="N75" s="24">
        <f>(tbl_raw[[#This Row],[Selling_Price]]-tbl_raw[[#This Row],[Cost_Price]])*tbl_raw[[#This Row],[Units_Sold]]</f>
        <v>3038</v>
      </c>
      <c r="O75" s="25">
        <f>IFERROR((tbl_raw[[#This Row],[Selling_Price]]-tbl_raw[[#This Row],[Cost_Price]]) / tbl_raw[[#This Row],[Selling_Price]],0)</f>
        <v>0.21379310344827587</v>
      </c>
      <c r="P75" s="24">
        <v>149</v>
      </c>
      <c r="Q75" s="24">
        <f>tbl_raw[[#This Row],[Gross_Profit]]-(tbl_raw[[#This Row],[Shipping_Cost]]*tbl_raw[[#This Row],[Units_Sold]])</f>
        <v>952</v>
      </c>
      <c r="R75" s="25">
        <f>IFERROR(tbl_raw[[#This Row],[Net_Profit]]/(tbl_raw[[#This Row],[Selling_Price]]*tbl_raw[[#This Row],[Units_Sold]]),0)</f>
        <v>6.6995073891625609E-2</v>
      </c>
      <c r="S75" s="23" t="s">
        <v>40</v>
      </c>
      <c r="T75" s="23" t="s">
        <v>86</v>
      </c>
      <c r="U75" s="23">
        <f>IF(tbl_raw[[#This Row],[Order_Status]]="Returned",1,0)</f>
        <v>1</v>
      </c>
      <c r="V75" s="23">
        <f>IF(tbl_raw[[#This Row],[Payment_Method]]="COD",1,0)</f>
        <v>1</v>
      </c>
      <c r="W75" s="26">
        <f>MIN(1,(tbl_raw[[#This Row],[Discount_Pct]]*1.4)+(tbl_raw[[#This Row],[COD_Flag]]*0.35))</f>
        <v>0.68599999999999994</v>
      </c>
    </row>
    <row r="76" spans="1:23" ht="22.8" x14ac:dyDescent="0.3">
      <c r="A76" s="17" t="s">
        <v>308</v>
      </c>
      <c r="B76" s="18" t="s">
        <v>309</v>
      </c>
      <c r="C76" s="18" t="s">
        <v>52</v>
      </c>
      <c r="D76" s="18" t="s">
        <v>94</v>
      </c>
      <c r="E76" s="18" t="s">
        <v>310</v>
      </c>
      <c r="F76" s="18" t="s">
        <v>311</v>
      </c>
      <c r="G76" s="18" t="s">
        <v>81</v>
      </c>
      <c r="H76" s="18" t="s">
        <v>30</v>
      </c>
      <c r="I76" s="18">
        <v>8</v>
      </c>
      <c r="J76" s="19">
        <v>3797</v>
      </c>
      <c r="K76" s="19">
        <v>3379</v>
      </c>
      <c r="L76" s="20">
        <v>0.11</v>
      </c>
      <c r="M76" s="19">
        <v>1858</v>
      </c>
      <c r="N76" s="19">
        <f>(tbl_raw[[#This Row],[Selling_Price]]-tbl_raw[[#This Row],[Cost_Price]])*tbl_raw[[#This Row],[Units_Sold]]</f>
        <v>12168</v>
      </c>
      <c r="O76" s="20">
        <f>IFERROR((tbl_raw[[#This Row],[Selling_Price]]-tbl_raw[[#This Row],[Cost_Price]]) / tbl_raw[[#This Row],[Selling_Price]],0)</f>
        <v>0.4501331754957088</v>
      </c>
      <c r="P76" s="19">
        <v>31</v>
      </c>
      <c r="Q76" s="19">
        <f>tbl_raw[[#This Row],[Gross_Profit]]-(tbl_raw[[#This Row],[Shipping_Cost]]*tbl_raw[[#This Row],[Units_Sold]])</f>
        <v>11920</v>
      </c>
      <c r="R76" s="20">
        <f>IFERROR(tbl_raw[[#This Row],[Net_Profit]]/(tbl_raw[[#This Row],[Selling_Price]]*tbl_raw[[#This Row],[Units_Sold]]),0)</f>
        <v>0.4409588635691033</v>
      </c>
      <c r="S76" s="18" t="s">
        <v>31</v>
      </c>
      <c r="T76" s="18" t="s">
        <v>32</v>
      </c>
      <c r="U76" s="18">
        <f>IF(tbl_raw[[#This Row],[Order_Status]]="Returned",1,0)</f>
        <v>0</v>
      </c>
      <c r="V76" s="18">
        <f>IF(tbl_raw[[#This Row],[Payment_Method]]="COD",1,0)</f>
        <v>0</v>
      </c>
      <c r="W76" s="21">
        <f>MIN(1,(tbl_raw[[#This Row],[Discount_Pct]]*1.4)+(tbl_raw[[#This Row],[COD_Flag]]*0.35))</f>
        <v>0.154</v>
      </c>
    </row>
    <row r="77" spans="1:23" ht="22.8" x14ac:dyDescent="0.3">
      <c r="A77" s="22" t="s">
        <v>312</v>
      </c>
      <c r="B77" s="23" t="s">
        <v>313</v>
      </c>
      <c r="C77" s="23" t="s">
        <v>43</v>
      </c>
      <c r="D77" s="23" t="s">
        <v>62</v>
      </c>
      <c r="E77" s="23" t="s">
        <v>63</v>
      </c>
      <c r="F77" s="23" t="s">
        <v>314</v>
      </c>
      <c r="G77" s="23" t="s">
        <v>143</v>
      </c>
      <c r="H77" s="23" t="s">
        <v>30</v>
      </c>
      <c r="I77" s="23">
        <v>14</v>
      </c>
      <c r="J77" s="24">
        <v>5584</v>
      </c>
      <c r="K77" s="24">
        <v>4411</v>
      </c>
      <c r="L77" s="25">
        <v>0.21</v>
      </c>
      <c r="M77" s="24">
        <v>2824</v>
      </c>
      <c r="N77" s="24">
        <f>(tbl_raw[[#This Row],[Selling_Price]]-tbl_raw[[#This Row],[Cost_Price]])*tbl_raw[[#This Row],[Units_Sold]]</f>
        <v>22218</v>
      </c>
      <c r="O77" s="25">
        <f>IFERROR((tbl_raw[[#This Row],[Selling_Price]]-tbl_raw[[#This Row],[Cost_Price]]) / tbl_raw[[#This Row],[Selling_Price]],0)</f>
        <v>0.35978236227612787</v>
      </c>
      <c r="P77" s="24">
        <v>180</v>
      </c>
      <c r="Q77" s="24">
        <f>tbl_raw[[#This Row],[Gross_Profit]]-(tbl_raw[[#This Row],[Shipping_Cost]]*tbl_raw[[#This Row],[Units_Sold]])</f>
        <v>19698</v>
      </c>
      <c r="R77" s="25">
        <f>IFERROR(tbl_raw[[#This Row],[Net_Profit]]/(tbl_raw[[#This Row],[Selling_Price]]*tbl_raw[[#This Row],[Units_Sold]]),0)</f>
        <v>0.31897528905010203</v>
      </c>
      <c r="S77" s="23" t="s">
        <v>31</v>
      </c>
      <c r="T77" s="23" t="s">
        <v>32</v>
      </c>
      <c r="U77" s="23">
        <f>IF(tbl_raw[[#This Row],[Order_Status]]="Returned",1,0)</f>
        <v>0</v>
      </c>
      <c r="V77" s="23">
        <f>IF(tbl_raw[[#This Row],[Payment_Method]]="COD",1,0)</f>
        <v>0</v>
      </c>
      <c r="W77" s="26">
        <f>MIN(1,(tbl_raw[[#This Row],[Discount_Pct]]*1.4)+(tbl_raw[[#This Row],[COD_Flag]]*0.35))</f>
        <v>0.29399999999999998</v>
      </c>
    </row>
    <row r="78" spans="1:23" ht="22.8" x14ac:dyDescent="0.3">
      <c r="A78" s="17" t="s">
        <v>315</v>
      </c>
      <c r="B78" s="18" t="s">
        <v>316</v>
      </c>
      <c r="C78" s="18" t="s">
        <v>89</v>
      </c>
      <c r="D78" s="18" t="s">
        <v>53</v>
      </c>
      <c r="E78" s="18" t="s">
        <v>160</v>
      </c>
      <c r="F78" s="18" t="s">
        <v>317</v>
      </c>
      <c r="G78" s="18" t="s">
        <v>47</v>
      </c>
      <c r="H78" s="18" t="s">
        <v>48</v>
      </c>
      <c r="I78" s="18">
        <v>9</v>
      </c>
      <c r="J78" s="19">
        <v>263</v>
      </c>
      <c r="K78" s="19">
        <v>160</v>
      </c>
      <c r="L78" s="20">
        <v>0.39</v>
      </c>
      <c r="M78" s="19">
        <v>177</v>
      </c>
      <c r="N78" s="19">
        <f>(tbl_raw[[#This Row],[Selling_Price]]-tbl_raw[[#This Row],[Cost_Price]])*tbl_raw[[#This Row],[Units_Sold]]</f>
        <v>-153</v>
      </c>
      <c r="O78" s="20">
        <f>IFERROR((tbl_raw[[#This Row],[Selling_Price]]-tbl_raw[[#This Row],[Cost_Price]]) / tbl_raw[[#This Row],[Selling_Price]],0)</f>
        <v>-0.10625</v>
      </c>
      <c r="P78" s="19">
        <v>176</v>
      </c>
      <c r="Q78" s="19">
        <f>tbl_raw[[#This Row],[Gross_Profit]]-(tbl_raw[[#This Row],[Shipping_Cost]]*tbl_raw[[#This Row],[Units_Sold]])</f>
        <v>-1737</v>
      </c>
      <c r="R78" s="20">
        <f>IFERROR(tbl_raw[[#This Row],[Net_Profit]]/(tbl_raw[[#This Row],[Selling_Price]]*tbl_raw[[#This Row],[Units_Sold]]),0)</f>
        <v>-1.20625</v>
      </c>
      <c r="S78" s="18" t="s">
        <v>65</v>
      </c>
      <c r="T78" s="18" t="s">
        <v>59</v>
      </c>
      <c r="U78" s="18">
        <f>IF(tbl_raw[[#This Row],[Order_Status]]="Returned",1,0)</f>
        <v>0</v>
      </c>
      <c r="V78" s="18">
        <f>IF(tbl_raw[[#This Row],[Payment_Method]]="COD",1,0)</f>
        <v>0</v>
      </c>
      <c r="W78" s="21">
        <f>MIN(1,(tbl_raw[[#This Row],[Discount_Pct]]*1.4)+(tbl_raw[[#This Row],[COD_Flag]]*0.35))</f>
        <v>0.54599999999999993</v>
      </c>
    </row>
    <row r="79" spans="1:23" ht="22.8" x14ac:dyDescent="0.3">
      <c r="A79" s="22" t="s">
        <v>318</v>
      </c>
      <c r="B79" s="23" t="s">
        <v>319</v>
      </c>
      <c r="C79" s="23" t="s">
        <v>99</v>
      </c>
      <c r="D79" s="23" t="s">
        <v>94</v>
      </c>
      <c r="E79" s="23" t="s">
        <v>137</v>
      </c>
      <c r="F79" s="23" t="s">
        <v>320</v>
      </c>
      <c r="G79" s="23" t="s">
        <v>56</v>
      </c>
      <c r="H79" s="23" t="s">
        <v>57</v>
      </c>
      <c r="I79" s="23">
        <v>8</v>
      </c>
      <c r="J79" s="24">
        <v>5166</v>
      </c>
      <c r="K79" s="24">
        <v>3720</v>
      </c>
      <c r="L79" s="25">
        <v>0.28000000000000003</v>
      </c>
      <c r="M79" s="24">
        <v>3292</v>
      </c>
      <c r="N79" s="24">
        <f>(tbl_raw[[#This Row],[Selling_Price]]-tbl_raw[[#This Row],[Cost_Price]])*tbl_raw[[#This Row],[Units_Sold]]</f>
        <v>3424</v>
      </c>
      <c r="O79" s="25">
        <f>IFERROR((tbl_raw[[#This Row],[Selling_Price]]-tbl_raw[[#This Row],[Cost_Price]]) / tbl_raw[[#This Row],[Selling_Price]],0)</f>
        <v>0.11505376344086021</v>
      </c>
      <c r="P79" s="24">
        <v>138</v>
      </c>
      <c r="Q79" s="24">
        <f>tbl_raw[[#This Row],[Gross_Profit]]-(tbl_raw[[#This Row],[Shipping_Cost]]*tbl_raw[[#This Row],[Units_Sold]])</f>
        <v>2320</v>
      </c>
      <c r="R79" s="25">
        <f>IFERROR(tbl_raw[[#This Row],[Net_Profit]]/(tbl_raw[[#This Row],[Selling_Price]]*tbl_raw[[#This Row],[Units_Sold]]),0)</f>
        <v>7.7956989247311828E-2</v>
      </c>
      <c r="S79" s="23" t="s">
        <v>40</v>
      </c>
      <c r="T79" s="23" t="s">
        <v>49</v>
      </c>
      <c r="U79" s="23">
        <f>IF(tbl_raw[[#This Row],[Order_Status]]="Returned",1,0)</f>
        <v>0</v>
      </c>
      <c r="V79" s="23">
        <f>IF(tbl_raw[[#This Row],[Payment_Method]]="COD",1,0)</f>
        <v>1</v>
      </c>
      <c r="W79" s="26">
        <f>MIN(1,(tbl_raw[[#This Row],[Discount_Pct]]*1.4)+(tbl_raw[[#This Row],[COD_Flag]]*0.35))</f>
        <v>0.74199999999999999</v>
      </c>
    </row>
    <row r="80" spans="1:23" ht="22.8" x14ac:dyDescent="0.3">
      <c r="A80" s="17" t="s">
        <v>321</v>
      </c>
      <c r="B80" s="18" t="s">
        <v>221</v>
      </c>
      <c r="C80" s="18" t="s">
        <v>25</v>
      </c>
      <c r="D80" s="18" t="s">
        <v>53</v>
      </c>
      <c r="E80" s="18" t="s">
        <v>90</v>
      </c>
      <c r="F80" s="18" t="s">
        <v>322</v>
      </c>
      <c r="G80" s="18" t="s">
        <v>102</v>
      </c>
      <c r="H80" s="18" t="s">
        <v>39</v>
      </c>
      <c r="I80" s="18">
        <v>12</v>
      </c>
      <c r="J80" s="19">
        <v>5912</v>
      </c>
      <c r="K80" s="19">
        <v>5676</v>
      </c>
      <c r="L80" s="20">
        <v>0.04</v>
      </c>
      <c r="M80" s="19">
        <v>2975</v>
      </c>
      <c r="N80" s="19">
        <f>(tbl_raw[[#This Row],[Selling_Price]]-tbl_raw[[#This Row],[Cost_Price]])*tbl_raw[[#This Row],[Units_Sold]]</f>
        <v>32412</v>
      </c>
      <c r="O80" s="20">
        <f>IFERROR((tbl_raw[[#This Row],[Selling_Price]]-tbl_raw[[#This Row],[Cost_Price]]) / tbl_raw[[#This Row],[Selling_Price]],0)</f>
        <v>0.47586328400281891</v>
      </c>
      <c r="P80" s="19">
        <v>142</v>
      </c>
      <c r="Q80" s="19">
        <f>tbl_raw[[#This Row],[Gross_Profit]]-(tbl_raw[[#This Row],[Shipping_Cost]]*tbl_raw[[#This Row],[Units_Sold]])</f>
        <v>30708</v>
      </c>
      <c r="R80" s="20">
        <f>IFERROR(tbl_raw[[#This Row],[Net_Profit]]/(tbl_raw[[#This Row],[Selling_Price]]*tbl_raw[[#This Row],[Units_Sold]]),0)</f>
        <v>0.45084566596194503</v>
      </c>
      <c r="S80" s="18" t="s">
        <v>40</v>
      </c>
      <c r="T80" s="18" t="s">
        <v>59</v>
      </c>
      <c r="U80" s="18">
        <f>IF(tbl_raw[[#This Row],[Order_Status]]="Returned",1,0)</f>
        <v>0</v>
      </c>
      <c r="V80" s="18">
        <f>IF(tbl_raw[[#This Row],[Payment_Method]]="COD",1,0)</f>
        <v>1</v>
      </c>
      <c r="W80" s="21">
        <f>MIN(1,(tbl_raw[[#This Row],[Discount_Pct]]*1.4)+(tbl_raw[[#This Row],[COD_Flag]]*0.35))</f>
        <v>0.40599999999999997</v>
      </c>
    </row>
    <row r="81" spans="1:23" ht="22.8" x14ac:dyDescent="0.3">
      <c r="A81" s="22" t="s">
        <v>323</v>
      </c>
      <c r="B81" s="23" t="s">
        <v>324</v>
      </c>
      <c r="C81" s="23" t="s">
        <v>89</v>
      </c>
      <c r="D81" s="23" t="s">
        <v>53</v>
      </c>
      <c r="E81" s="23" t="s">
        <v>145</v>
      </c>
      <c r="F81" s="23" t="s">
        <v>325</v>
      </c>
      <c r="G81" s="23" t="s">
        <v>75</v>
      </c>
      <c r="H81" s="23" t="s">
        <v>48</v>
      </c>
      <c r="I81" s="23">
        <v>10</v>
      </c>
      <c r="J81" s="24">
        <v>6023</v>
      </c>
      <c r="K81" s="24">
        <v>5120</v>
      </c>
      <c r="L81" s="25">
        <v>0.15</v>
      </c>
      <c r="M81" s="24">
        <v>2652</v>
      </c>
      <c r="N81" s="24">
        <f>(tbl_raw[[#This Row],[Selling_Price]]-tbl_raw[[#This Row],[Cost_Price]])*tbl_raw[[#This Row],[Units_Sold]]</f>
        <v>24680</v>
      </c>
      <c r="O81" s="25">
        <f>IFERROR((tbl_raw[[#This Row],[Selling_Price]]-tbl_raw[[#This Row],[Cost_Price]]) / tbl_raw[[#This Row],[Selling_Price]],0)</f>
        <v>0.48203125000000002</v>
      </c>
      <c r="P81" s="24">
        <v>174</v>
      </c>
      <c r="Q81" s="24">
        <f>tbl_raw[[#This Row],[Gross_Profit]]-(tbl_raw[[#This Row],[Shipping_Cost]]*tbl_raw[[#This Row],[Units_Sold]])</f>
        <v>22940</v>
      </c>
      <c r="R81" s="25">
        <f>IFERROR(tbl_raw[[#This Row],[Net_Profit]]/(tbl_raw[[#This Row],[Selling_Price]]*tbl_raw[[#This Row],[Units_Sold]]),0)</f>
        <v>0.44804687500000001</v>
      </c>
      <c r="S81" s="23" t="s">
        <v>40</v>
      </c>
      <c r="T81" s="23" t="s">
        <v>32</v>
      </c>
      <c r="U81" s="23">
        <f>IF(tbl_raw[[#This Row],[Order_Status]]="Returned",1,0)</f>
        <v>0</v>
      </c>
      <c r="V81" s="23">
        <f>IF(tbl_raw[[#This Row],[Payment_Method]]="COD",1,0)</f>
        <v>1</v>
      </c>
      <c r="W81" s="26">
        <f>MIN(1,(tbl_raw[[#This Row],[Discount_Pct]]*1.4)+(tbl_raw[[#This Row],[COD_Flag]]*0.35))</f>
        <v>0.55999999999999994</v>
      </c>
    </row>
    <row r="82" spans="1:23" ht="22.8" x14ac:dyDescent="0.3">
      <c r="A82" s="17" t="s">
        <v>326</v>
      </c>
      <c r="B82" s="18" t="s">
        <v>327</v>
      </c>
      <c r="C82" s="18" t="s">
        <v>25</v>
      </c>
      <c r="D82" s="18" t="s">
        <v>78</v>
      </c>
      <c r="E82" s="18" t="s">
        <v>84</v>
      </c>
      <c r="F82" s="18" t="s">
        <v>328</v>
      </c>
      <c r="G82" s="18" t="s">
        <v>120</v>
      </c>
      <c r="H82" s="18" t="s">
        <v>39</v>
      </c>
      <c r="I82" s="18">
        <v>13</v>
      </c>
      <c r="J82" s="19">
        <v>309</v>
      </c>
      <c r="K82" s="19">
        <v>235</v>
      </c>
      <c r="L82" s="20">
        <v>0.24</v>
      </c>
      <c r="M82" s="19">
        <v>173</v>
      </c>
      <c r="N82" s="19">
        <f>(tbl_raw[[#This Row],[Selling_Price]]-tbl_raw[[#This Row],[Cost_Price]])*tbl_raw[[#This Row],[Units_Sold]]</f>
        <v>806</v>
      </c>
      <c r="O82" s="20">
        <f>IFERROR((tbl_raw[[#This Row],[Selling_Price]]-tbl_raw[[#This Row],[Cost_Price]]) / tbl_raw[[#This Row],[Selling_Price]],0)</f>
        <v>0.26382978723404255</v>
      </c>
      <c r="P82" s="19">
        <v>131</v>
      </c>
      <c r="Q82" s="19">
        <f>tbl_raw[[#This Row],[Gross_Profit]]-(tbl_raw[[#This Row],[Shipping_Cost]]*tbl_raw[[#This Row],[Units_Sold]])</f>
        <v>-897</v>
      </c>
      <c r="R82" s="20">
        <f>IFERROR(tbl_raw[[#This Row],[Net_Profit]]/(tbl_raw[[#This Row],[Selling_Price]]*tbl_raw[[#This Row],[Units_Sold]]),0)</f>
        <v>-0.29361702127659572</v>
      </c>
      <c r="S82" s="18" t="s">
        <v>107</v>
      </c>
      <c r="T82" s="18" t="s">
        <v>86</v>
      </c>
      <c r="U82" s="18">
        <f>IF(tbl_raw[[#This Row],[Order_Status]]="Returned",1,0)</f>
        <v>1</v>
      </c>
      <c r="V82" s="18">
        <f>IF(tbl_raw[[#This Row],[Payment_Method]]="COD",1,0)</f>
        <v>0</v>
      </c>
      <c r="W82" s="21">
        <f>MIN(1,(tbl_raw[[#This Row],[Discount_Pct]]*1.4)+(tbl_raw[[#This Row],[COD_Flag]]*0.35))</f>
        <v>0.33599999999999997</v>
      </c>
    </row>
    <row r="83" spans="1:23" ht="22.8" x14ac:dyDescent="0.3">
      <c r="A83" s="22" t="s">
        <v>329</v>
      </c>
      <c r="B83" s="23" t="s">
        <v>88</v>
      </c>
      <c r="C83" s="23" t="s">
        <v>89</v>
      </c>
      <c r="D83" s="23" t="s">
        <v>94</v>
      </c>
      <c r="E83" s="23" t="s">
        <v>310</v>
      </c>
      <c r="F83" s="23" t="s">
        <v>330</v>
      </c>
      <c r="G83" s="23" t="s">
        <v>102</v>
      </c>
      <c r="H83" s="23" t="s">
        <v>39</v>
      </c>
      <c r="I83" s="23">
        <v>18</v>
      </c>
      <c r="J83" s="24">
        <v>2758</v>
      </c>
      <c r="K83" s="24">
        <v>2013</v>
      </c>
      <c r="L83" s="25">
        <v>0.27</v>
      </c>
      <c r="M83" s="24">
        <v>1728</v>
      </c>
      <c r="N83" s="24">
        <f>(tbl_raw[[#This Row],[Selling_Price]]-tbl_raw[[#This Row],[Cost_Price]])*tbl_raw[[#This Row],[Units_Sold]]</f>
        <v>5130</v>
      </c>
      <c r="O83" s="25">
        <f>IFERROR((tbl_raw[[#This Row],[Selling_Price]]-tbl_raw[[#This Row],[Cost_Price]]) / tbl_raw[[#This Row],[Selling_Price]],0)</f>
        <v>0.14157973174366617</v>
      </c>
      <c r="P83" s="24">
        <v>125</v>
      </c>
      <c r="Q83" s="24">
        <f>tbl_raw[[#This Row],[Gross_Profit]]-(tbl_raw[[#This Row],[Shipping_Cost]]*tbl_raw[[#This Row],[Units_Sold]])</f>
        <v>2880</v>
      </c>
      <c r="R83" s="25">
        <f>IFERROR(tbl_raw[[#This Row],[Net_Profit]]/(tbl_raw[[#This Row],[Selling_Price]]*tbl_raw[[#This Row],[Units_Sold]]),0)</f>
        <v>7.9483358171882762E-2</v>
      </c>
      <c r="S83" s="23" t="s">
        <v>31</v>
      </c>
      <c r="T83" s="23" t="s">
        <v>32</v>
      </c>
      <c r="U83" s="23">
        <f>IF(tbl_raw[[#This Row],[Order_Status]]="Returned",1,0)</f>
        <v>0</v>
      </c>
      <c r="V83" s="23">
        <f>IF(tbl_raw[[#This Row],[Payment_Method]]="COD",1,0)</f>
        <v>0</v>
      </c>
      <c r="W83" s="26">
        <f>MIN(1,(tbl_raw[[#This Row],[Discount_Pct]]*1.4)+(tbl_raw[[#This Row],[COD_Flag]]*0.35))</f>
        <v>0.378</v>
      </c>
    </row>
    <row r="84" spans="1:23" ht="22.8" x14ac:dyDescent="0.3">
      <c r="A84" s="17" t="s">
        <v>331</v>
      </c>
      <c r="B84" s="18" t="s">
        <v>332</v>
      </c>
      <c r="C84" s="18" t="s">
        <v>52</v>
      </c>
      <c r="D84" s="18" t="s">
        <v>164</v>
      </c>
      <c r="E84" s="18" t="s">
        <v>265</v>
      </c>
      <c r="F84" s="18" t="s">
        <v>333</v>
      </c>
      <c r="G84" s="18" t="s">
        <v>143</v>
      </c>
      <c r="H84" s="18" t="s">
        <v>30</v>
      </c>
      <c r="I84" s="18">
        <v>16</v>
      </c>
      <c r="J84" s="19">
        <v>1106</v>
      </c>
      <c r="K84" s="19">
        <v>984</v>
      </c>
      <c r="L84" s="20">
        <v>0.11</v>
      </c>
      <c r="M84" s="19">
        <v>650</v>
      </c>
      <c r="N84" s="19">
        <f>(tbl_raw[[#This Row],[Selling_Price]]-tbl_raw[[#This Row],[Cost_Price]])*tbl_raw[[#This Row],[Units_Sold]]</f>
        <v>5344</v>
      </c>
      <c r="O84" s="20">
        <f>IFERROR((tbl_raw[[#This Row],[Selling_Price]]-tbl_raw[[#This Row],[Cost_Price]]) / tbl_raw[[#This Row],[Selling_Price]],0)</f>
        <v>0.33943089430894308</v>
      </c>
      <c r="P84" s="19">
        <v>88</v>
      </c>
      <c r="Q84" s="19">
        <f>tbl_raw[[#This Row],[Gross_Profit]]-(tbl_raw[[#This Row],[Shipping_Cost]]*tbl_raw[[#This Row],[Units_Sold]])</f>
        <v>3936</v>
      </c>
      <c r="R84" s="20">
        <f>IFERROR(tbl_raw[[#This Row],[Net_Profit]]/(tbl_raw[[#This Row],[Selling_Price]]*tbl_raw[[#This Row],[Units_Sold]]),0)</f>
        <v>0.25</v>
      </c>
      <c r="S84" s="18" t="s">
        <v>107</v>
      </c>
      <c r="T84" s="18" t="s">
        <v>32</v>
      </c>
      <c r="U84" s="18">
        <f>IF(tbl_raw[[#This Row],[Order_Status]]="Returned",1,0)</f>
        <v>0</v>
      </c>
      <c r="V84" s="18">
        <f>IF(tbl_raw[[#This Row],[Payment_Method]]="COD",1,0)</f>
        <v>0</v>
      </c>
      <c r="W84" s="21">
        <f>MIN(1,(tbl_raw[[#This Row],[Discount_Pct]]*1.4)+(tbl_raw[[#This Row],[COD_Flag]]*0.35))</f>
        <v>0.154</v>
      </c>
    </row>
    <row r="85" spans="1:23" ht="22.8" x14ac:dyDescent="0.3">
      <c r="A85" s="22" t="s">
        <v>334</v>
      </c>
      <c r="B85" s="23" t="s">
        <v>335</v>
      </c>
      <c r="C85" s="23" t="s">
        <v>105</v>
      </c>
      <c r="D85" s="23" t="s">
        <v>164</v>
      </c>
      <c r="E85" s="23" t="s">
        <v>251</v>
      </c>
      <c r="F85" s="23" t="s">
        <v>336</v>
      </c>
      <c r="G85" s="23" t="s">
        <v>120</v>
      </c>
      <c r="H85" s="23" t="s">
        <v>39</v>
      </c>
      <c r="I85" s="23">
        <v>16</v>
      </c>
      <c r="J85" s="24">
        <v>5002</v>
      </c>
      <c r="K85" s="24">
        <v>2901</v>
      </c>
      <c r="L85" s="25">
        <v>0.42</v>
      </c>
      <c r="M85" s="24">
        <v>2491</v>
      </c>
      <c r="N85" s="24">
        <f>(tbl_raw[[#This Row],[Selling_Price]]-tbl_raw[[#This Row],[Cost_Price]])*tbl_raw[[#This Row],[Units_Sold]]</f>
        <v>6560</v>
      </c>
      <c r="O85" s="25">
        <f>IFERROR((tbl_raw[[#This Row],[Selling_Price]]-tbl_raw[[#This Row],[Cost_Price]]) / tbl_raw[[#This Row],[Selling_Price]],0)</f>
        <v>0.1413305756635643</v>
      </c>
      <c r="P85" s="24">
        <v>134</v>
      </c>
      <c r="Q85" s="24">
        <f>tbl_raw[[#This Row],[Gross_Profit]]-(tbl_raw[[#This Row],[Shipping_Cost]]*tbl_raw[[#This Row],[Units_Sold]])</f>
        <v>4416</v>
      </c>
      <c r="R85" s="25">
        <f>IFERROR(tbl_raw[[#This Row],[Net_Profit]]/(tbl_raw[[#This Row],[Selling_Price]]*tbl_raw[[#This Row],[Units_Sold]]),0)</f>
        <v>9.5139607032057913E-2</v>
      </c>
      <c r="S85" s="23" t="s">
        <v>40</v>
      </c>
      <c r="T85" s="23" t="s">
        <v>49</v>
      </c>
      <c r="U85" s="23">
        <f>IF(tbl_raw[[#This Row],[Order_Status]]="Returned",1,0)</f>
        <v>0</v>
      </c>
      <c r="V85" s="23">
        <f>IF(tbl_raw[[#This Row],[Payment_Method]]="COD",1,0)</f>
        <v>1</v>
      </c>
      <c r="W85" s="26">
        <f>MIN(1,(tbl_raw[[#This Row],[Discount_Pct]]*1.4)+(tbl_raw[[#This Row],[COD_Flag]]*0.35))</f>
        <v>0.93799999999999994</v>
      </c>
    </row>
    <row r="86" spans="1:23" ht="22.8" x14ac:dyDescent="0.3">
      <c r="A86" s="17" t="s">
        <v>337</v>
      </c>
      <c r="B86" s="18" t="s">
        <v>88</v>
      </c>
      <c r="C86" s="18" t="s">
        <v>89</v>
      </c>
      <c r="D86" s="18" t="s">
        <v>44</v>
      </c>
      <c r="E86" s="18" t="s">
        <v>338</v>
      </c>
      <c r="F86" s="18" t="s">
        <v>339</v>
      </c>
      <c r="G86" s="18" t="s">
        <v>56</v>
      </c>
      <c r="H86" s="18" t="s">
        <v>57</v>
      </c>
      <c r="I86" s="18">
        <v>2</v>
      </c>
      <c r="J86" s="19">
        <v>3305</v>
      </c>
      <c r="K86" s="19">
        <v>3008</v>
      </c>
      <c r="L86" s="20">
        <v>0.09</v>
      </c>
      <c r="M86" s="19">
        <v>1463</v>
      </c>
      <c r="N86" s="19">
        <f>(tbl_raw[[#This Row],[Selling_Price]]-tbl_raw[[#This Row],[Cost_Price]])*tbl_raw[[#This Row],[Units_Sold]]</f>
        <v>3090</v>
      </c>
      <c r="O86" s="20">
        <f>IFERROR((tbl_raw[[#This Row],[Selling_Price]]-tbl_raw[[#This Row],[Cost_Price]]) / tbl_raw[[#This Row],[Selling_Price]],0)</f>
        <v>0.5136303191489362</v>
      </c>
      <c r="P86" s="19">
        <v>157</v>
      </c>
      <c r="Q86" s="19">
        <f>tbl_raw[[#This Row],[Gross_Profit]]-(tbl_raw[[#This Row],[Shipping_Cost]]*tbl_raw[[#This Row],[Units_Sold]])</f>
        <v>2776</v>
      </c>
      <c r="R86" s="20">
        <f>IFERROR(tbl_raw[[#This Row],[Net_Profit]]/(tbl_raw[[#This Row],[Selling_Price]]*tbl_raw[[#This Row],[Units_Sold]]),0)</f>
        <v>0.46143617021276595</v>
      </c>
      <c r="S86" s="18" t="s">
        <v>31</v>
      </c>
      <c r="T86" s="18" t="s">
        <v>32</v>
      </c>
      <c r="U86" s="18">
        <f>IF(tbl_raw[[#This Row],[Order_Status]]="Returned",1,0)</f>
        <v>0</v>
      </c>
      <c r="V86" s="18">
        <f>IF(tbl_raw[[#This Row],[Payment_Method]]="COD",1,0)</f>
        <v>0</v>
      </c>
      <c r="W86" s="21">
        <f>MIN(1,(tbl_raw[[#This Row],[Discount_Pct]]*1.4)+(tbl_raw[[#This Row],[COD_Flag]]*0.35))</f>
        <v>0.126</v>
      </c>
    </row>
    <row r="87" spans="1:23" ht="22.8" x14ac:dyDescent="0.3">
      <c r="A87" s="22" t="s">
        <v>340</v>
      </c>
      <c r="B87" s="23" t="s">
        <v>341</v>
      </c>
      <c r="C87" s="23" t="s">
        <v>25</v>
      </c>
      <c r="D87" s="23" t="s">
        <v>26</v>
      </c>
      <c r="E87" s="23" t="s">
        <v>125</v>
      </c>
      <c r="F87" s="23" t="s">
        <v>342</v>
      </c>
      <c r="G87" s="23" t="s">
        <v>56</v>
      </c>
      <c r="H87" s="23" t="s">
        <v>57</v>
      </c>
      <c r="I87" s="23">
        <v>8</v>
      </c>
      <c r="J87" s="24">
        <v>7913</v>
      </c>
      <c r="K87" s="24">
        <v>5143</v>
      </c>
      <c r="L87" s="25">
        <v>0.35</v>
      </c>
      <c r="M87" s="24">
        <v>3734</v>
      </c>
      <c r="N87" s="24">
        <f>(tbl_raw[[#This Row],[Selling_Price]]-tbl_raw[[#This Row],[Cost_Price]])*tbl_raw[[#This Row],[Units_Sold]]</f>
        <v>11272</v>
      </c>
      <c r="O87" s="25">
        <f>IFERROR((tbl_raw[[#This Row],[Selling_Price]]-tbl_raw[[#This Row],[Cost_Price]]) / tbl_raw[[#This Row],[Selling_Price]],0)</f>
        <v>0.2739646120941085</v>
      </c>
      <c r="P87" s="24">
        <v>154</v>
      </c>
      <c r="Q87" s="24">
        <f>tbl_raw[[#This Row],[Gross_Profit]]-(tbl_raw[[#This Row],[Shipping_Cost]]*tbl_raw[[#This Row],[Units_Sold]])</f>
        <v>10040</v>
      </c>
      <c r="R87" s="25">
        <f>IFERROR(tbl_raw[[#This Row],[Net_Profit]]/(tbl_raw[[#This Row],[Selling_Price]]*tbl_raw[[#This Row],[Units_Sold]]),0)</f>
        <v>0.24402099941668287</v>
      </c>
      <c r="S87" s="23" t="s">
        <v>65</v>
      </c>
      <c r="T87" s="23" t="s">
        <v>32</v>
      </c>
      <c r="U87" s="23">
        <f>IF(tbl_raw[[#This Row],[Order_Status]]="Returned",1,0)</f>
        <v>0</v>
      </c>
      <c r="V87" s="23">
        <f>IF(tbl_raw[[#This Row],[Payment_Method]]="COD",1,0)</f>
        <v>0</v>
      </c>
      <c r="W87" s="26">
        <f>MIN(1,(tbl_raw[[#This Row],[Discount_Pct]]*1.4)+(tbl_raw[[#This Row],[COD_Flag]]*0.35))</f>
        <v>0.48999999999999994</v>
      </c>
    </row>
    <row r="88" spans="1:23" ht="22.8" x14ac:dyDescent="0.3">
      <c r="A88" s="17" t="s">
        <v>343</v>
      </c>
      <c r="B88" s="18" t="s">
        <v>344</v>
      </c>
      <c r="C88" s="18" t="s">
        <v>35</v>
      </c>
      <c r="D88" s="18" t="s">
        <v>164</v>
      </c>
      <c r="E88" s="18" t="s">
        <v>345</v>
      </c>
      <c r="F88" s="18" t="s">
        <v>346</v>
      </c>
      <c r="G88" s="18" t="s">
        <v>143</v>
      </c>
      <c r="H88" s="18" t="s">
        <v>30</v>
      </c>
      <c r="I88" s="18">
        <v>5</v>
      </c>
      <c r="J88" s="19">
        <v>7903</v>
      </c>
      <c r="K88" s="19">
        <v>6006</v>
      </c>
      <c r="L88" s="20">
        <v>0.24</v>
      </c>
      <c r="M88" s="19">
        <v>5370</v>
      </c>
      <c r="N88" s="19">
        <f>(tbl_raw[[#This Row],[Selling_Price]]-tbl_raw[[#This Row],[Cost_Price]])*tbl_raw[[#This Row],[Units_Sold]]</f>
        <v>3180</v>
      </c>
      <c r="O88" s="20">
        <f>IFERROR((tbl_raw[[#This Row],[Selling_Price]]-tbl_raw[[#This Row],[Cost_Price]]) / tbl_raw[[#This Row],[Selling_Price]],0)</f>
        <v>0.10589410589410589</v>
      </c>
      <c r="P88" s="19">
        <v>46</v>
      </c>
      <c r="Q88" s="19">
        <f>tbl_raw[[#This Row],[Gross_Profit]]-(tbl_raw[[#This Row],[Shipping_Cost]]*tbl_raw[[#This Row],[Units_Sold]])</f>
        <v>2950</v>
      </c>
      <c r="R88" s="20">
        <f>IFERROR(tbl_raw[[#This Row],[Net_Profit]]/(tbl_raw[[#This Row],[Selling_Price]]*tbl_raw[[#This Row],[Units_Sold]]),0)</f>
        <v>9.8235098235098239E-2</v>
      </c>
      <c r="S88" s="18" t="s">
        <v>58</v>
      </c>
      <c r="T88" s="18" t="s">
        <v>32</v>
      </c>
      <c r="U88" s="18">
        <f>IF(tbl_raw[[#This Row],[Order_Status]]="Returned",1,0)</f>
        <v>0</v>
      </c>
      <c r="V88" s="18">
        <f>IF(tbl_raw[[#This Row],[Payment_Method]]="COD",1,0)</f>
        <v>0</v>
      </c>
      <c r="W88" s="21">
        <f>MIN(1,(tbl_raw[[#This Row],[Discount_Pct]]*1.4)+(tbl_raw[[#This Row],[COD_Flag]]*0.35))</f>
        <v>0.33599999999999997</v>
      </c>
    </row>
    <row r="89" spans="1:23" ht="22.8" x14ac:dyDescent="0.3">
      <c r="A89" s="22" t="s">
        <v>347</v>
      </c>
      <c r="B89" s="23" t="s">
        <v>348</v>
      </c>
      <c r="C89" s="23" t="s">
        <v>35</v>
      </c>
      <c r="D89" s="23" t="s">
        <v>44</v>
      </c>
      <c r="E89" s="23" t="s">
        <v>45</v>
      </c>
      <c r="F89" s="23" t="s">
        <v>349</v>
      </c>
      <c r="G89" s="23" t="s">
        <v>143</v>
      </c>
      <c r="H89" s="23" t="s">
        <v>30</v>
      </c>
      <c r="I89" s="23">
        <v>2</v>
      </c>
      <c r="J89" s="24">
        <v>1189</v>
      </c>
      <c r="K89" s="24">
        <v>963</v>
      </c>
      <c r="L89" s="25">
        <v>0.19</v>
      </c>
      <c r="M89" s="24">
        <v>523</v>
      </c>
      <c r="N89" s="24">
        <f>(tbl_raw[[#This Row],[Selling_Price]]-tbl_raw[[#This Row],[Cost_Price]])*tbl_raw[[#This Row],[Units_Sold]]</f>
        <v>880</v>
      </c>
      <c r="O89" s="25">
        <f>IFERROR((tbl_raw[[#This Row],[Selling_Price]]-tbl_raw[[#This Row],[Cost_Price]]) / tbl_raw[[#This Row],[Selling_Price]],0)</f>
        <v>0.45690550363447557</v>
      </c>
      <c r="P89" s="24">
        <v>40</v>
      </c>
      <c r="Q89" s="24">
        <f>tbl_raw[[#This Row],[Gross_Profit]]-(tbl_raw[[#This Row],[Shipping_Cost]]*tbl_raw[[#This Row],[Units_Sold]])</f>
        <v>800</v>
      </c>
      <c r="R89" s="25">
        <f>IFERROR(tbl_raw[[#This Row],[Net_Profit]]/(tbl_raw[[#This Row],[Selling_Price]]*tbl_raw[[#This Row],[Units_Sold]]),0)</f>
        <v>0.4153686396677051</v>
      </c>
      <c r="S89" s="23" t="s">
        <v>31</v>
      </c>
      <c r="T89" s="23" t="s">
        <v>32</v>
      </c>
      <c r="U89" s="23">
        <f>IF(tbl_raw[[#This Row],[Order_Status]]="Returned",1,0)</f>
        <v>0</v>
      </c>
      <c r="V89" s="23">
        <f>IF(tbl_raw[[#This Row],[Payment_Method]]="COD",1,0)</f>
        <v>0</v>
      </c>
      <c r="W89" s="26">
        <f>MIN(1,(tbl_raw[[#This Row],[Discount_Pct]]*1.4)+(tbl_raw[[#This Row],[COD_Flag]]*0.35))</f>
        <v>0.26599999999999996</v>
      </c>
    </row>
    <row r="90" spans="1:23" ht="22.8" x14ac:dyDescent="0.3">
      <c r="A90" s="17" t="s">
        <v>350</v>
      </c>
      <c r="B90" s="18" t="s">
        <v>351</v>
      </c>
      <c r="C90" s="18" t="s">
        <v>72</v>
      </c>
      <c r="D90" s="18" t="s">
        <v>94</v>
      </c>
      <c r="E90" s="18" t="s">
        <v>137</v>
      </c>
      <c r="F90" s="18" t="s">
        <v>352</v>
      </c>
      <c r="G90" s="18" t="s">
        <v>38</v>
      </c>
      <c r="H90" s="18" t="s">
        <v>39</v>
      </c>
      <c r="I90" s="18">
        <v>10</v>
      </c>
      <c r="J90" s="19">
        <v>3773</v>
      </c>
      <c r="K90" s="19">
        <v>2151</v>
      </c>
      <c r="L90" s="20">
        <v>0.43</v>
      </c>
      <c r="M90" s="19">
        <v>1590</v>
      </c>
      <c r="N90" s="19">
        <f>(tbl_raw[[#This Row],[Selling_Price]]-tbl_raw[[#This Row],[Cost_Price]])*tbl_raw[[#This Row],[Units_Sold]]</f>
        <v>5610</v>
      </c>
      <c r="O90" s="20">
        <f>IFERROR((tbl_raw[[#This Row],[Selling_Price]]-tbl_raw[[#This Row],[Cost_Price]]) / tbl_raw[[#This Row],[Selling_Price]],0)</f>
        <v>0.26080892608089262</v>
      </c>
      <c r="P90" s="19">
        <v>102</v>
      </c>
      <c r="Q90" s="19">
        <f>tbl_raw[[#This Row],[Gross_Profit]]-(tbl_raw[[#This Row],[Shipping_Cost]]*tbl_raw[[#This Row],[Units_Sold]])</f>
        <v>4590</v>
      </c>
      <c r="R90" s="20">
        <f>IFERROR(tbl_raw[[#This Row],[Net_Profit]]/(tbl_raw[[#This Row],[Selling_Price]]*tbl_raw[[#This Row],[Units_Sold]]),0)</f>
        <v>0.21338912133891214</v>
      </c>
      <c r="S90" s="18" t="s">
        <v>31</v>
      </c>
      <c r="T90" s="18" t="s">
        <v>32</v>
      </c>
      <c r="U90" s="18">
        <f>IF(tbl_raw[[#This Row],[Order_Status]]="Returned",1,0)</f>
        <v>0</v>
      </c>
      <c r="V90" s="18">
        <f>IF(tbl_raw[[#This Row],[Payment_Method]]="COD",1,0)</f>
        <v>0</v>
      </c>
      <c r="W90" s="21">
        <f>MIN(1,(tbl_raw[[#This Row],[Discount_Pct]]*1.4)+(tbl_raw[[#This Row],[COD_Flag]]*0.35))</f>
        <v>0.60199999999999998</v>
      </c>
    </row>
    <row r="91" spans="1:23" ht="22.8" x14ac:dyDescent="0.3">
      <c r="A91" s="22" t="s">
        <v>353</v>
      </c>
      <c r="B91" s="23" t="s">
        <v>155</v>
      </c>
      <c r="C91" s="23" t="s">
        <v>156</v>
      </c>
      <c r="D91" s="23" t="s">
        <v>175</v>
      </c>
      <c r="E91" s="23" t="s">
        <v>354</v>
      </c>
      <c r="F91" s="23" t="s">
        <v>355</v>
      </c>
      <c r="G91" s="23" t="s">
        <v>102</v>
      </c>
      <c r="H91" s="23" t="s">
        <v>39</v>
      </c>
      <c r="I91" s="23">
        <v>5</v>
      </c>
      <c r="J91" s="24">
        <v>712</v>
      </c>
      <c r="K91" s="24">
        <v>627</v>
      </c>
      <c r="L91" s="25">
        <v>0.12</v>
      </c>
      <c r="M91" s="24">
        <v>443</v>
      </c>
      <c r="N91" s="24">
        <f>(tbl_raw[[#This Row],[Selling_Price]]-tbl_raw[[#This Row],[Cost_Price]])*tbl_raw[[#This Row],[Units_Sold]]</f>
        <v>920</v>
      </c>
      <c r="O91" s="25">
        <f>IFERROR((tbl_raw[[#This Row],[Selling_Price]]-tbl_raw[[#This Row],[Cost_Price]]) / tbl_raw[[#This Row],[Selling_Price]],0)</f>
        <v>0.29346092503987242</v>
      </c>
      <c r="P91" s="24">
        <v>112</v>
      </c>
      <c r="Q91" s="24">
        <f>tbl_raw[[#This Row],[Gross_Profit]]-(tbl_raw[[#This Row],[Shipping_Cost]]*tbl_raw[[#This Row],[Units_Sold]])</f>
        <v>360</v>
      </c>
      <c r="R91" s="25">
        <f>IFERROR(tbl_raw[[#This Row],[Net_Profit]]/(tbl_raw[[#This Row],[Selling_Price]]*tbl_raw[[#This Row],[Units_Sold]]),0)</f>
        <v>0.11483253588516747</v>
      </c>
      <c r="S91" s="23" t="s">
        <v>107</v>
      </c>
      <c r="T91" s="23" t="s">
        <v>32</v>
      </c>
      <c r="U91" s="23">
        <f>IF(tbl_raw[[#This Row],[Order_Status]]="Returned",1,0)</f>
        <v>0</v>
      </c>
      <c r="V91" s="23">
        <f>IF(tbl_raw[[#This Row],[Payment_Method]]="COD",1,0)</f>
        <v>0</v>
      </c>
      <c r="W91" s="26">
        <f>MIN(1,(tbl_raw[[#This Row],[Discount_Pct]]*1.4)+(tbl_raw[[#This Row],[COD_Flag]]*0.35))</f>
        <v>0.16799999999999998</v>
      </c>
    </row>
    <row r="92" spans="1:23" ht="22.8" x14ac:dyDescent="0.3">
      <c r="A92" s="17" t="s">
        <v>356</v>
      </c>
      <c r="B92" s="18" t="s">
        <v>357</v>
      </c>
      <c r="C92" s="18" t="s">
        <v>99</v>
      </c>
      <c r="D92" s="18" t="s">
        <v>78</v>
      </c>
      <c r="E92" s="18" t="s">
        <v>296</v>
      </c>
      <c r="F92" s="18" t="s">
        <v>358</v>
      </c>
      <c r="G92" s="18" t="s">
        <v>120</v>
      </c>
      <c r="H92" s="18" t="s">
        <v>39</v>
      </c>
      <c r="I92" s="18">
        <v>18</v>
      </c>
      <c r="J92" s="19">
        <v>5823</v>
      </c>
      <c r="K92" s="19">
        <v>5241</v>
      </c>
      <c r="L92" s="20">
        <v>0.1</v>
      </c>
      <c r="M92" s="19">
        <v>3249</v>
      </c>
      <c r="N92" s="19">
        <f>(tbl_raw[[#This Row],[Selling_Price]]-tbl_raw[[#This Row],[Cost_Price]])*tbl_raw[[#This Row],[Units_Sold]]</f>
        <v>35856</v>
      </c>
      <c r="O92" s="20">
        <f>IFERROR((tbl_raw[[#This Row],[Selling_Price]]-tbl_raw[[#This Row],[Cost_Price]]) / tbl_raw[[#This Row],[Selling_Price]],0)</f>
        <v>0.38008013737836288</v>
      </c>
      <c r="P92" s="19">
        <v>64</v>
      </c>
      <c r="Q92" s="19">
        <f>tbl_raw[[#This Row],[Gross_Profit]]-(tbl_raw[[#This Row],[Shipping_Cost]]*tbl_raw[[#This Row],[Units_Sold]])</f>
        <v>34704</v>
      </c>
      <c r="R92" s="20">
        <f>IFERROR(tbl_raw[[#This Row],[Net_Profit]]/(tbl_raw[[#This Row],[Selling_Price]]*tbl_raw[[#This Row],[Units_Sold]]),0)</f>
        <v>0.36786872734211029</v>
      </c>
      <c r="S92" s="18" t="s">
        <v>107</v>
      </c>
      <c r="T92" s="18" t="s">
        <v>32</v>
      </c>
      <c r="U92" s="18">
        <f>IF(tbl_raw[[#This Row],[Order_Status]]="Returned",1,0)</f>
        <v>0</v>
      </c>
      <c r="V92" s="18">
        <f>IF(tbl_raw[[#This Row],[Payment_Method]]="COD",1,0)</f>
        <v>0</v>
      </c>
      <c r="W92" s="21">
        <f>MIN(1,(tbl_raw[[#This Row],[Discount_Pct]]*1.4)+(tbl_raw[[#This Row],[COD_Flag]]*0.35))</f>
        <v>0.13999999999999999</v>
      </c>
    </row>
    <row r="93" spans="1:23" ht="22.8" x14ac:dyDescent="0.3">
      <c r="A93" s="22" t="s">
        <v>359</v>
      </c>
      <c r="B93" s="23" t="s">
        <v>360</v>
      </c>
      <c r="C93" s="23" t="s">
        <v>156</v>
      </c>
      <c r="D93" s="23" t="s">
        <v>44</v>
      </c>
      <c r="E93" s="23" t="s">
        <v>275</v>
      </c>
      <c r="F93" s="23" t="s">
        <v>361</v>
      </c>
      <c r="G93" s="23" t="s">
        <v>143</v>
      </c>
      <c r="H93" s="23" t="s">
        <v>30</v>
      </c>
      <c r="I93" s="23">
        <v>12</v>
      </c>
      <c r="J93" s="24">
        <v>7638</v>
      </c>
      <c r="K93" s="24">
        <v>5270</v>
      </c>
      <c r="L93" s="25">
        <v>0.31</v>
      </c>
      <c r="M93" s="24">
        <v>4323</v>
      </c>
      <c r="N93" s="24">
        <f>(tbl_raw[[#This Row],[Selling_Price]]-tbl_raw[[#This Row],[Cost_Price]])*tbl_raw[[#This Row],[Units_Sold]]</f>
        <v>11364</v>
      </c>
      <c r="O93" s="25">
        <f>IFERROR((tbl_raw[[#This Row],[Selling_Price]]-tbl_raw[[#This Row],[Cost_Price]]) / tbl_raw[[#This Row],[Selling_Price]],0)</f>
        <v>0.17969639468690701</v>
      </c>
      <c r="P93" s="24">
        <v>44</v>
      </c>
      <c r="Q93" s="24">
        <f>tbl_raw[[#This Row],[Gross_Profit]]-(tbl_raw[[#This Row],[Shipping_Cost]]*tbl_raw[[#This Row],[Units_Sold]])</f>
        <v>10836</v>
      </c>
      <c r="R93" s="25">
        <f>IFERROR(tbl_raw[[#This Row],[Net_Profit]]/(tbl_raw[[#This Row],[Selling_Price]]*tbl_raw[[#This Row],[Units_Sold]]),0)</f>
        <v>0.1713472485768501</v>
      </c>
      <c r="S93" s="23" t="s">
        <v>58</v>
      </c>
      <c r="T93" s="23" t="s">
        <v>32</v>
      </c>
      <c r="U93" s="23">
        <f>IF(tbl_raw[[#This Row],[Order_Status]]="Returned",1,0)</f>
        <v>0</v>
      </c>
      <c r="V93" s="23">
        <f>IF(tbl_raw[[#This Row],[Payment_Method]]="COD",1,0)</f>
        <v>0</v>
      </c>
      <c r="W93" s="26">
        <f>MIN(1,(tbl_raw[[#This Row],[Discount_Pct]]*1.4)+(tbl_raw[[#This Row],[COD_Flag]]*0.35))</f>
        <v>0.434</v>
      </c>
    </row>
    <row r="94" spans="1:23" ht="22.8" x14ac:dyDescent="0.3">
      <c r="A94" s="17" t="s">
        <v>362</v>
      </c>
      <c r="B94" s="18" t="s">
        <v>363</v>
      </c>
      <c r="C94" s="18" t="s">
        <v>156</v>
      </c>
      <c r="D94" s="18" t="s">
        <v>164</v>
      </c>
      <c r="E94" s="18" t="s">
        <v>345</v>
      </c>
      <c r="F94" s="18" t="s">
        <v>364</v>
      </c>
      <c r="G94" s="18" t="s">
        <v>102</v>
      </c>
      <c r="H94" s="18" t="s">
        <v>39</v>
      </c>
      <c r="I94" s="18">
        <v>18</v>
      </c>
      <c r="J94" s="19">
        <v>4581</v>
      </c>
      <c r="K94" s="19">
        <v>3207</v>
      </c>
      <c r="L94" s="20">
        <v>0.3</v>
      </c>
      <c r="M94" s="19">
        <v>2491</v>
      </c>
      <c r="N94" s="19">
        <f>(tbl_raw[[#This Row],[Selling_Price]]-tbl_raw[[#This Row],[Cost_Price]])*tbl_raw[[#This Row],[Units_Sold]]</f>
        <v>12888</v>
      </c>
      <c r="O94" s="20">
        <f>IFERROR((tbl_raw[[#This Row],[Selling_Price]]-tbl_raw[[#This Row],[Cost_Price]]) / tbl_raw[[#This Row],[Selling_Price]],0)</f>
        <v>0.22326161521671345</v>
      </c>
      <c r="P94" s="19">
        <v>161</v>
      </c>
      <c r="Q94" s="19">
        <f>tbl_raw[[#This Row],[Gross_Profit]]-(tbl_raw[[#This Row],[Shipping_Cost]]*tbl_raw[[#This Row],[Units_Sold]])</f>
        <v>9990</v>
      </c>
      <c r="R94" s="20">
        <f>IFERROR(tbl_raw[[#This Row],[Net_Profit]]/(tbl_raw[[#This Row],[Selling_Price]]*tbl_raw[[#This Row],[Units_Sold]]),0)</f>
        <v>0.17305893358278765</v>
      </c>
      <c r="S94" s="18" t="s">
        <v>31</v>
      </c>
      <c r="T94" s="18" t="s">
        <v>32</v>
      </c>
      <c r="U94" s="18">
        <f>IF(tbl_raw[[#This Row],[Order_Status]]="Returned",1,0)</f>
        <v>0</v>
      </c>
      <c r="V94" s="18">
        <f>IF(tbl_raw[[#This Row],[Payment_Method]]="COD",1,0)</f>
        <v>0</v>
      </c>
      <c r="W94" s="21">
        <f>MIN(1,(tbl_raw[[#This Row],[Discount_Pct]]*1.4)+(tbl_raw[[#This Row],[COD_Flag]]*0.35))</f>
        <v>0.42</v>
      </c>
    </row>
    <row r="95" spans="1:23" ht="22.8" x14ac:dyDescent="0.3">
      <c r="A95" s="22" t="s">
        <v>365</v>
      </c>
      <c r="B95" s="23" t="s">
        <v>366</v>
      </c>
      <c r="C95" s="23" t="s">
        <v>99</v>
      </c>
      <c r="D95" s="23" t="s">
        <v>53</v>
      </c>
      <c r="E95" s="23" t="s">
        <v>160</v>
      </c>
      <c r="F95" s="23" t="s">
        <v>367</v>
      </c>
      <c r="G95" s="23" t="s">
        <v>102</v>
      </c>
      <c r="H95" s="23" t="s">
        <v>39</v>
      </c>
      <c r="I95" s="23">
        <v>17</v>
      </c>
      <c r="J95" s="24">
        <v>1859</v>
      </c>
      <c r="K95" s="24">
        <v>1301</v>
      </c>
      <c r="L95" s="25">
        <v>0.3</v>
      </c>
      <c r="M95" s="24">
        <v>890</v>
      </c>
      <c r="N95" s="24">
        <f>(tbl_raw[[#This Row],[Selling_Price]]-tbl_raw[[#This Row],[Cost_Price]])*tbl_raw[[#This Row],[Units_Sold]]</f>
        <v>6987</v>
      </c>
      <c r="O95" s="25">
        <f>IFERROR((tbl_raw[[#This Row],[Selling_Price]]-tbl_raw[[#This Row],[Cost_Price]]) / tbl_raw[[#This Row],[Selling_Price]],0)</f>
        <v>0.31591083781706381</v>
      </c>
      <c r="P95" s="24">
        <v>46</v>
      </c>
      <c r="Q95" s="24">
        <f>tbl_raw[[#This Row],[Gross_Profit]]-(tbl_raw[[#This Row],[Shipping_Cost]]*tbl_raw[[#This Row],[Units_Sold]])</f>
        <v>6205</v>
      </c>
      <c r="R95" s="25">
        <f>IFERROR(tbl_raw[[#This Row],[Net_Profit]]/(tbl_raw[[#This Row],[Selling_Price]]*tbl_raw[[#This Row],[Units_Sold]]),0)</f>
        <v>0.28055342044581094</v>
      </c>
      <c r="S95" s="23" t="s">
        <v>65</v>
      </c>
      <c r="T95" s="23" t="s">
        <v>86</v>
      </c>
      <c r="U95" s="23">
        <f>IF(tbl_raw[[#This Row],[Order_Status]]="Returned",1,0)</f>
        <v>1</v>
      </c>
      <c r="V95" s="23">
        <f>IF(tbl_raw[[#This Row],[Payment_Method]]="COD",1,0)</f>
        <v>0</v>
      </c>
      <c r="W95" s="26">
        <f>MIN(1,(tbl_raw[[#This Row],[Discount_Pct]]*1.4)+(tbl_raw[[#This Row],[COD_Flag]]*0.35))</f>
        <v>0.42</v>
      </c>
    </row>
    <row r="96" spans="1:23" ht="22.8" x14ac:dyDescent="0.3">
      <c r="A96" s="17" t="s">
        <v>368</v>
      </c>
      <c r="B96" s="18" t="s">
        <v>369</v>
      </c>
      <c r="C96" s="18" t="s">
        <v>199</v>
      </c>
      <c r="D96" s="18" t="s">
        <v>78</v>
      </c>
      <c r="E96" s="18" t="s">
        <v>84</v>
      </c>
      <c r="F96" s="18" t="s">
        <v>370</v>
      </c>
      <c r="G96" s="18" t="s">
        <v>102</v>
      </c>
      <c r="H96" s="18" t="s">
        <v>39</v>
      </c>
      <c r="I96" s="18">
        <v>20</v>
      </c>
      <c r="J96" s="19">
        <v>5465</v>
      </c>
      <c r="K96" s="19">
        <v>4099</v>
      </c>
      <c r="L96" s="20">
        <v>0.25</v>
      </c>
      <c r="M96" s="19">
        <v>3351</v>
      </c>
      <c r="N96" s="19">
        <f>(tbl_raw[[#This Row],[Selling_Price]]-tbl_raw[[#This Row],[Cost_Price]])*tbl_raw[[#This Row],[Units_Sold]]</f>
        <v>14960</v>
      </c>
      <c r="O96" s="20">
        <f>IFERROR((tbl_raw[[#This Row],[Selling_Price]]-tbl_raw[[#This Row],[Cost_Price]]) / tbl_raw[[#This Row],[Selling_Price]],0)</f>
        <v>0.18248353256891925</v>
      </c>
      <c r="P96" s="19">
        <v>129</v>
      </c>
      <c r="Q96" s="19">
        <f>tbl_raw[[#This Row],[Gross_Profit]]-(tbl_raw[[#This Row],[Shipping_Cost]]*tbl_raw[[#This Row],[Units_Sold]])</f>
        <v>12380</v>
      </c>
      <c r="R96" s="20">
        <f>IFERROR(tbl_raw[[#This Row],[Net_Profit]]/(tbl_raw[[#This Row],[Selling_Price]]*tbl_raw[[#This Row],[Units_Sold]]),0)</f>
        <v>0.1510124420590388</v>
      </c>
      <c r="S96" s="18" t="s">
        <v>107</v>
      </c>
      <c r="T96" s="18" t="s">
        <v>32</v>
      </c>
      <c r="U96" s="18">
        <f>IF(tbl_raw[[#This Row],[Order_Status]]="Returned",1,0)</f>
        <v>0</v>
      </c>
      <c r="V96" s="18">
        <f>IF(tbl_raw[[#This Row],[Payment_Method]]="COD",1,0)</f>
        <v>0</v>
      </c>
      <c r="W96" s="21">
        <f>MIN(1,(tbl_raw[[#This Row],[Discount_Pct]]*1.4)+(tbl_raw[[#This Row],[COD_Flag]]*0.35))</f>
        <v>0.35</v>
      </c>
    </row>
    <row r="97" spans="1:23" ht="22.8" x14ac:dyDescent="0.3">
      <c r="A97" s="22" t="s">
        <v>371</v>
      </c>
      <c r="B97" s="23" t="s">
        <v>372</v>
      </c>
      <c r="C97" s="23" t="s">
        <v>99</v>
      </c>
      <c r="D97" s="23" t="s">
        <v>44</v>
      </c>
      <c r="E97" s="23" t="s">
        <v>45</v>
      </c>
      <c r="F97" s="23" t="s">
        <v>373</v>
      </c>
      <c r="G97" s="23" t="s">
        <v>81</v>
      </c>
      <c r="H97" s="23" t="s">
        <v>30</v>
      </c>
      <c r="I97" s="23">
        <v>19</v>
      </c>
      <c r="J97" s="24">
        <v>5327</v>
      </c>
      <c r="K97" s="24">
        <v>5167</v>
      </c>
      <c r="L97" s="25">
        <v>0.03</v>
      </c>
      <c r="M97" s="24">
        <v>3512</v>
      </c>
      <c r="N97" s="24">
        <f>(tbl_raw[[#This Row],[Selling_Price]]-tbl_raw[[#This Row],[Cost_Price]])*tbl_raw[[#This Row],[Units_Sold]]</f>
        <v>31445</v>
      </c>
      <c r="O97" s="25">
        <f>IFERROR((tbl_raw[[#This Row],[Selling_Price]]-tbl_raw[[#This Row],[Cost_Price]]) / tbl_raw[[#This Row],[Selling_Price]],0)</f>
        <v>0.32030191600541902</v>
      </c>
      <c r="P97" s="24">
        <v>176</v>
      </c>
      <c r="Q97" s="24">
        <f>tbl_raw[[#This Row],[Gross_Profit]]-(tbl_raw[[#This Row],[Shipping_Cost]]*tbl_raw[[#This Row],[Units_Sold]])</f>
        <v>28101</v>
      </c>
      <c r="R97" s="25">
        <f>IFERROR(tbl_raw[[#This Row],[Net_Profit]]/(tbl_raw[[#This Row],[Selling_Price]]*tbl_raw[[#This Row],[Units_Sold]]),0)</f>
        <v>0.28623959744532612</v>
      </c>
      <c r="S97" s="23" t="s">
        <v>58</v>
      </c>
      <c r="T97" s="23" t="s">
        <v>32</v>
      </c>
      <c r="U97" s="23">
        <f>IF(tbl_raw[[#This Row],[Order_Status]]="Returned",1,0)</f>
        <v>0</v>
      </c>
      <c r="V97" s="23">
        <f>IF(tbl_raw[[#This Row],[Payment_Method]]="COD",1,0)</f>
        <v>0</v>
      </c>
      <c r="W97" s="26">
        <f>MIN(1,(tbl_raw[[#This Row],[Discount_Pct]]*1.4)+(tbl_raw[[#This Row],[COD_Flag]]*0.35))</f>
        <v>4.1999999999999996E-2</v>
      </c>
    </row>
    <row r="98" spans="1:23" ht="22.8" x14ac:dyDescent="0.3">
      <c r="A98" s="17" t="s">
        <v>374</v>
      </c>
      <c r="B98" s="18" t="s">
        <v>375</v>
      </c>
      <c r="C98" s="18" t="s">
        <v>52</v>
      </c>
      <c r="D98" s="18" t="s">
        <v>44</v>
      </c>
      <c r="E98" s="18" t="s">
        <v>73</v>
      </c>
      <c r="F98" s="18" t="s">
        <v>376</v>
      </c>
      <c r="G98" s="18" t="s">
        <v>143</v>
      </c>
      <c r="H98" s="18" t="s">
        <v>30</v>
      </c>
      <c r="I98" s="18">
        <v>11</v>
      </c>
      <c r="J98" s="19">
        <v>6259</v>
      </c>
      <c r="K98" s="19">
        <v>4632</v>
      </c>
      <c r="L98" s="20">
        <v>0.26</v>
      </c>
      <c r="M98" s="19">
        <v>2690</v>
      </c>
      <c r="N98" s="19">
        <f>(tbl_raw[[#This Row],[Selling_Price]]-tbl_raw[[#This Row],[Cost_Price]])*tbl_raw[[#This Row],[Units_Sold]]</f>
        <v>21362</v>
      </c>
      <c r="O98" s="20">
        <f>IFERROR((tbl_raw[[#This Row],[Selling_Price]]-tbl_raw[[#This Row],[Cost_Price]]) / tbl_raw[[#This Row],[Selling_Price]],0)</f>
        <v>0.41925734024179623</v>
      </c>
      <c r="P98" s="19">
        <v>38</v>
      </c>
      <c r="Q98" s="19">
        <f>tbl_raw[[#This Row],[Gross_Profit]]-(tbl_raw[[#This Row],[Shipping_Cost]]*tbl_raw[[#This Row],[Units_Sold]])</f>
        <v>20944</v>
      </c>
      <c r="R98" s="20">
        <f>IFERROR(tbl_raw[[#This Row],[Net_Profit]]/(tbl_raw[[#This Row],[Selling_Price]]*tbl_raw[[#This Row],[Units_Sold]]),0)</f>
        <v>0.41105354058721932</v>
      </c>
      <c r="S98" s="18" t="s">
        <v>40</v>
      </c>
      <c r="T98" s="18" t="s">
        <v>32</v>
      </c>
      <c r="U98" s="18">
        <f>IF(tbl_raw[[#This Row],[Order_Status]]="Returned",1,0)</f>
        <v>0</v>
      </c>
      <c r="V98" s="18">
        <f>IF(tbl_raw[[#This Row],[Payment_Method]]="COD",1,0)</f>
        <v>1</v>
      </c>
      <c r="W98" s="21">
        <f>MIN(1,(tbl_raw[[#This Row],[Discount_Pct]]*1.4)+(tbl_raw[[#This Row],[COD_Flag]]*0.35))</f>
        <v>0.71399999999999997</v>
      </c>
    </row>
    <row r="99" spans="1:23" ht="22.8" x14ac:dyDescent="0.3">
      <c r="A99" s="22" t="s">
        <v>377</v>
      </c>
      <c r="B99" s="23" t="s">
        <v>378</v>
      </c>
      <c r="C99" s="23" t="s">
        <v>72</v>
      </c>
      <c r="D99" s="23" t="s">
        <v>62</v>
      </c>
      <c r="E99" s="23" t="s">
        <v>68</v>
      </c>
      <c r="F99" s="23" t="s">
        <v>379</v>
      </c>
      <c r="G99" s="23" t="s">
        <v>102</v>
      </c>
      <c r="H99" s="23" t="s">
        <v>39</v>
      </c>
      <c r="I99" s="23">
        <v>15</v>
      </c>
      <c r="J99" s="24">
        <v>3431</v>
      </c>
      <c r="K99" s="24">
        <v>3088</v>
      </c>
      <c r="L99" s="25">
        <v>0.1</v>
      </c>
      <c r="M99" s="24">
        <v>1988</v>
      </c>
      <c r="N99" s="24">
        <f>(tbl_raw[[#This Row],[Selling_Price]]-tbl_raw[[#This Row],[Cost_Price]])*tbl_raw[[#This Row],[Units_Sold]]</f>
        <v>16500</v>
      </c>
      <c r="O99" s="25">
        <f>IFERROR((tbl_raw[[#This Row],[Selling_Price]]-tbl_raw[[#This Row],[Cost_Price]]) / tbl_raw[[#This Row],[Selling_Price]],0)</f>
        <v>0.35621761658031087</v>
      </c>
      <c r="P99" s="24">
        <v>82</v>
      </c>
      <c r="Q99" s="24">
        <f>tbl_raw[[#This Row],[Gross_Profit]]-(tbl_raw[[#This Row],[Shipping_Cost]]*tbl_raw[[#This Row],[Units_Sold]])</f>
        <v>15270</v>
      </c>
      <c r="R99" s="25">
        <f>IFERROR(tbl_raw[[#This Row],[Net_Profit]]/(tbl_raw[[#This Row],[Selling_Price]]*tbl_raw[[#This Row],[Units_Sold]]),0)</f>
        <v>0.32966321243523317</v>
      </c>
      <c r="S99" s="23" t="s">
        <v>58</v>
      </c>
      <c r="T99" s="23" t="s">
        <v>32</v>
      </c>
      <c r="U99" s="23">
        <f>IF(tbl_raw[[#This Row],[Order_Status]]="Returned",1,0)</f>
        <v>0</v>
      </c>
      <c r="V99" s="23">
        <f>IF(tbl_raw[[#This Row],[Payment_Method]]="COD",1,0)</f>
        <v>0</v>
      </c>
      <c r="W99" s="26">
        <f>MIN(1,(tbl_raw[[#This Row],[Discount_Pct]]*1.4)+(tbl_raw[[#This Row],[COD_Flag]]*0.35))</f>
        <v>0.13999999999999999</v>
      </c>
    </row>
    <row r="100" spans="1:23" ht="22.8" x14ac:dyDescent="0.3">
      <c r="A100" s="17" t="s">
        <v>380</v>
      </c>
      <c r="B100" s="18" t="s">
        <v>381</v>
      </c>
      <c r="C100" s="18" t="s">
        <v>117</v>
      </c>
      <c r="D100" s="18" t="s">
        <v>53</v>
      </c>
      <c r="E100" s="18" t="s">
        <v>149</v>
      </c>
      <c r="F100" s="18" t="s">
        <v>382</v>
      </c>
      <c r="G100" s="18" t="s">
        <v>47</v>
      </c>
      <c r="H100" s="18" t="s">
        <v>48</v>
      </c>
      <c r="I100" s="18">
        <v>20</v>
      </c>
      <c r="J100" s="19">
        <v>627</v>
      </c>
      <c r="K100" s="19">
        <v>571</v>
      </c>
      <c r="L100" s="20">
        <v>0.09</v>
      </c>
      <c r="M100" s="19">
        <v>458</v>
      </c>
      <c r="N100" s="19">
        <f>(tbl_raw[[#This Row],[Selling_Price]]-tbl_raw[[#This Row],[Cost_Price]])*tbl_raw[[#This Row],[Units_Sold]]</f>
        <v>2260</v>
      </c>
      <c r="O100" s="20">
        <f>IFERROR((tbl_raw[[#This Row],[Selling_Price]]-tbl_raw[[#This Row],[Cost_Price]]) / tbl_raw[[#This Row],[Selling_Price]],0)</f>
        <v>0.19789842381786341</v>
      </c>
      <c r="P100" s="19">
        <v>145</v>
      </c>
      <c r="Q100" s="19">
        <f>tbl_raw[[#This Row],[Gross_Profit]]-(tbl_raw[[#This Row],[Shipping_Cost]]*tbl_raw[[#This Row],[Units_Sold]])</f>
        <v>-640</v>
      </c>
      <c r="R100" s="20">
        <f>IFERROR(tbl_raw[[#This Row],[Net_Profit]]/(tbl_raw[[#This Row],[Selling_Price]]*tbl_raw[[#This Row],[Units_Sold]]),0)</f>
        <v>-5.6042031523642732E-2</v>
      </c>
      <c r="S100" s="18" t="s">
        <v>107</v>
      </c>
      <c r="T100" s="18" t="s">
        <v>32</v>
      </c>
      <c r="U100" s="18">
        <f>IF(tbl_raw[[#This Row],[Order_Status]]="Returned",1,0)</f>
        <v>0</v>
      </c>
      <c r="V100" s="18">
        <f>IF(tbl_raw[[#This Row],[Payment_Method]]="COD",1,0)</f>
        <v>0</v>
      </c>
      <c r="W100" s="21">
        <f>MIN(1,(tbl_raw[[#This Row],[Discount_Pct]]*1.4)+(tbl_raw[[#This Row],[COD_Flag]]*0.35))</f>
        <v>0.126</v>
      </c>
    </row>
    <row r="101" spans="1:23" ht="22.8" x14ac:dyDescent="0.3">
      <c r="A101" s="22" t="s">
        <v>383</v>
      </c>
      <c r="B101" s="23" t="s">
        <v>384</v>
      </c>
      <c r="C101" s="23" t="s">
        <v>117</v>
      </c>
      <c r="D101" s="23" t="s">
        <v>78</v>
      </c>
      <c r="E101" s="23" t="s">
        <v>118</v>
      </c>
      <c r="F101" s="23" t="s">
        <v>385</v>
      </c>
      <c r="G101" s="23" t="s">
        <v>47</v>
      </c>
      <c r="H101" s="23" t="s">
        <v>48</v>
      </c>
      <c r="I101" s="23">
        <v>18</v>
      </c>
      <c r="J101" s="24">
        <v>5689</v>
      </c>
      <c r="K101" s="24">
        <v>4381</v>
      </c>
      <c r="L101" s="25">
        <v>0.23</v>
      </c>
      <c r="M101" s="24">
        <v>3935</v>
      </c>
      <c r="N101" s="24">
        <f>(tbl_raw[[#This Row],[Selling_Price]]-tbl_raw[[#This Row],[Cost_Price]])*tbl_raw[[#This Row],[Units_Sold]]</f>
        <v>8028</v>
      </c>
      <c r="O101" s="25">
        <f>IFERROR((tbl_raw[[#This Row],[Selling_Price]]-tbl_raw[[#This Row],[Cost_Price]]) / tbl_raw[[#This Row],[Selling_Price]],0)</f>
        <v>0.10180324126911663</v>
      </c>
      <c r="P101" s="24">
        <v>151</v>
      </c>
      <c r="Q101" s="24">
        <f>tbl_raw[[#This Row],[Gross_Profit]]-(tbl_raw[[#This Row],[Shipping_Cost]]*tbl_raw[[#This Row],[Units_Sold]])</f>
        <v>5310</v>
      </c>
      <c r="R101" s="25">
        <f>IFERROR(tbl_raw[[#This Row],[Net_Profit]]/(tbl_raw[[#This Row],[Selling_Price]]*tbl_raw[[#This Row],[Units_Sold]]),0)</f>
        <v>6.7336224606254283E-2</v>
      </c>
      <c r="S101" s="23" t="s">
        <v>58</v>
      </c>
      <c r="T101" s="23" t="s">
        <v>32</v>
      </c>
      <c r="U101" s="23">
        <f>IF(tbl_raw[[#This Row],[Order_Status]]="Returned",1,0)</f>
        <v>0</v>
      </c>
      <c r="V101" s="23">
        <f>IF(tbl_raw[[#This Row],[Payment_Method]]="COD",1,0)</f>
        <v>0</v>
      </c>
      <c r="W101" s="26">
        <f>MIN(1,(tbl_raw[[#This Row],[Discount_Pct]]*1.4)+(tbl_raw[[#This Row],[COD_Flag]]*0.35))</f>
        <v>0.32200000000000001</v>
      </c>
    </row>
    <row r="102" spans="1:23" ht="22.8" x14ac:dyDescent="0.3">
      <c r="A102" s="17" t="s">
        <v>386</v>
      </c>
      <c r="B102" s="18" t="s">
        <v>387</v>
      </c>
      <c r="C102" s="18" t="s">
        <v>52</v>
      </c>
      <c r="D102" s="18" t="s">
        <v>62</v>
      </c>
      <c r="E102" s="18" t="s">
        <v>110</v>
      </c>
      <c r="F102" s="18" t="s">
        <v>388</v>
      </c>
      <c r="G102" s="18" t="s">
        <v>56</v>
      </c>
      <c r="H102" s="18" t="s">
        <v>57</v>
      </c>
      <c r="I102" s="18">
        <v>19</v>
      </c>
      <c r="J102" s="19">
        <v>3548</v>
      </c>
      <c r="K102" s="19">
        <v>2909</v>
      </c>
      <c r="L102" s="20">
        <v>0.18</v>
      </c>
      <c r="M102" s="19">
        <v>2214</v>
      </c>
      <c r="N102" s="19">
        <f>(tbl_raw[[#This Row],[Selling_Price]]-tbl_raw[[#This Row],[Cost_Price]])*tbl_raw[[#This Row],[Units_Sold]]</f>
        <v>13205</v>
      </c>
      <c r="O102" s="20">
        <f>IFERROR((tbl_raw[[#This Row],[Selling_Price]]-tbl_raw[[#This Row],[Cost_Price]]) / tbl_raw[[#This Row],[Selling_Price]],0)</f>
        <v>0.23891371605362668</v>
      </c>
      <c r="P102" s="19">
        <v>73</v>
      </c>
      <c r="Q102" s="19">
        <f>tbl_raw[[#This Row],[Gross_Profit]]-(tbl_raw[[#This Row],[Shipping_Cost]]*tbl_raw[[#This Row],[Units_Sold]])</f>
        <v>11818</v>
      </c>
      <c r="R102" s="20">
        <f>IFERROR(tbl_raw[[#This Row],[Net_Profit]]/(tbl_raw[[#This Row],[Selling_Price]]*tbl_raw[[#This Row],[Units_Sold]]),0)</f>
        <v>0.2138191818494328</v>
      </c>
      <c r="S102" s="18" t="s">
        <v>31</v>
      </c>
      <c r="T102" s="18" t="s">
        <v>32</v>
      </c>
      <c r="U102" s="18">
        <f>IF(tbl_raw[[#This Row],[Order_Status]]="Returned",1,0)</f>
        <v>0</v>
      </c>
      <c r="V102" s="18">
        <f>IF(tbl_raw[[#This Row],[Payment_Method]]="COD",1,0)</f>
        <v>0</v>
      </c>
      <c r="W102" s="21">
        <f>MIN(1,(tbl_raw[[#This Row],[Discount_Pct]]*1.4)+(tbl_raw[[#This Row],[COD_Flag]]*0.35))</f>
        <v>0.252</v>
      </c>
    </row>
    <row r="103" spans="1:23" ht="22.8" x14ac:dyDescent="0.3">
      <c r="A103" s="22" t="s">
        <v>389</v>
      </c>
      <c r="B103" s="23" t="s">
        <v>390</v>
      </c>
      <c r="C103" s="23" t="s">
        <v>199</v>
      </c>
      <c r="D103" s="23" t="s">
        <v>44</v>
      </c>
      <c r="E103" s="23" t="s">
        <v>45</v>
      </c>
      <c r="F103" s="23" t="s">
        <v>391</v>
      </c>
      <c r="G103" s="23" t="s">
        <v>120</v>
      </c>
      <c r="H103" s="23" t="s">
        <v>39</v>
      </c>
      <c r="I103" s="23">
        <v>8</v>
      </c>
      <c r="J103" s="24">
        <v>3598</v>
      </c>
      <c r="K103" s="24">
        <v>2950</v>
      </c>
      <c r="L103" s="25">
        <v>0.18</v>
      </c>
      <c r="M103" s="24">
        <v>1538</v>
      </c>
      <c r="N103" s="24">
        <f>(tbl_raw[[#This Row],[Selling_Price]]-tbl_raw[[#This Row],[Cost_Price]])*tbl_raw[[#This Row],[Units_Sold]]</f>
        <v>11296</v>
      </c>
      <c r="O103" s="25">
        <f>IFERROR((tbl_raw[[#This Row],[Selling_Price]]-tbl_raw[[#This Row],[Cost_Price]]) / tbl_raw[[#This Row],[Selling_Price]],0)</f>
        <v>0.47864406779661017</v>
      </c>
      <c r="P103" s="24">
        <v>161</v>
      </c>
      <c r="Q103" s="24">
        <f>tbl_raw[[#This Row],[Gross_Profit]]-(tbl_raw[[#This Row],[Shipping_Cost]]*tbl_raw[[#This Row],[Units_Sold]])</f>
        <v>10008</v>
      </c>
      <c r="R103" s="25">
        <f>IFERROR(tbl_raw[[#This Row],[Net_Profit]]/(tbl_raw[[#This Row],[Selling_Price]]*tbl_raw[[#This Row],[Units_Sold]]),0)</f>
        <v>0.42406779661016947</v>
      </c>
      <c r="S103" s="23" t="s">
        <v>107</v>
      </c>
      <c r="T103" s="23" t="s">
        <v>86</v>
      </c>
      <c r="U103" s="23">
        <f>IF(tbl_raw[[#This Row],[Order_Status]]="Returned",1,0)</f>
        <v>1</v>
      </c>
      <c r="V103" s="23">
        <f>IF(tbl_raw[[#This Row],[Payment_Method]]="COD",1,0)</f>
        <v>0</v>
      </c>
      <c r="W103" s="26">
        <f>MIN(1,(tbl_raw[[#This Row],[Discount_Pct]]*1.4)+(tbl_raw[[#This Row],[COD_Flag]]*0.35))</f>
        <v>0.252</v>
      </c>
    </row>
    <row r="104" spans="1:23" ht="22.8" x14ac:dyDescent="0.3">
      <c r="A104" s="17" t="s">
        <v>392</v>
      </c>
      <c r="B104" s="18" t="s">
        <v>393</v>
      </c>
      <c r="C104" s="18" t="s">
        <v>72</v>
      </c>
      <c r="D104" s="18" t="s">
        <v>175</v>
      </c>
      <c r="E104" s="18" t="s">
        <v>176</v>
      </c>
      <c r="F104" s="18" t="s">
        <v>394</v>
      </c>
      <c r="G104" s="18" t="s">
        <v>29</v>
      </c>
      <c r="H104" s="18" t="s">
        <v>30</v>
      </c>
      <c r="I104" s="18">
        <v>12</v>
      </c>
      <c r="J104" s="19">
        <v>2939</v>
      </c>
      <c r="K104" s="19">
        <v>1675</v>
      </c>
      <c r="L104" s="20">
        <v>0.43</v>
      </c>
      <c r="M104" s="19">
        <v>1840</v>
      </c>
      <c r="N104" s="19">
        <f>(tbl_raw[[#This Row],[Selling_Price]]-tbl_raw[[#This Row],[Cost_Price]])*tbl_raw[[#This Row],[Units_Sold]]</f>
        <v>-1980</v>
      </c>
      <c r="O104" s="20">
        <f>IFERROR((tbl_raw[[#This Row],[Selling_Price]]-tbl_raw[[#This Row],[Cost_Price]]) / tbl_raw[[#This Row],[Selling_Price]],0)</f>
        <v>-9.8507462686567168E-2</v>
      </c>
      <c r="P104" s="19">
        <v>52</v>
      </c>
      <c r="Q104" s="19">
        <f>tbl_raw[[#This Row],[Gross_Profit]]-(tbl_raw[[#This Row],[Shipping_Cost]]*tbl_raw[[#This Row],[Units_Sold]])</f>
        <v>-2604</v>
      </c>
      <c r="R104" s="20">
        <f>IFERROR(tbl_raw[[#This Row],[Net_Profit]]/(tbl_raw[[#This Row],[Selling_Price]]*tbl_raw[[#This Row],[Units_Sold]]),0)</f>
        <v>-0.12955223880597014</v>
      </c>
      <c r="S104" s="18" t="s">
        <v>58</v>
      </c>
      <c r="T104" s="18" t="s">
        <v>32</v>
      </c>
      <c r="U104" s="18">
        <f>IF(tbl_raw[[#This Row],[Order_Status]]="Returned",1,0)</f>
        <v>0</v>
      </c>
      <c r="V104" s="18">
        <f>IF(tbl_raw[[#This Row],[Payment_Method]]="COD",1,0)</f>
        <v>0</v>
      </c>
      <c r="W104" s="21">
        <f>MIN(1,(tbl_raw[[#This Row],[Discount_Pct]]*1.4)+(tbl_raw[[#This Row],[COD_Flag]]*0.35))</f>
        <v>0.60199999999999998</v>
      </c>
    </row>
    <row r="105" spans="1:23" ht="22.8" x14ac:dyDescent="0.3">
      <c r="A105" s="22" t="s">
        <v>395</v>
      </c>
      <c r="B105" s="23" t="s">
        <v>396</v>
      </c>
      <c r="C105" s="23" t="s">
        <v>199</v>
      </c>
      <c r="D105" s="23" t="s">
        <v>175</v>
      </c>
      <c r="E105" s="23" t="s">
        <v>225</v>
      </c>
      <c r="F105" s="23" t="s">
        <v>397</v>
      </c>
      <c r="G105" s="23" t="s">
        <v>75</v>
      </c>
      <c r="H105" s="23" t="s">
        <v>48</v>
      </c>
      <c r="I105" s="23">
        <v>15</v>
      </c>
      <c r="J105" s="24">
        <v>6085</v>
      </c>
      <c r="K105" s="24">
        <v>4016</v>
      </c>
      <c r="L105" s="25">
        <v>0.34</v>
      </c>
      <c r="M105" s="24">
        <v>3390</v>
      </c>
      <c r="N105" s="24">
        <f>(tbl_raw[[#This Row],[Selling_Price]]-tbl_raw[[#This Row],[Cost_Price]])*tbl_raw[[#This Row],[Units_Sold]]</f>
        <v>9390</v>
      </c>
      <c r="O105" s="25">
        <f>IFERROR((tbl_raw[[#This Row],[Selling_Price]]-tbl_raw[[#This Row],[Cost_Price]]) / tbl_raw[[#This Row],[Selling_Price]],0)</f>
        <v>0.15587649402390438</v>
      </c>
      <c r="P105" s="24">
        <v>169</v>
      </c>
      <c r="Q105" s="24">
        <f>tbl_raw[[#This Row],[Gross_Profit]]-(tbl_raw[[#This Row],[Shipping_Cost]]*tbl_raw[[#This Row],[Units_Sold]])</f>
        <v>6855</v>
      </c>
      <c r="R105" s="25">
        <f>IFERROR(tbl_raw[[#This Row],[Net_Profit]]/(tbl_raw[[#This Row],[Selling_Price]]*tbl_raw[[#This Row],[Units_Sold]]),0)</f>
        <v>0.11379482071713147</v>
      </c>
      <c r="S105" s="23" t="s">
        <v>65</v>
      </c>
      <c r="T105" s="23" t="s">
        <v>49</v>
      </c>
      <c r="U105" s="23">
        <f>IF(tbl_raw[[#This Row],[Order_Status]]="Returned",1,0)</f>
        <v>0</v>
      </c>
      <c r="V105" s="23">
        <f>IF(tbl_raw[[#This Row],[Payment_Method]]="COD",1,0)</f>
        <v>0</v>
      </c>
      <c r="W105" s="26">
        <f>MIN(1,(tbl_raw[[#This Row],[Discount_Pct]]*1.4)+(tbl_raw[[#This Row],[COD_Flag]]*0.35))</f>
        <v>0.47599999999999998</v>
      </c>
    </row>
    <row r="106" spans="1:23" ht="22.8" x14ac:dyDescent="0.3">
      <c r="A106" s="17" t="s">
        <v>398</v>
      </c>
      <c r="B106" s="18" t="s">
        <v>399</v>
      </c>
      <c r="C106" s="18" t="s">
        <v>89</v>
      </c>
      <c r="D106" s="18" t="s">
        <v>44</v>
      </c>
      <c r="E106" s="18" t="s">
        <v>73</v>
      </c>
      <c r="F106" s="18" t="s">
        <v>400</v>
      </c>
      <c r="G106" s="18" t="s">
        <v>120</v>
      </c>
      <c r="H106" s="18" t="s">
        <v>39</v>
      </c>
      <c r="I106" s="18">
        <v>16</v>
      </c>
      <c r="J106" s="19">
        <v>3649</v>
      </c>
      <c r="K106" s="19">
        <v>3138</v>
      </c>
      <c r="L106" s="20">
        <v>0.14000000000000001</v>
      </c>
      <c r="M106" s="19">
        <v>1810</v>
      </c>
      <c r="N106" s="19">
        <f>(tbl_raw[[#This Row],[Selling_Price]]-tbl_raw[[#This Row],[Cost_Price]])*tbl_raw[[#This Row],[Units_Sold]]</f>
        <v>21248</v>
      </c>
      <c r="O106" s="20">
        <f>IFERROR((tbl_raw[[#This Row],[Selling_Price]]-tbl_raw[[#This Row],[Cost_Price]]) / tbl_raw[[#This Row],[Selling_Price]],0)</f>
        <v>0.42319949012109626</v>
      </c>
      <c r="P106" s="19">
        <v>38</v>
      </c>
      <c r="Q106" s="19">
        <f>tbl_raw[[#This Row],[Gross_Profit]]-(tbl_raw[[#This Row],[Shipping_Cost]]*tbl_raw[[#This Row],[Units_Sold]])</f>
        <v>20640</v>
      </c>
      <c r="R106" s="20">
        <f>IFERROR(tbl_raw[[#This Row],[Net_Profit]]/(tbl_raw[[#This Row],[Selling_Price]]*tbl_raw[[#This Row],[Units_Sold]]),0)</f>
        <v>0.41108986615678778</v>
      </c>
      <c r="S106" s="18" t="s">
        <v>65</v>
      </c>
      <c r="T106" s="18" t="s">
        <v>32</v>
      </c>
      <c r="U106" s="18">
        <f>IF(tbl_raw[[#This Row],[Order_Status]]="Returned",1,0)</f>
        <v>0</v>
      </c>
      <c r="V106" s="18">
        <f>IF(tbl_raw[[#This Row],[Payment_Method]]="COD",1,0)</f>
        <v>0</v>
      </c>
      <c r="W106" s="21">
        <f>MIN(1,(tbl_raw[[#This Row],[Discount_Pct]]*1.4)+(tbl_raw[[#This Row],[COD_Flag]]*0.35))</f>
        <v>0.19600000000000001</v>
      </c>
    </row>
    <row r="107" spans="1:23" ht="22.8" x14ac:dyDescent="0.3">
      <c r="A107" s="22" t="s">
        <v>401</v>
      </c>
      <c r="B107" s="23" t="s">
        <v>402</v>
      </c>
      <c r="C107" s="23" t="s">
        <v>132</v>
      </c>
      <c r="D107" s="23" t="s">
        <v>44</v>
      </c>
      <c r="E107" s="23" t="s">
        <v>279</v>
      </c>
      <c r="F107" s="23" t="s">
        <v>403</v>
      </c>
      <c r="G107" s="23" t="s">
        <v>120</v>
      </c>
      <c r="H107" s="23" t="s">
        <v>39</v>
      </c>
      <c r="I107" s="23">
        <v>20</v>
      </c>
      <c r="J107" s="24">
        <v>4834</v>
      </c>
      <c r="K107" s="24">
        <v>4012</v>
      </c>
      <c r="L107" s="25">
        <v>0.17</v>
      </c>
      <c r="M107" s="24">
        <v>2915</v>
      </c>
      <c r="N107" s="24">
        <f>(tbl_raw[[#This Row],[Selling_Price]]-tbl_raw[[#This Row],[Cost_Price]])*tbl_raw[[#This Row],[Units_Sold]]</f>
        <v>21940</v>
      </c>
      <c r="O107" s="25">
        <f>IFERROR((tbl_raw[[#This Row],[Selling_Price]]-tbl_raw[[#This Row],[Cost_Price]]) / tbl_raw[[#This Row],[Selling_Price]],0)</f>
        <v>0.27342971086739781</v>
      </c>
      <c r="P107" s="24">
        <v>173</v>
      </c>
      <c r="Q107" s="24">
        <f>tbl_raw[[#This Row],[Gross_Profit]]-(tbl_raw[[#This Row],[Shipping_Cost]]*tbl_raw[[#This Row],[Units_Sold]])</f>
        <v>18480</v>
      </c>
      <c r="R107" s="25">
        <f>IFERROR(tbl_raw[[#This Row],[Net_Profit]]/(tbl_raw[[#This Row],[Selling_Price]]*tbl_raw[[#This Row],[Units_Sold]]),0)</f>
        <v>0.23030907278165502</v>
      </c>
      <c r="S107" s="23" t="s">
        <v>58</v>
      </c>
      <c r="T107" s="23" t="s">
        <v>86</v>
      </c>
      <c r="U107" s="23">
        <f>IF(tbl_raw[[#This Row],[Order_Status]]="Returned",1,0)</f>
        <v>1</v>
      </c>
      <c r="V107" s="23">
        <f>IF(tbl_raw[[#This Row],[Payment_Method]]="COD",1,0)</f>
        <v>0</v>
      </c>
      <c r="W107" s="26">
        <f>MIN(1,(tbl_raw[[#This Row],[Discount_Pct]]*1.4)+(tbl_raw[[#This Row],[COD_Flag]]*0.35))</f>
        <v>0.23799999999999999</v>
      </c>
    </row>
    <row r="108" spans="1:23" ht="22.8" x14ac:dyDescent="0.3">
      <c r="A108" s="17" t="s">
        <v>404</v>
      </c>
      <c r="B108" s="18" t="s">
        <v>405</v>
      </c>
      <c r="C108" s="18" t="s">
        <v>25</v>
      </c>
      <c r="D108" s="18" t="s">
        <v>44</v>
      </c>
      <c r="E108" s="18" t="s">
        <v>338</v>
      </c>
      <c r="F108" s="18" t="s">
        <v>406</v>
      </c>
      <c r="G108" s="18" t="s">
        <v>38</v>
      </c>
      <c r="H108" s="18" t="s">
        <v>39</v>
      </c>
      <c r="I108" s="18">
        <v>5</v>
      </c>
      <c r="J108" s="19">
        <v>7670</v>
      </c>
      <c r="K108" s="19">
        <v>6136</v>
      </c>
      <c r="L108" s="20">
        <v>0.2</v>
      </c>
      <c r="M108" s="19">
        <v>5245</v>
      </c>
      <c r="N108" s="19">
        <f>(tbl_raw[[#This Row],[Selling_Price]]-tbl_raw[[#This Row],[Cost_Price]])*tbl_raw[[#This Row],[Units_Sold]]</f>
        <v>4455</v>
      </c>
      <c r="O108" s="20">
        <f>IFERROR((tbl_raw[[#This Row],[Selling_Price]]-tbl_raw[[#This Row],[Cost_Price]]) / tbl_raw[[#This Row],[Selling_Price]],0)</f>
        <v>0.14520860495436766</v>
      </c>
      <c r="P108" s="19">
        <v>156</v>
      </c>
      <c r="Q108" s="19">
        <f>tbl_raw[[#This Row],[Gross_Profit]]-(tbl_raw[[#This Row],[Shipping_Cost]]*tbl_raw[[#This Row],[Units_Sold]])</f>
        <v>3675</v>
      </c>
      <c r="R108" s="20">
        <f>IFERROR(tbl_raw[[#This Row],[Net_Profit]]/(tbl_raw[[#This Row],[Selling_Price]]*tbl_raw[[#This Row],[Units_Sold]]),0)</f>
        <v>0.11978487614080835</v>
      </c>
      <c r="S108" s="18" t="s">
        <v>58</v>
      </c>
      <c r="T108" s="18" t="s">
        <v>32</v>
      </c>
      <c r="U108" s="18">
        <f>IF(tbl_raw[[#This Row],[Order_Status]]="Returned",1,0)</f>
        <v>0</v>
      </c>
      <c r="V108" s="18">
        <f>IF(tbl_raw[[#This Row],[Payment_Method]]="COD",1,0)</f>
        <v>0</v>
      </c>
      <c r="W108" s="21">
        <f>MIN(1,(tbl_raw[[#This Row],[Discount_Pct]]*1.4)+(tbl_raw[[#This Row],[COD_Flag]]*0.35))</f>
        <v>0.27999999999999997</v>
      </c>
    </row>
    <row r="109" spans="1:23" ht="22.8" x14ac:dyDescent="0.3">
      <c r="A109" s="22" t="s">
        <v>407</v>
      </c>
      <c r="B109" s="23" t="s">
        <v>408</v>
      </c>
      <c r="C109" s="23" t="s">
        <v>35</v>
      </c>
      <c r="D109" s="23" t="s">
        <v>62</v>
      </c>
      <c r="E109" s="23" t="s">
        <v>68</v>
      </c>
      <c r="F109" s="23" t="s">
        <v>409</v>
      </c>
      <c r="G109" s="23" t="s">
        <v>38</v>
      </c>
      <c r="H109" s="23" t="s">
        <v>39</v>
      </c>
      <c r="I109" s="23">
        <v>20</v>
      </c>
      <c r="J109" s="24">
        <v>1438</v>
      </c>
      <c r="K109" s="24">
        <v>1194</v>
      </c>
      <c r="L109" s="25">
        <v>0.17</v>
      </c>
      <c r="M109" s="24">
        <v>718</v>
      </c>
      <c r="N109" s="24">
        <f>(tbl_raw[[#This Row],[Selling_Price]]-tbl_raw[[#This Row],[Cost_Price]])*tbl_raw[[#This Row],[Units_Sold]]</f>
        <v>9520</v>
      </c>
      <c r="O109" s="25">
        <f>IFERROR((tbl_raw[[#This Row],[Selling_Price]]-tbl_raw[[#This Row],[Cost_Price]]) / tbl_raw[[#This Row],[Selling_Price]],0)</f>
        <v>0.39865996649916247</v>
      </c>
      <c r="P109" s="24">
        <v>91</v>
      </c>
      <c r="Q109" s="24">
        <f>tbl_raw[[#This Row],[Gross_Profit]]-(tbl_raw[[#This Row],[Shipping_Cost]]*tbl_raw[[#This Row],[Units_Sold]])</f>
        <v>7700</v>
      </c>
      <c r="R109" s="25">
        <f>IFERROR(tbl_raw[[#This Row],[Net_Profit]]/(tbl_raw[[#This Row],[Selling_Price]]*tbl_raw[[#This Row],[Units_Sold]]),0)</f>
        <v>0.3224455611390285</v>
      </c>
      <c r="S109" s="23" t="s">
        <v>107</v>
      </c>
      <c r="T109" s="23" t="s">
        <v>32</v>
      </c>
      <c r="U109" s="23">
        <f>IF(tbl_raw[[#This Row],[Order_Status]]="Returned",1,0)</f>
        <v>0</v>
      </c>
      <c r="V109" s="23">
        <f>IF(tbl_raw[[#This Row],[Payment_Method]]="COD",1,0)</f>
        <v>0</v>
      </c>
      <c r="W109" s="26">
        <f>MIN(1,(tbl_raw[[#This Row],[Discount_Pct]]*1.4)+(tbl_raw[[#This Row],[COD_Flag]]*0.35))</f>
        <v>0.23799999999999999</v>
      </c>
    </row>
    <row r="110" spans="1:23" ht="22.8" x14ac:dyDescent="0.3">
      <c r="A110" s="17" t="s">
        <v>410</v>
      </c>
      <c r="B110" s="18" t="s">
        <v>152</v>
      </c>
      <c r="C110" s="18" t="s">
        <v>25</v>
      </c>
      <c r="D110" s="18" t="s">
        <v>44</v>
      </c>
      <c r="E110" s="18" t="s">
        <v>45</v>
      </c>
      <c r="F110" s="18" t="s">
        <v>411</v>
      </c>
      <c r="G110" s="18" t="s">
        <v>120</v>
      </c>
      <c r="H110" s="18" t="s">
        <v>39</v>
      </c>
      <c r="I110" s="18">
        <v>18</v>
      </c>
      <c r="J110" s="19">
        <v>5491</v>
      </c>
      <c r="K110" s="19">
        <v>4777</v>
      </c>
      <c r="L110" s="20">
        <v>0.13</v>
      </c>
      <c r="M110" s="19">
        <v>3587</v>
      </c>
      <c r="N110" s="19">
        <f>(tbl_raw[[#This Row],[Selling_Price]]-tbl_raw[[#This Row],[Cost_Price]])*tbl_raw[[#This Row],[Units_Sold]]</f>
        <v>21420</v>
      </c>
      <c r="O110" s="20">
        <f>IFERROR((tbl_raw[[#This Row],[Selling_Price]]-tbl_raw[[#This Row],[Cost_Price]]) / tbl_raw[[#This Row],[Selling_Price]],0)</f>
        <v>0.24911032028469751</v>
      </c>
      <c r="P110" s="19">
        <v>128</v>
      </c>
      <c r="Q110" s="19">
        <f>tbl_raw[[#This Row],[Gross_Profit]]-(tbl_raw[[#This Row],[Shipping_Cost]]*tbl_raw[[#This Row],[Units_Sold]])</f>
        <v>19116</v>
      </c>
      <c r="R110" s="20">
        <f>IFERROR(tbl_raw[[#This Row],[Net_Profit]]/(tbl_raw[[#This Row],[Selling_Price]]*tbl_raw[[#This Row],[Units_Sold]]),0)</f>
        <v>0.22231526062382248</v>
      </c>
      <c r="S110" s="18" t="s">
        <v>65</v>
      </c>
      <c r="T110" s="18" t="s">
        <v>32</v>
      </c>
      <c r="U110" s="18">
        <f>IF(tbl_raw[[#This Row],[Order_Status]]="Returned",1,0)</f>
        <v>0</v>
      </c>
      <c r="V110" s="18">
        <f>IF(tbl_raw[[#This Row],[Payment_Method]]="COD",1,0)</f>
        <v>0</v>
      </c>
      <c r="W110" s="21">
        <f>MIN(1,(tbl_raw[[#This Row],[Discount_Pct]]*1.4)+(tbl_raw[[#This Row],[COD_Flag]]*0.35))</f>
        <v>0.182</v>
      </c>
    </row>
    <row r="111" spans="1:23" ht="22.8" x14ac:dyDescent="0.3">
      <c r="A111" s="22" t="s">
        <v>412</v>
      </c>
      <c r="B111" s="23" t="s">
        <v>236</v>
      </c>
      <c r="C111" s="23" t="s">
        <v>199</v>
      </c>
      <c r="D111" s="23" t="s">
        <v>164</v>
      </c>
      <c r="E111" s="23" t="s">
        <v>413</v>
      </c>
      <c r="F111" s="23" t="s">
        <v>414</v>
      </c>
      <c r="G111" s="23" t="s">
        <v>47</v>
      </c>
      <c r="H111" s="23" t="s">
        <v>48</v>
      </c>
      <c r="I111" s="23">
        <v>5</v>
      </c>
      <c r="J111" s="24">
        <v>4841</v>
      </c>
      <c r="K111" s="24">
        <v>2808</v>
      </c>
      <c r="L111" s="25">
        <v>0.42</v>
      </c>
      <c r="M111" s="24">
        <v>2461</v>
      </c>
      <c r="N111" s="24">
        <f>(tbl_raw[[#This Row],[Selling_Price]]-tbl_raw[[#This Row],[Cost_Price]])*tbl_raw[[#This Row],[Units_Sold]]</f>
        <v>1735</v>
      </c>
      <c r="O111" s="25">
        <f>IFERROR((tbl_raw[[#This Row],[Selling_Price]]-tbl_raw[[#This Row],[Cost_Price]]) / tbl_raw[[#This Row],[Selling_Price]],0)</f>
        <v>0.12357549857549857</v>
      </c>
      <c r="P111" s="24">
        <v>87</v>
      </c>
      <c r="Q111" s="24">
        <f>tbl_raw[[#This Row],[Gross_Profit]]-(tbl_raw[[#This Row],[Shipping_Cost]]*tbl_raw[[#This Row],[Units_Sold]])</f>
        <v>1300</v>
      </c>
      <c r="R111" s="25">
        <f>IFERROR(tbl_raw[[#This Row],[Net_Profit]]/(tbl_raw[[#This Row],[Selling_Price]]*tbl_raw[[#This Row],[Units_Sold]]),0)</f>
        <v>9.2592592592592587E-2</v>
      </c>
      <c r="S111" s="23" t="s">
        <v>107</v>
      </c>
      <c r="T111" s="23" t="s">
        <v>32</v>
      </c>
      <c r="U111" s="23">
        <f>IF(tbl_raw[[#This Row],[Order_Status]]="Returned",1,0)</f>
        <v>0</v>
      </c>
      <c r="V111" s="23">
        <f>IF(tbl_raw[[#This Row],[Payment_Method]]="COD",1,0)</f>
        <v>0</v>
      </c>
      <c r="W111" s="26">
        <f>MIN(1,(tbl_raw[[#This Row],[Discount_Pct]]*1.4)+(tbl_raw[[#This Row],[COD_Flag]]*0.35))</f>
        <v>0.58799999999999997</v>
      </c>
    </row>
    <row r="112" spans="1:23" ht="22.8" x14ac:dyDescent="0.3">
      <c r="A112" s="17" t="s">
        <v>415</v>
      </c>
      <c r="B112" s="18" t="s">
        <v>416</v>
      </c>
      <c r="C112" s="18" t="s">
        <v>156</v>
      </c>
      <c r="D112" s="18" t="s">
        <v>175</v>
      </c>
      <c r="E112" s="18" t="s">
        <v>149</v>
      </c>
      <c r="F112" s="18" t="s">
        <v>417</v>
      </c>
      <c r="G112" s="18" t="s">
        <v>56</v>
      </c>
      <c r="H112" s="18" t="s">
        <v>57</v>
      </c>
      <c r="I112" s="18">
        <v>1</v>
      </c>
      <c r="J112" s="19">
        <v>3028</v>
      </c>
      <c r="K112" s="19">
        <v>2786</v>
      </c>
      <c r="L112" s="20">
        <v>0.08</v>
      </c>
      <c r="M112" s="19">
        <v>1438</v>
      </c>
      <c r="N112" s="19">
        <f>(tbl_raw[[#This Row],[Selling_Price]]-tbl_raw[[#This Row],[Cost_Price]])*tbl_raw[[#This Row],[Units_Sold]]</f>
        <v>1348</v>
      </c>
      <c r="O112" s="20">
        <f>IFERROR((tbl_raw[[#This Row],[Selling_Price]]-tbl_raw[[#This Row],[Cost_Price]]) / tbl_raw[[#This Row],[Selling_Price]],0)</f>
        <v>0.4838478104809763</v>
      </c>
      <c r="P112" s="19">
        <v>172</v>
      </c>
      <c r="Q112" s="19">
        <f>tbl_raw[[#This Row],[Gross_Profit]]-(tbl_raw[[#This Row],[Shipping_Cost]]*tbl_raw[[#This Row],[Units_Sold]])</f>
        <v>1176</v>
      </c>
      <c r="R112" s="20">
        <f>IFERROR(tbl_raw[[#This Row],[Net_Profit]]/(tbl_raw[[#This Row],[Selling_Price]]*tbl_raw[[#This Row],[Units_Sold]]),0)</f>
        <v>0.42211055276381909</v>
      </c>
      <c r="S112" s="18" t="s">
        <v>31</v>
      </c>
      <c r="T112" s="18" t="s">
        <v>49</v>
      </c>
      <c r="U112" s="18">
        <f>IF(tbl_raw[[#This Row],[Order_Status]]="Returned",1,0)</f>
        <v>0</v>
      </c>
      <c r="V112" s="18">
        <f>IF(tbl_raw[[#This Row],[Payment_Method]]="COD",1,0)</f>
        <v>0</v>
      </c>
      <c r="W112" s="21">
        <f>MIN(1,(tbl_raw[[#This Row],[Discount_Pct]]*1.4)+(tbl_raw[[#This Row],[COD_Flag]]*0.35))</f>
        <v>0.11199999999999999</v>
      </c>
    </row>
    <row r="113" spans="1:23" ht="22.8" x14ac:dyDescent="0.3">
      <c r="A113" s="22" t="s">
        <v>418</v>
      </c>
      <c r="B113" s="23" t="s">
        <v>313</v>
      </c>
      <c r="C113" s="23" t="s">
        <v>43</v>
      </c>
      <c r="D113" s="23" t="s">
        <v>53</v>
      </c>
      <c r="E113" s="23" t="s">
        <v>149</v>
      </c>
      <c r="F113" s="23" t="s">
        <v>419</v>
      </c>
      <c r="G113" s="23" t="s">
        <v>38</v>
      </c>
      <c r="H113" s="23" t="s">
        <v>39</v>
      </c>
      <c r="I113" s="23">
        <v>17</v>
      </c>
      <c r="J113" s="24">
        <v>494</v>
      </c>
      <c r="K113" s="24">
        <v>420</v>
      </c>
      <c r="L113" s="25">
        <v>0.15</v>
      </c>
      <c r="M113" s="24">
        <v>330</v>
      </c>
      <c r="N113" s="24">
        <f>(tbl_raw[[#This Row],[Selling_Price]]-tbl_raw[[#This Row],[Cost_Price]])*tbl_raw[[#This Row],[Units_Sold]]</f>
        <v>1530</v>
      </c>
      <c r="O113" s="25">
        <f>IFERROR((tbl_raw[[#This Row],[Selling_Price]]-tbl_raw[[#This Row],[Cost_Price]]) / tbl_raw[[#This Row],[Selling_Price]],0)</f>
        <v>0.21428571428571427</v>
      </c>
      <c r="P113" s="24">
        <v>50</v>
      </c>
      <c r="Q113" s="24">
        <f>tbl_raw[[#This Row],[Gross_Profit]]-(tbl_raw[[#This Row],[Shipping_Cost]]*tbl_raw[[#This Row],[Units_Sold]])</f>
        <v>680</v>
      </c>
      <c r="R113" s="25">
        <f>IFERROR(tbl_raw[[#This Row],[Net_Profit]]/(tbl_raw[[#This Row],[Selling_Price]]*tbl_raw[[#This Row],[Units_Sold]]),0)</f>
        <v>9.5238095238095233E-2</v>
      </c>
      <c r="S113" s="23" t="s">
        <v>31</v>
      </c>
      <c r="T113" s="23" t="s">
        <v>32</v>
      </c>
      <c r="U113" s="23">
        <f>IF(tbl_raw[[#This Row],[Order_Status]]="Returned",1,0)</f>
        <v>0</v>
      </c>
      <c r="V113" s="23">
        <f>IF(tbl_raw[[#This Row],[Payment_Method]]="COD",1,0)</f>
        <v>0</v>
      </c>
      <c r="W113" s="26">
        <f>MIN(1,(tbl_raw[[#This Row],[Discount_Pct]]*1.4)+(tbl_raw[[#This Row],[COD_Flag]]*0.35))</f>
        <v>0.21</v>
      </c>
    </row>
    <row r="114" spans="1:23" ht="22.8" x14ac:dyDescent="0.3">
      <c r="A114" s="17" t="s">
        <v>420</v>
      </c>
      <c r="B114" s="18" t="s">
        <v>421</v>
      </c>
      <c r="C114" s="18" t="s">
        <v>156</v>
      </c>
      <c r="D114" s="18" t="s">
        <v>164</v>
      </c>
      <c r="E114" s="18" t="s">
        <v>251</v>
      </c>
      <c r="F114" s="18" t="s">
        <v>422</v>
      </c>
      <c r="G114" s="18" t="s">
        <v>47</v>
      </c>
      <c r="H114" s="18" t="s">
        <v>48</v>
      </c>
      <c r="I114" s="18">
        <v>12</v>
      </c>
      <c r="J114" s="19">
        <v>5476</v>
      </c>
      <c r="K114" s="19">
        <v>4874</v>
      </c>
      <c r="L114" s="20">
        <v>0.11</v>
      </c>
      <c r="M114" s="19">
        <v>3042</v>
      </c>
      <c r="N114" s="19">
        <f>(tbl_raw[[#This Row],[Selling_Price]]-tbl_raw[[#This Row],[Cost_Price]])*tbl_raw[[#This Row],[Units_Sold]]</f>
        <v>21984</v>
      </c>
      <c r="O114" s="20">
        <f>IFERROR((tbl_raw[[#This Row],[Selling_Price]]-tbl_raw[[#This Row],[Cost_Price]]) / tbl_raw[[#This Row],[Selling_Price]],0)</f>
        <v>0.37587197373820269</v>
      </c>
      <c r="P114" s="19">
        <v>73</v>
      </c>
      <c r="Q114" s="19">
        <f>tbl_raw[[#This Row],[Gross_Profit]]-(tbl_raw[[#This Row],[Shipping_Cost]]*tbl_raw[[#This Row],[Units_Sold]])</f>
        <v>21108</v>
      </c>
      <c r="R114" s="20">
        <f>IFERROR(tbl_raw[[#This Row],[Net_Profit]]/(tbl_raw[[#This Row],[Selling_Price]]*tbl_raw[[#This Row],[Units_Sold]]),0)</f>
        <v>0.36089454247025032</v>
      </c>
      <c r="S114" s="18" t="s">
        <v>31</v>
      </c>
      <c r="T114" s="18" t="s">
        <v>32</v>
      </c>
      <c r="U114" s="18">
        <f>IF(tbl_raw[[#This Row],[Order_Status]]="Returned",1,0)</f>
        <v>0</v>
      </c>
      <c r="V114" s="18">
        <f>IF(tbl_raw[[#This Row],[Payment_Method]]="COD",1,0)</f>
        <v>0</v>
      </c>
      <c r="W114" s="21">
        <f>MIN(1,(tbl_raw[[#This Row],[Discount_Pct]]*1.4)+(tbl_raw[[#This Row],[COD_Flag]]*0.35))</f>
        <v>0.154</v>
      </c>
    </row>
    <row r="115" spans="1:23" ht="22.8" x14ac:dyDescent="0.3">
      <c r="A115" s="22" t="s">
        <v>423</v>
      </c>
      <c r="B115" s="23" t="s">
        <v>424</v>
      </c>
      <c r="C115" s="23" t="s">
        <v>117</v>
      </c>
      <c r="D115" s="23" t="s">
        <v>94</v>
      </c>
      <c r="E115" s="23" t="s">
        <v>180</v>
      </c>
      <c r="F115" s="23" t="s">
        <v>425</v>
      </c>
      <c r="G115" s="23" t="s">
        <v>102</v>
      </c>
      <c r="H115" s="23" t="s">
        <v>39</v>
      </c>
      <c r="I115" s="23">
        <v>15</v>
      </c>
      <c r="J115" s="24">
        <v>3801</v>
      </c>
      <c r="K115" s="24">
        <v>3307</v>
      </c>
      <c r="L115" s="25">
        <v>0.13</v>
      </c>
      <c r="M115" s="24">
        <v>2028</v>
      </c>
      <c r="N115" s="24">
        <f>(tbl_raw[[#This Row],[Selling_Price]]-tbl_raw[[#This Row],[Cost_Price]])*tbl_raw[[#This Row],[Units_Sold]]</f>
        <v>19185</v>
      </c>
      <c r="O115" s="25">
        <f>IFERROR((tbl_raw[[#This Row],[Selling_Price]]-tbl_raw[[#This Row],[Cost_Price]]) / tbl_raw[[#This Row],[Selling_Price]],0)</f>
        <v>0.38675536740247957</v>
      </c>
      <c r="P115" s="24">
        <v>109</v>
      </c>
      <c r="Q115" s="24">
        <f>tbl_raw[[#This Row],[Gross_Profit]]-(tbl_raw[[#This Row],[Shipping_Cost]]*tbl_raw[[#This Row],[Units_Sold]])</f>
        <v>17550</v>
      </c>
      <c r="R115" s="25">
        <f>IFERROR(tbl_raw[[#This Row],[Net_Profit]]/(tbl_raw[[#This Row],[Selling_Price]]*tbl_raw[[#This Row],[Units_Sold]]),0)</f>
        <v>0.35379498034472329</v>
      </c>
      <c r="S115" s="23" t="s">
        <v>40</v>
      </c>
      <c r="T115" s="23" t="s">
        <v>59</v>
      </c>
      <c r="U115" s="23">
        <f>IF(tbl_raw[[#This Row],[Order_Status]]="Returned",1,0)</f>
        <v>0</v>
      </c>
      <c r="V115" s="23">
        <f>IF(tbl_raw[[#This Row],[Payment_Method]]="COD",1,0)</f>
        <v>1</v>
      </c>
      <c r="W115" s="26">
        <f>MIN(1,(tbl_raw[[#This Row],[Discount_Pct]]*1.4)+(tbl_raw[[#This Row],[COD_Flag]]*0.35))</f>
        <v>0.53200000000000003</v>
      </c>
    </row>
    <row r="116" spans="1:23" ht="22.8" x14ac:dyDescent="0.3">
      <c r="A116" s="17" t="s">
        <v>426</v>
      </c>
      <c r="B116" s="18" t="s">
        <v>427</v>
      </c>
      <c r="C116" s="18" t="s">
        <v>43</v>
      </c>
      <c r="D116" s="18" t="s">
        <v>53</v>
      </c>
      <c r="E116" s="18" t="s">
        <v>149</v>
      </c>
      <c r="F116" s="18" t="s">
        <v>428</v>
      </c>
      <c r="G116" s="18" t="s">
        <v>75</v>
      </c>
      <c r="H116" s="18" t="s">
        <v>48</v>
      </c>
      <c r="I116" s="18">
        <v>12</v>
      </c>
      <c r="J116" s="19">
        <v>4525</v>
      </c>
      <c r="K116" s="19">
        <v>4299</v>
      </c>
      <c r="L116" s="20">
        <v>0.05</v>
      </c>
      <c r="M116" s="19">
        <v>3150</v>
      </c>
      <c r="N116" s="19">
        <f>(tbl_raw[[#This Row],[Selling_Price]]-tbl_raw[[#This Row],[Cost_Price]])*tbl_raw[[#This Row],[Units_Sold]]</f>
        <v>13788</v>
      </c>
      <c r="O116" s="20">
        <f>IFERROR((tbl_raw[[#This Row],[Selling_Price]]-tbl_raw[[#This Row],[Cost_Price]]) / tbl_raw[[#This Row],[Selling_Price]],0)</f>
        <v>0.26727145847871597</v>
      </c>
      <c r="P116" s="19">
        <v>158</v>
      </c>
      <c r="Q116" s="19">
        <f>tbl_raw[[#This Row],[Gross_Profit]]-(tbl_raw[[#This Row],[Shipping_Cost]]*tbl_raw[[#This Row],[Units_Sold]])</f>
        <v>11892</v>
      </c>
      <c r="R116" s="20">
        <f>IFERROR(tbl_raw[[#This Row],[Net_Profit]]/(tbl_raw[[#This Row],[Selling_Price]]*tbl_raw[[#This Row],[Units_Sold]]),0)</f>
        <v>0.23051872528494999</v>
      </c>
      <c r="S116" s="18" t="s">
        <v>107</v>
      </c>
      <c r="T116" s="18" t="s">
        <v>32</v>
      </c>
      <c r="U116" s="18">
        <f>IF(tbl_raw[[#This Row],[Order_Status]]="Returned",1,0)</f>
        <v>0</v>
      </c>
      <c r="V116" s="18">
        <f>IF(tbl_raw[[#This Row],[Payment_Method]]="COD",1,0)</f>
        <v>0</v>
      </c>
      <c r="W116" s="21">
        <f>MIN(1,(tbl_raw[[#This Row],[Discount_Pct]]*1.4)+(tbl_raw[[#This Row],[COD_Flag]]*0.35))</f>
        <v>6.9999999999999993E-2</v>
      </c>
    </row>
    <row r="117" spans="1:23" ht="22.8" x14ac:dyDescent="0.3">
      <c r="A117" s="22" t="s">
        <v>429</v>
      </c>
      <c r="B117" s="23" t="s">
        <v>381</v>
      </c>
      <c r="C117" s="23" t="s">
        <v>117</v>
      </c>
      <c r="D117" s="23" t="s">
        <v>164</v>
      </c>
      <c r="E117" s="23" t="s">
        <v>251</v>
      </c>
      <c r="F117" s="23" t="s">
        <v>430</v>
      </c>
      <c r="G117" s="23" t="s">
        <v>29</v>
      </c>
      <c r="H117" s="23" t="s">
        <v>30</v>
      </c>
      <c r="I117" s="23">
        <v>15</v>
      </c>
      <c r="J117" s="24">
        <v>7100</v>
      </c>
      <c r="K117" s="24">
        <v>4118</v>
      </c>
      <c r="L117" s="25">
        <v>0.42</v>
      </c>
      <c r="M117" s="24">
        <v>3871</v>
      </c>
      <c r="N117" s="24">
        <f>(tbl_raw[[#This Row],[Selling_Price]]-tbl_raw[[#This Row],[Cost_Price]])*tbl_raw[[#This Row],[Units_Sold]]</f>
        <v>3705</v>
      </c>
      <c r="O117" s="25">
        <f>IFERROR((tbl_raw[[#This Row],[Selling_Price]]-tbl_raw[[#This Row],[Cost_Price]]) / tbl_raw[[#This Row],[Selling_Price]],0)</f>
        <v>5.9980573093734821E-2</v>
      </c>
      <c r="P117" s="24">
        <v>89</v>
      </c>
      <c r="Q117" s="24">
        <f>tbl_raw[[#This Row],[Gross_Profit]]-(tbl_raw[[#This Row],[Shipping_Cost]]*tbl_raw[[#This Row],[Units_Sold]])</f>
        <v>2370</v>
      </c>
      <c r="R117" s="25">
        <f>IFERROR(tbl_raw[[#This Row],[Net_Profit]]/(tbl_raw[[#This Row],[Selling_Price]]*tbl_raw[[#This Row],[Units_Sold]]),0)</f>
        <v>3.8368139873725109E-2</v>
      </c>
      <c r="S117" s="23" t="s">
        <v>107</v>
      </c>
      <c r="T117" s="23" t="s">
        <v>49</v>
      </c>
      <c r="U117" s="23">
        <f>IF(tbl_raw[[#This Row],[Order_Status]]="Returned",1,0)</f>
        <v>0</v>
      </c>
      <c r="V117" s="23">
        <f>IF(tbl_raw[[#This Row],[Payment_Method]]="COD",1,0)</f>
        <v>0</v>
      </c>
      <c r="W117" s="26">
        <f>MIN(1,(tbl_raw[[#This Row],[Discount_Pct]]*1.4)+(tbl_raw[[#This Row],[COD_Flag]]*0.35))</f>
        <v>0.58799999999999997</v>
      </c>
    </row>
    <row r="118" spans="1:23" ht="22.8" x14ac:dyDescent="0.3">
      <c r="A118" s="17" t="s">
        <v>431</v>
      </c>
      <c r="B118" s="18" t="s">
        <v>432</v>
      </c>
      <c r="C118" s="18" t="s">
        <v>89</v>
      </c>
      <c r="D118" s="18" t="s">
        <v>26</v>
      </c>
      <c r="E118" s="18" t="s">
        <v>27</v>
      </c>
      <c r="F118" s="18" t="s">
        <v>433</v>
      </c>
      <c r="G118" s="18" t="s">
        <v>56</v>
      </c>
      <c r="H118" s="18" t="s">
        <v>57</v>
      </c>
      <c r="I118" s="18">
        <v>5</v>
      </c>
      <c r="J118" s="19">
        <v>1273</v>
      </c>
      <c r="K118" s="19">
        <v>1108</v>
      </c>
      <c r="L118" s="20">
        <v>0.13</v>
      </c>
      <c r="M118" s="19">
        <v>879</v>
      </c>
      <c r="N118" s="19">
        <f>(tbl_raw[[#This Row],[Selling_Price]]-tbl_raw[[#This Row],[Cost_Price]])*tbl_raw[[#This Row],[Units_Sold]]</f>
        <v>1145</v>
      </c>
      <c r="O118" s="20">
        <f>IFERROR((tbl_raw[[#This Row],[Selling_Price]]-tbl_raw[[#This Row],[Cost_Price]]) / tbl_raw[[#This Row],[Selling_Price]],0)</f>
        <v>0.20667870036101083</v>
      </c>
      <c r="P118" s="19">
        <v>134</v>
      </c>
      <c r="Q118" s="19">
        <f>tbl_raw[[#This Row],[Gross_Profit]]-(tbl_raw[[#This Row],[Shipping_Cost]]*tbl_raw[[#This Row],[Units_Sold]])</f>
        <v>475</v>
      </c>
      <c r="R118" s="20">
        <f>IFERROR(tbl_raw[[#This Row],[Net_Profit]]/(tbl_raw[[#This Row],[Selling_Price]]*tbl_raw[[#This Row],[Units_Sold]]),0)</f>
        <v>8.5740072202166062E-2</v>
      </c>
      <c r="S118" s="18" t="s">
        <v>40</v>
      </c>
      <c r="T118" s="18" t="s">
        <v>32</v>
      </c>
      <c r="U118" s="18">
        <f>IF(tbl_raw[[#This Row],[Order_Status]]="Returned",1,0)</f>
        <v>0</v>
      </c>
      <c r="V118" s="18">
        <f>IF(tbl_raw[[#This Row],[Payment_Method]]="COD",1,0)</f>
        <v>1</v>
      </c>
      <c r="W118" s="21">
        <f>MIN(1,(tbl_raw[[#This Row],[Discount_Pct]]*1.4)+(tbl_raw[[#This Row],[COD_Flag]]*0.35))</f>
        <v>0.53200000000000003</v>
      </c>
    </row>
    <row r="119" spans="1:23" ht="22.8" x14ac:dyDescent="0.3">
      <c r="A119" s="22" t="s">
        <v>434</v>
      </c>
      <c r="B119" s="23" t="s">
        <v>435</v>
      </c>
      <c r="C119" s="23" t="s">
        <v>199</v>
      </c>
      <c r="D119" s="23" t="s">
        <v>175</v>
      </c>
      <c r="E119" s="23" t="s">
        <v>354</v>
      </c>
      <c r="F119" s="23" t="s">
        <v>436</v>
      </c>
      <c r="G119" s="23" t="s">
        <v>29</v>
      </c>
      <c r="H119" s="23" t="s">
        <v>30</v>
      </c>
      <c r="I119" s="23">
        <v>5</v>
      </c>
      <c r="J119" s="24">
        <v>4481</v>
      </c>
      <c r="K119" s="24">
        <v>3002</v>
      </c>
      <c r="L119" s="25">
        <v>0.33</v>
      </c>
      <c r="M119" s="24">
        <v>2620</v>
      </c>
      <c r="N119" s="24">
        <f>(tbl_raw[[#This Row],[Selling_Price]]-tbl_raw[[#This Row],[Cost_Price]])*tbl_raw[[#This Row],[Units_Sold]]</f>
        <v>1910</v>
      </c>
      <c r="O119" s="25">
        <f>IFERROR((tbl_raw[[#This Row],[Selling_Price]]-tbl_raw[[#This Row],[Cost_Price]]) / tbl_raw[[#This Row],[Selling_Price]],0)</f>
        <v>0.12724850099933377</v>
      </c>
      <c r="P119" s="24">
        <v>47</v>
      </c>
      <c r="Q119" s="24">
        <f>tbl_raw[[#This Row],[Gross_Profit]]-(tbl_raw[[#This Row],[Shipping_Cost]]*tbl_raw[[#This Row],[Units_Sold]])</f>
        <v>1675</v>
      </c>
      <c r="R119" s="25">
        <f>IFERROR(tbl_raw[[#This Row],[Net_Profit]]/(tbl_raw[[#This Row],[Selling_Price]]*tbl_raw[[#This Row],[Units_Sold]]),0)</f>
        <v>0.11159227181878748</v>
      </c>
      <c r="S119" s="23" t="s">
        <v>107</v>
      </c>
      <c r="T119" s="23" t="s">
        <v>32</v>
      </c>
      <c r="U119" s="23">
        <f>IF(tbl_raw[[#This Row],[Order_Status]]="Returned",1,0)</f>
        <v>0</v>
      </c>
      <c r="V119" s="23">
        <f>IF(tbl_raw[[#This Row],[Payment_Method]]="COD",1,0)</f>
        <v>0</v>
      </c>
      <c r="W119" s="26">
        <f>MIN(1,(tbl_raw[[#This Row],[Discount_Pct]]*1.4)+(tbl_raw[[#This Row],[COD_Flag]]*0.35))</f>
        <v>0.46199999999999997</v>
      </c>
    </row>
    <row r="120" spans="1:23" ht="22.8" x14ac:dyDescent="0.3">
      <c r="A120" s="17" t="s">
        <v>437</v>
      </c>
      <c r="B120" s="18" t="s">
        <v>438</v>
      </c>
      <c r="C120" s="18" t="s">
        <v>35</v>
      </c>
      <c r="D120" s="18" t="s">
        <v>62</v>
      </c>
      <c r="E120" s="18" t="s">
        <v>110</v>
      </c>
      <c r="F120" s="18" t="s">
        <v>439</v>
      </c>
      <c r="G120" s="18" t="s">
        <v>75</v>
      </c>
      <c r="H120" s="18" t="s">
        <v>48</v>
      </c>
      <c r="I120" s="18">
        <v>20</v>
      </c>
      <c r="J120" s="19">
        <v>4381</v>
      </c>
      <c r="K120" s="19">
        <v>3154</v>
      </c>
      <c r="L120" s="20">
        <v>0.28000000000000003</v>
      </c>
      <c r="M120" s="19">
        <v>2634</v>
      </c>
      <c r="N120" s="19">
        <f>(tbl_raw[[#This Row],[Selling_Price]]-tbl_raw[[#This Row],[Cost_Price]])*tbl_raw[[#This Row],[Units_Sold]]</f>
        <v>10400</v>
      </c>
      <c r="O120" s="20">
        <f>IFERROR((tbl_raw[[#This Row],[Selling_Price]]-tbl_raw[[#This Row],[Cost_Price]]) / tbl_raw[[#This Row],[Selling_Price]],0)</f>
        <v>0.16487000634115409</v>
      </c>
      <c r="P120" s="19">
        <v>138</v>
      </c>
      <c r="Q120" s="19">
        <f>tbl_raw[[#This Row],[Gross_Profit]]-(tbl_raw[[#This Row],[Shipping_Cost]]*tbl_raw[[#This Row],[Units_Sold]])</f>
        <v>7640</v>
      </c>
      <c r="R120" s="20">
        <f>IFERROR(tbl_raw[[#This Row],[Net_Profit]]/(tbl_raw[[#This Row],[Selling_Price]]*tbl_raw[[#This Row],[Units_Sold]]),0)</f>
        <v>0.12111604311984782</v>
      </c>
      <c r="S120" s="18" t="s">
        <v>107</v>
      </c>
      <c r="T120" s="18" t="s">
        <v>32</v>
      </c>
      <c r="U120" s="18">
        <f>IF(tbl_raw[[#This Row],[Order_Status]]="Returned",1,0)</f>
        <v>0</v>
      </c>
      <c r="V120" s="18">
        <f>IF(tbl_raw[[#This Row],[Payment_Method]]="COD",1,0)</f>
        <v>0</v>
      </c>
      <c r="W120" s="21">
        <f>MIN(1,(tbl_raw[[#This Row],[Discount_Pct]]*1.4)+(tbl_raw[[#This Row],[COD_Flag]]*0.35))</f>
        <v>0.39200000000000002</v>
      </c>
    </row>
    <row r="121" spans="1:23" ht="22.8" x14ac:dyDescent="0.3">
      <c r="A121" s="22" t="s">
        <v>440</v>
      </c>
      <c r="B121" s="23" t="s">
        <v>348</v>
      </c>
      <c r="C121" s="23" t="s">
        <v>35</v>
      </c>
      <c r="D121" s="23" t="s">
        <v>78</v>
      </c>
      <c r="E121" s="23" t="s">
        <v>118</v>
      </c>
      <c r="F121" s="23" t="s">
        <v>441</v>
      </c>
      <c r="G121" s="23" t="s">
        <v>120</v>
      </c>
      <c r="H121" s="23" t="s">
        <v>39</v>
      </c>
      <c r="I121" s="23">
        <v>17</v>
      </c>
      <c r="J121" s="24">
        <v>7802</v>
      </c>
      <c r="K121" s="24">
        <v>7568</v>
      </c>
      <c r="L121" s="25">
        <v>0.03</v>
      </c>
      <c r="M121" s="24">
        <v>4557</v>
      </c>
      <c r="N121" s="24">
        <f>(tbl_raw[[#This Row],[Selling_Price]]-tbl_raw[[#This Row],[Cost_Price]])*tbl_raw[[#This Row],[Units_Sold]]</f>
        <v>51187</v>
      </c>
      <c r="O121" s="25">
        <f>IFERROR((tbl_raw[[#This Row],[Selling_Price]]-tbl_raw[[#This Row],[Cost_Price]]) / tbl_raw[[#This Row],[Selling_Price]],0)</f>
        <v>0.39785940803382663</v>
      </c>
      <c r="P121" s="24">
        <v>106</v>
      </c>
      <c r="Q121" s="24">
        <f>tbl_raw[[#This Row],[Gross_Profit]]-(tbl_raw[[#This Row],[Shipping_Cost]]*tbl_raw[[#This Row],[Units_Sold]])</f>
        <v>49385</v>
      </c>
      <c r="R121" s="25">
        <f>IFERROR(tbl_raw[[#This Row],[Net_Profit]]/(tbl_raw[[#This Row],[Selling_Price]]*tbl_raw[[#This Row],[Units_Sold]]),0)</f>
        <v>0.38385306553911203</v>
      </c>
      <c r="S121" s="23" t="s">
        <v>65</v>
      </c>
      <c r="T121" s="23" t="s">
        <v>32</v>
      </c>
      <c r="U121" s="23">
        <f>IF(tbl_raw[[#This Row],[Order_Status]]="Returned",1,0)</f>
        <v>0</v>
      </c>
      <c r="V121" s="23">
        <f>IF(tbl_raw[[#This Row],[Payment_Method]]="COD",1,0)</f>
        <v>0</v>
      </c>
      <c r="W121" s="26">
        <f>MIN(1,(tbl_raw[[#This Row],[Discount_Pct]]*1.4)+(tbl_raw[[#This Row],[COD_Flag]]*0.35))</f>
        <v>4.1999999999999996E-2</v>
      </c>
    </row>
    <row r="122" spans="1:23" ht="22.8" x14ac:dyDescent="0.3">
      <c r="A122" s="17" t="s">
        <v>442</v>
      </c>
      <c r="B122" s="18" t="s">
        <v>443</v>
      </c>
      <c r="C122" s="18" t="s">
        <v>117</v>
      </c>
      <c r="D122" s="18" t="s">
        <v>78</v>
      </c>
      <c r="E122" s="18" t="s">
        <v>79</v>
      </c>
      <c r="F122" s="18" t="s">
        <v>444</v>
      </c>
      <c r="G122" s="18" t="s">
        <v>139</v>
      </c>
      <c r="H122" s="18" t="s">
        <v>48</v>
      </c>
      <c r="I122" s="18">
        <v>12</v>
      </c>
      <c r="J122" s="19">
        <v>6350</v>
      </c>
      <c r="K122" s="19">
        <v>5334</v>
      </c>
      <c r="L122" s="20">
        <v>0.16</v>
      </c>
      <c r="M122" s="19">
        <v>4169</v>
      </c>
      <c r="N122" s="19">
        <f>(tbl_raw[[#This Row],[Selling_Price]]-tbl_raw[[#This Row],[Cost_Price]])*tbl_raw[[#This Row],[Units_Sold]]</f>
        <v>13980</v>
      </c>
      <c r="O122" s="20">
        <f>IFERROR((tbl_raw[[#This Row],[Selling_Price]]-tbl_raw[[#This Row],[Cost_Price]]) / tbl_raw[[#This Row],[Selling_Price]],0)</f>
        <v>0.21841019872515935</v>
      </c>
      <c r="P122" s="19">
        <v>124</v>
      </c>
      <c r="Q122" s="19">
        <f>tbl_raw[[#This Row],[Gross_Profit]]-(tbl_raw[[#This Row],[Shipping_Cost]]*tbl_raw[[#This Row],[Units_Sold]])</f>
        <v>12492</v>
      </c>
      <c r="R122" s="20">
        <f>IFERROR(tbl_raw[[#This Row],[Net_Profit]]/(tbl_raw[[#This Row],[Selling_Price]]*tbl_raw[[#This Row],[Units_Sold]]),0)</f>
        <v>0.19516310461192352</v>
      </c>
      <c r="S122" s="18" t="s">
        <v>65</v>
      </c>
      <c r="T122" s="18" t="s">
        <v>32</v>
      </c>
      <c r="U122" s="18">
        <f>IF(tbl_raw[[#This Row],[Order_Status]]="Returned",1,0)</f>
        <v>0</v>
      </c>
      <c r="V122" s="18">
        <f>IF(tbl_raw[[#This Row],[Payment_Method]]="COD",1,0)</f>
        <v>0</v>
      </c>
      <c r="W122" s="21">
        <f>MIN(1,(tbl_raw[[#This Row],[Discount_Pct]]*1.4)+(tbl_raw[[#This Row],[COD_Flag]]*0.35))</f>
        <v>0.22399999999999998</v>
      </c>
    </row>
    <row r="123" spans="1:23" ht="22.8" x14ac:dyDescent="0.3">
      <c r="A123" s="22" t="s">
        <v>445</v>
      </c>
      <c r="B123" s="23" t="s">
        <v>446</v>
      </c>
      <c r="C123" s="23" t="s">
        <v>132</v>
      </c>
      <c r="D123" s="23" t="s">
        <v>44</v>
      </c>
      <c r="E123" s="23" t="s">
        <v>73</v>
      </c>
      <c r="F123" s="23" t="s">
        <v>447</v>
      </c>
      <c r="G123" s="23" t="s">
        <v>75</v>
      </c>
      <c r="H123" s="23" t="s">
        <v>48</v>
      </c>
      <c r="I123" s="23">
        <v>16</v>
      </c>
      <c r="J123" s="24">
        <v>5128</v>
      </c>
      <c r="K123" s="24">
        <v>3231</v>
      </c>
      <c r="L123" s="25">
        <v>0.37</v>
      </c>
      <c r="M123" s="24">
        <v>2164</v>
      </c>
      <c r="N123" s="24">
        <f>(tbl_raw[[#This Row],[Selling_Price]]-tbl_raw[[#This Row],[Cost_Price]])*tbl_raw[[#This Row],[Units_Sold]]</f>
        <v>17072</v>
      </c>
      <c r="O123" s="25">
        <f>IFERROR((tbl_raw[[#This Row],[Selling_Price]]-tbl_raw[[#This Row],[Cost_Price]]) / tbl_raw[[#This Row],[Selling_Price]],0)</f>
        <v>0.33023831631073969</v>
      </c>
      <c r="P123" s="24">
        <v>146</v>
      </c>
      <c r="Q123" s="24">
        <f>tbl_raw[[#This Row],[Gross_Profit]]-(tbl_raw[[#This Row],[Shipping_Cost]]*tbl_raw[[#This Row],[Units_Sold]])</f>
        <v>14736</v>
      </c>
      <c r="R123" s="25">
        <f>IFERROR(tbl_raw[[#This Row],[Net_Profit]]/(tbl_raw[[#This Row],[Selling_Price]]*tbl_raw[[#This Row],[Units_Sold]]),0)</f>
        <v>0.2850510677808728</v>
      </c>
      <c r="S123" s="23" t="s">
        <v>31</v>
      </c>
      <c r="T123" s="23" t="s">
        <v>32</v>
      </c>
      <c r="U123" s="23">
        <f>IF(tbl_raw[[#This Row],[Order_Status]]="Returned",1,0)</f>
        <v>0</v>
      </c>
      <c r="V123" s="23">
        <f>IF(tbl_raw[[#This Row],[Payment_Method]]="COD",1,0)</f>
        <v>0</v>
      </c>
      <c r="W123" s="26">
        <f>MIN(1,(tbl_raw[[#This Row],[Discount_Pct]]*1.4)+(tbl_raw[[#This Row],[COD_Flag]]*0.35))</f>
        <v>0.51800000000000002</v>
      </c>
    </row>
    <row r="124" spans="1:23" ht="22.8" x14ac:dyDescent="0.3">
      <c r="A124" s="17" t="s">
        <v>448</v>
      </c>
      <c r="B124" s="18" t="s">
        <v>449</v>
      </c>
      <c r="C124" s="18" t="s">
        <v>35</v>
      </c>
      <c r="D124" s="18" t="s">
        <v>44</v>
      </c>
      <c r="E124" s="18" t="s">
        <v>279</v>
      </c>
      <c r="F124" s="18" t="s">
        <v>450</v>
      </c>
      <c r="G124" s="18" t="s">
        <v>47</v>
      </c>
      <c r="H124" s="18" t="s">
        <v>48</v>
      </c>
      <c r="I124" s="18">
        <v>18</v>
      </c>
      <c r="J124" s="19">
        <v>3893</v>
      </c>
      <c r="K124" s="19">
        <v>3815</v>
      </c>
      <c r="L124" s="20">
        <v>0.02</v>
      </c>
      <c r="M124" s="19">
        <v>2439</v>
      </c>
      <c r="N124" s="19">
        <f>(tbl_raw[[#This Row],[Selling_Price]]-tbl_raw[[#This Row],[Cost_Price]])*tbl_raw[[#This Row],[Units_Sold]]</f>
        <v>24768</v>
      </c>
      <c r="O124" s="20">
        <f>IFERROR((tbl_raw[[#This Row],[Selling_Price]]-tbl_raw[[#This Row],[Cost_Price]]) / tbl_raw[[#This Row],[Selling_Price]],0)</f>
        <v>0.36068152031454781</v>
      </c>
      <c r="P124" s="19">
        <v>73</v>
      </c>
      <c r="Q124" s="19">
        <f>tbl_raw[[#This Row],[Gross_Profit]]-(tbl_raw[[#This Row],[Shipping_Cost]]*tbl_raw[[#This Row],[Units_Sold]])</f>
        <v>23454</v>
      </c>
      <c r="R124" s="20">
        <f>IFERROR(tbl_raw[[#This Row],[Net_Profit]]/(tbl_raw[[#This Row],[Selling_Price]]*tbl_raw[[#This Row],[Units_Sold]]),0)</f>
        <v>0.34154652686762776</v>
      </c>
      <c r="S124" s="18" t="s">
        <v>58</v>
      </c>
      <c r="T124" s="18" t="s">
        <v>32</v>
      </c>
      <c r="U124" s="18">
        <f>IF(tbl_raw[[#This Row],[Order_Status]]="Returned",1,0)</f>
        <v>0</v>
      </c>
      <c r="V124" s="18">
        <f>IF(tbl_raw[[#This Row],[Payment_Method]]="COD",1,0)</f>
        <v>0</v>
      </c>
      <c r="W124" s="21">
        <f>MIN(1,(tbl_raw[[#This Row],[Discount_Pct]]*1.4)+(tbl_raw[[#This Row],[COD_Flag]]*0.35))</f>
        <v>2.7999999999999997E-2</v>
      </c>
    </row>
    <row r="125" spans="1:23" ht="22.8" x14ac:dyDescent="0.3">
      <c r="A125" s="22" t="s">
        <v>451</v>
      </c>
      <c r="B125" s="23" t="s">
        <v>452</v>
      </c>
      <c r="C125" s="23" t="s">
        <v>72</v>
      </c>
      <c r="D125" s="23" t="s">
        <v>44</v>
      </c>
      <c r="E125" s="23" t="s">
        <v>275</v>
      </c>
      <c r="F125" s="23" t="s">
        <v>453</v>
      </c>
      <c r="G125" s="23" t="s">
        <v>75</v>
      </c>
      <c r="H125" s="23" t="s">
        <v>48</v>
      </c>
      <c r="I125" s="23">
        <v>13</v>
      </c>
      <c r="J125" s="24">
        <v>2844</v>
      </c>
      <c r="K125" s="24">
        <v>2616</v>
      </c>
      <c r="L125" s="25">
        <v>0.08</v>
      </c>
      <c r="M125" s="24">
        <v>1826</v>
      </c>
      <c r="N125" s="24">
        <f>(tbl_raw[[#This Row],[Selling_Price]]-tbl_raw[[#This Row],[Cost_Price]])*tbl_raw[[#This Row],[Units_Sold]]</f>
        <v>10270</v>
      </c>
      <c r="O125" s="25">
        <f>IFERROR((tbl_raw[[#This Row],[Selling_Price]]-tbl_raw[[#This Row],[Cost_Price]]) / tbl_raw[[#This Row],[Selling_Price]],0)</f>
        <v>0.30198776758409784</v>
      </c>
      <c r="P125" s="24">
        <v>85</v>
      </c>
      <c r="Q125" s="24">
        <f>tbl_raw[[#This Row],[Gross_Profit]]-(tbl_raw[[#This Row],[Shipping_Cost]]*tbl_raw[[#This Row],[Units_Sold]])</f>
        <v>9165</v>
      </c>
      <c r="R125" s="25">
        <f>IFERROR(tbl_raw[[#This Row],[Net_Profit]]/(tbl_raw[[#This Row],[Selling_Price]]*tbl_raw[[#This Row],[Units_Sold]]),0)</f>
        <v>0.26949541284403672</v>
      </c>
      <c r="S125" s="23" t="s">
        <v>65</v>
      </c>
      <c r="T125" s="23" t="s">
        <v>32</v>
      </c>
      <c r="U125" s="23">
        <f>IF(tbl_raw[[#This Row],[Order_Status]]="Returned",1,0)</f>
        <v>0</v>
      </c>
      <c r="V125" s="23">
        <f>IF(tbl_raw[[#This Row],[Payment_Method]]="COD",1,0)</f>
        <v>0</v>
      </c>
      <c r="W125" s="26">
        <f>MIN(1,(tbl_raw[[#This Row],[Discount_Pct]]*1.4)+(tbl_raw[[#This Row],[COD_Flag]]*0.35))</f>
        <v>0.11199999999999999</v>
      </c>
    </row>
    <row r="126" spans="1:23" ht="22.8" x14ac:dyDescent="0.3">
      <c r="A126" s="17" t="s">
        <v>454</v>
      </c>
      <c r="B126" s="18" t="s">
        <v>51</v>
      </c>
      <c r="C126" s="18" t="s">
        <v>52</v>
      </c>
      <c r="D126" s="18" t="s">
        <v>78</v>
      </c>
      <c r="E126" s="18" t="s">
        <v>84</v>
      </c>
      <c r="F126" s="18" t="s">
        <v>455</v>
      </c>
      <c r="G126" s="18" t="s">
        <v>81</v>
      </c>
      <c r="H126" s="18" t="s">
        <v>30</v>
      </c>
      <c r="I126" s="18">
        <v>18</v>
      </c>
      <c r="J126" s="19">
        <v>2491</v>
      </c>
      <c r="K126" s="19">
        <v>2366</v>
      </c>
      <c r="L126" s="20">
        <v>0.05</v>
      </c>
      <c r="M126" s="19">
        <v>1282</v>
      </c>
      <c r="N126" s="19">
        <f>(tbl_raw[[#This Row],[Selling_Price]]-tbl_raw[[#This Row],[Cost_Price]])*tbl_raw[[#This Row],[Units_Sold]]</f>
        <v>19512</v>
      </c>
      <c r="O126" s="20">
        <f>IFERROR((tbl_raw[[#This Row],[Selling_Price]]-tbl_raw[[#This Row],[Cost_Price]]) / tbl_raw[[#This Row],[Selling_Price]],0)</f>
        <v>0.45815722738799664</v>
      </c>
      <c r="P126" s="19">
        <v>74</v>
      </c>
      <c r="Q126" s="19">
        <f>tbl_raw[[#This Row],[Gross_Profit]]-(tbl_raw[[#This Row],[Shipping_Cost]]*tbl_raw[[#This Row],[Units_Sold]])</f>
        <v>18180</v>
      </c>
      <c r="R126" s="20">
        <f>IFERROR(tbl_raw[[#This Row],[Net_Profit]]/(tbl_raw[[#This Row],[Selling_Price]]*tbl_raw[[#This Row],[Units_Sold]]),0)</f>
        <v>0.42688081149619611</v>
      </c>
      <c r="S126" s="18" t="s">
        <v>31</v>
      </c>
      <c r="T126" s="18" t="s">
        <v>32</v>
      </c>
      <c r="U126" s="18">
        <f>IF(tbl_raw[[#This Row],[Order_Status]]="Returned",1,0)</f>
        <v>0</v>
      </c>
      <c r="V126" s="18">
        <f>IF(tbl_raw[[#This Row],[Payment_Method]]="COD",1,0)</f>
        <v>0</v>
      </c>
      <c r="W126" s="21">
        <f>MIN(1,(tbl_raw[[#This Row],[Discount_Pct]]*1.4)+(tbl_raw[[#This Row],[COD_Flag]]*0.35))</f>
        <v>6.9999999999999993E-2</v>
      </c>
    </row>
    <row r="127" spans="1:23" ht="22.8" x14ac:dyDescent="0.3">
      <c r="A127" s="22" t="s">
        <v>456</v>
      </c>
      <c r="B127" s="23" t="s">
        <v>155</v>
      </c>
      <c r="C127" s="23" t="s">
        <v>156</v>
      </c>
      <c r="D127" s="23" t="s">
        <v>44</v>
      </c>
      <c r="E127" s="23" t="s">
        <v>275</v>
      </c>
      <c r="F127" s="23" t="s">
        <v>457</v>
      </c>
      <c r="G127" s="23" t="s">
        <v>56</v>
      </c>
      <c r="H127" s="23" t="s">
        <v>57</v>
      </c>
      <c r="I127" s="23">
        <v>20</v>
      </c>
      <c r="J127" s="24">
        <v>7986</v>
      </c>
      <c r="K127" s="24">
        <v>7028</v>
      </c>
      <c r="L127" s="25">
        <v>0.12</v>
      </c>
      <c r="M127" s="24">
        <v>5934</v>
      </c>
      <c r="N127" s="24">
        <f>(tbl_raw[[#This Row],[Selling_Price]]-tbl_raw[[#This Row],[Cost_Price]])*tbl_raw[[#This Row],[Units_Sold]]</f>
        <v>21880</v>
      </c>
      <c r="O127" s="25">
        <f>IFERROR((tbl_raw[[#This Row],[Selling_Price]]-tbl_raw[[#This Row],[Cost_Price]]) / tbl_raw[[#This Row],[Selling_Price]],0)</f>
        <v>0.15566306203756403</v>
      </c>
      <c r="P127" s="24">
        <v>172</v>
      </c>
      <c r="Q127" s="24">
        <f>tbl_raw[[#This Row],[Gross_Profit]]-(tbl_raw[[#This Row],[Shipping_Cost]]*tbl_raw[[#This Row],[Units_Sold]])</f>
        <v>18440</v>
      </c>
      <c r="R127" s="25">
        <f>IFERROR(tbl_raw[[#This Row],[Net_Profit]]/(tbl_raw[[#This Row],[Selling_Price]]*tbl_raw[[#This Row],[Units_Sold]]),0)</f>
        <v>0.13118952760387023</v>
      </c>
      <c r="S127" s="23" t="s">
        <v>58</v>
      </c>
      <c r="T127" s="23" t="s">
        <v>32</v>
      </c>
      <c r="U127" s="23">
        <f>IF(tbl_raw[[#This Row],[Order_Status]]="Returned",1,0)</f>
        <v>0</v>
      </c>
      <c r="V127" s="23">
        <f>IF(tbl_raw[[#This Row],[Payment_Method]]="COD",1,0)</f>
        <v>0</v>
      </c>
      <c r="W127" s="26">
        <f>MIN(1,(tbl_raw[[#This Row],[Discount_Pct]]*1.4)+(tbl_raw[[#This Row],[COD_Flag]]*0.35))</f>
        <v>0.16799999999999998</v>
      </c>
    </row>
    <row r="128" spans="1:23" ht="22.8" x14ac:dyDescent="0.3">
      <c r="A128" s="17" t="s">
        <v>458</v>
      </c>
      <c r="B128" s="18" t="s">
        <v>459</v>
      </c>
      <c r="C128" s="18" t="s">
        <v>105</v>
      </c>
      <c r="D128" s="18" t="s">
        <v>164</v>
      </c>
      <c r="E128" s="18" t="s">
        <v>265</v>
      </c>
      <c r="F128" s="18" t="s">
        <v>460</v>
      </c>
      <c r="G128" s="18" t="s">
        <v>102</v>
      </c>
      <c r="H128" s="18" t="s">
        <v>39</v>
      </c>
      <c r="I128" s="18">
        <v>15</v>
      </c>
      <c r="J128" s="19">
        <v>471</v>
      </c>
      <c r="K128" s="19">
        <v>457</v>
      </c>
      <c r="L128" s="20">
        <v>0.03</v>
      </c>
      <c r="M128" s="19">
        <v>317</v>
      </c>
      <c r="N128" s="19">
        <f>(tbl_raw[[#This Row],[Selling_Price]]-tbl_raw[[#This Row],[Cost_Price]])*tbl_raw[[#This Row],[Units_Sold]]</f>
        <v>2100</v>
      </c>
      <c r="O128" s="20">
        <f>IFERROR((tbl_raw[[#This Row],[Selling_Price]]-tbl_raw[[#This Row],[Cost_Price]]) / tbl_raw[[#This Row],[Selling_Price]],0)</f>
        <v>0.30634573304157547</v>
      </c>
      <c r="P128" s="19">
        <v>85</v>
      </c>
      <c r="Q128" s="19">
        <f>tbl_raw[[#This Row],[Gross_Profit]]-(tbl_raw[[#This Row],[Shipping_Cost]]*tbl_raw[[#This Row],[Units_Sold]])</f>
        <v>825</v>
      </c>
      <c r="R128" s="20">
        <f>IFERROR(tbl_raw[[#This Row],[Net_Profit]]/(tbl_raw[[#This Row],[Selling_Price]]*tbl_raw[[#This Row],[Units_Sold]]),0)</f>
        <v>0.12035010940919037</v>
      </c>
      <c r="S128" s="18" t="s">
        <v>31</v>
      </c>
      <c r="T128" s="18" t="s">
        <v>32</v>
      </c>
      <c r="U128" s="18">
        <f>IF(tbl_raw[[#This Row],[Order_Status]]="Returned",1,0)</f>
        <v>0</v>
      </c>
      <c r="V128" s="18">
        <f>IF(tbl_raw[[#This Row],[Payment_Method]]="COD",1,0)</f>
        <v>0</v>
      </c>
      <c r="W128" s="21">
        <f>MIN(1,(tbl_raw[[#This Row],[Discount_Pct]]*1.4)+(tbl_raw[[#This Row],[COD_Flag]]*0.35))</f>
        <v>4.1999999999999996E-2</v>
      </c>
    </row>
    <row r="129" spans="1:23" ht="22.8" x14ac:dyDescent="0.3">
      <c r="A129" s="22" t="s">
        <v>461</v>
      </c>
      <c r="B129" s="23" t="s">
        <v>462</v>
      </c>
      <c r="C129" s="23" t="s">
        <v>43</v>
      </c>
      <c r="D129" s="23" t="s">
        <v>62</v>
      </c>
      <c r="E129" s="23" t="s">
        <v>63</v>
      </c>
      <c r="F129" s="23" t="s">
        <v>463</v>
      </c>
      <c r="G129" s="23" t="s">
        <v>75</v>
      </c>
      <c r="H129" s="23" t="s">
        <v>48</v>
      </c>
      <c r="I129" s="23">
        <v>3</v>
      </c>
      <c r="J129" s="24">
        <v>4677</v>
      </c>
      <c r="K129" s="24">
        <v>3555</v>
      </c>
      <c r="L129" s="25">
        <v>0.24</v>
      </c>
      <c r="M129" s="24">
        <v>2522</v>
      </c>
      <c r="N129" s="24">
        <f>(tbl_raw[[#This Row],[Selling_Price]]-tbl_raw[[#This Row],[Cost_Price]])*tbl_raw[[#This Row],[Units_Sold]]</f>
        <v>3099</v>
      </c>
      <c r="O129" s="25">
        <f>IFERROR((tbl_raw[[#This Row],[Selling_Price]]-tbl_raw[[#This Row],[Cost_Price]]) / tbl_raw[[#This Row],[Selling_Price]],0)</f>
        <v>0.29057665260196908</v>
      </c>
      <c r="P129" s="24">
        <v>127</v>
      </c>
      <c r="Q129" s="24">
        <f>tbl_raw[[#This Row],[Gross_Profit]]-(tbl_raw[[#This Row],[Shipping_Cost]]*tbl_raw[[#This Row],[Units_Sold]])</f>
        <v>2718</v>
      </c>
      <c r="R129" s="25">
        <f>IFERROR(tbl_raw[[#This Row],[Net_Profit]]/(tbl_raw[[#This Row],[Selling_Price]]*tbl_raw[[#This Row],[Units_Sold]]),0)</f>
        <v>0.25485232067510549</v>
      </c>
      <c r="S129" s="23" t="s">
        <v>40</v>
      </c>
      <c r="T129" s="23" t="s">
        <v>32</v>
      </c>
      <c r="U129" s="23">
        <f>IF(tbl_raw[[#This Row],[Order_Status]]="Returned",1,0)</f>
        <v>0</v>
      </c>
      <c r="V129" s="23">
        <f>IF(tbl_raw[[#This Row],[Payment_Method]]="COD",1,0)</f>
        <v>1</v>
      </c>
      <c r="W129" s="26">
        <f>MIN(1,(tbl_raw[[#This Row],[Discount_Pct]]*1.4)+(tbl_raw[[#This Row],[COD_Flag]]*0.35))</f>
        <v>0.68599999999999994</v>
      </c>
    </row>
    <row r="130" spans="1:23" ht="22.8" x14ac:dyDescent="0.3">
      <c r="A130" s="17" t="s">
        <v>464</v>
      </c>
      <c r="B130" s="18" t="s">
        <v>287</v>
      </c>
      <c r="C130" s="18" t="s">
        <v>43</v>
      </c>
      <c r="D130" s="18" t="s">
        <v>78</v>
      </c>
      <c r="E130" s="18" t="s">
        <v>84</v>
      </c>
      <c r="F130" s="18" t="s">
        <v>465</v>
      </c>
      <c r="G130" s="18" t="s">
        <v>143</v>
      </c>
      <c r="H130" s="18" t="s">
        <v>30</v>
      </c>
      <c r="I130" s="18">
        <v>9</v>
      </c>
      <c r="J130" s="19">
        <v>5691</v>
      </c>
      <c r="K130" s="19">
        <v>5122</v>
      </c>
      <c r="L130" s="20">
        <v>0.1</v>
      </c>
      <c r="M130" s="19">
        <v>3495</v>
      </c>
      <c r="N130" s="19">
        <f>(tbl_raw[[#This Row],[Selling_Price]]-tbl_raw[[#This Row],[Cost_Price]])*tbl_raw[[#This Row],[Units_Sold]]</f>
        <v>14643</v>
      </c>
      <c r="O130" s="20">
        <f>IFERROR((tbl_raw[[#This Row],[Selling_Price]]-tbl_raw[[#This Row],[Cost_Price]]) / tbl_raw[[#This Row],[Selling_Price]],0)</f>
        <v>0.31764935572042169</v>
      </c>
      <c r="P130" s="19">
        <v>134</v>
      </c>
      <c r="Q130" s="19">
        <f>tbl_raw[[#This Row],[Gross_Profit]]-(tbl_raw[[#This Row],[Shipping_Cost]]*tbl_raw[[#This Row],[Units_Sold]])</f>
        <v>13437</v>
      </c>
      <c r="R130" s="20">
        <f>IFERROR(tbl_raw[[#This Row],[Net_Profit]]/(tbl_raw[[#This Row],[Selling_Price]]*tbl_raw[[#This Row],[Units_Sold]]),0)</f>
        <v>0.29148770011714176</v>
      </c>
      <c r="S130" s="18" t="s">
        <v>31</v>
      </c>
      <c r="T130" s="18" t="s">
        <v>32</v>
      </c>
      <c r="U130" s="18">
        <f>IF(tbl_raw[[#This Row],[Order_Status]]="Returned",1,0)</f>
        <v>0</v>
      </c>
      <c r="V130" s="18">
        <f>IF(tbl_raw[[#This Row],[Payment_Method]]="COD",1,0)</f>
        <v>0</v>
      </c>
      <c r="W130" s="21">
        <f>MIN(1,(tbl_raw[[#This Row],[Discount_Pct]]*1.4)+(tbl_raw[[#This Row],[COD_Flag]]*0.35))</f>
        <v>0.13999999999999999</v>
      </c>
    </row>
    <row r="131" spans="1:23" ht="22.8" x14ac:dyDescent="0.3">
      <c r="A131" s="22" t="s">
        <v>466</v>
      </c>
      <c r="B131" s="23" t="s">
        <v>351</v>
      </c>
      <c r="C131" s="23" t="s">
        <v>72</v>
      </c>
      <c r="D131" s="23" t="s">
        <v>164</v>
      </c>
      <c r="E131" s="23" t="s">
        <v>251</v>
      </c>
      <c r="F131" s="23" t="s">
        <v>467</v>
      </c>
      <c r="G131" s="23" t="s">
        <v>56</v>
      </c>
      <c r="H131" s="23" t="s">
        <v>57</v>
      </c>
      <c r="I131" s="23">
        <v>12</v>
      </c>
      <c r="J131" s="24">
        <v>5734</v>
      </c>
      <c r="K131" s="24">
        <v>4300</v>
      </c>
      <c r="L131" s="25">
        <v>0.25</v>
      </c>
      <c r="M131" s="24">
        <v>2876</v>
      </c>
      <c r="N131" s="24">
        <f>(tbl_raw[[#This Row],[Selling_Price]]-tbl_raw[[#This Row],[Cost_Price]])*tbl_raw[[#This Row],[Units_Sold]]</f>
        <v>17088</v>
      </c>
      <c r="O131" s="25">
        <f>IFERROR((tbl_raw[[#This Row],[Selling_Price]]-tbl_raw[[#This Row],[Cost_Price]]) / tbl_raw[[#This Row],[Selling_Price]],0)</f>
        <v>0.3311627906976744</v>
      </c>
      <c r="P131" s="24">
        <v>75</v>
      </c>
      <c r="Q131" s="24">
        <f>tbl_raw[[#This Row],[Gross_Profit]]-(tbl_raw[[#This Row],[Shipping_Cost]]*tbl_raw[[#This Row],[Units_Sold]])</f>
        <v>16188</v>
      </c>
      <c r="R131" s="25">
        <f>IFERROR(tbl_raw[[#This Row],[Net_Profit]]/(tbl_raw[[#This Row],[Selling_Price]]*tbl_raw[[#This Row],[Units_Sold]]),0)</f>
        <v>0.31372093023255815</v>
      </c>
      <c r="S131" s="23" t="s">
        <v>40</v>
      </c>
      <c r="T131" s="23" t="s">
        <v>49</v>
      </c>
      <c r="U131" s="23">
        <f>IF(tbl_raw[[#This Row],[Order_Status]]="Returned",1,0)</f>
        <v>0</v>
      </c>
      <c r="V131" s="23">
        <f>IF(tbl_raw[[#This Row],[Payment_Method]]="COD",1,0)</f>
        <v>1</v>
      </c>
      <c r="W131" s="26">
        <f>MIN(1,(tbl_raw[[#This Row],[Discount_Pct]]*1.4)+(tbl_raw[[#This Row],[COD_Flag]]*0.35))</f>
        <v>0.7</v>
      </c>
    </row>
    <row r="132" spans="1:23" ht="22.8" x14ac:dyDescent="0.3">
      <c r="A132" s="17" t="s">
        <v>468</v>
      </c>
      <c r="B132" s="18" t="s">
        <v>469</v>
      </c>
      <c r="C132" s="18" t="s">
        <v>25</v>
      </c>
      <c r="D132" s="18" t="s">
        <v>44</v>
      </c>
      <c r="E132" s="18" t="s">
        <v>338</v>
      </c>
      <c r="F132" s="18" t="s">
        <v>470</v>
      </c>
      <c r="G132" s="18" t="s">
        <v>120</v>
      </c>
      <c r="H132" s="18" t="s">
        <v>39</v>
      </c>
      <c r="I132" s="18">
        <v>7</v>
      </c>
      <c r="J132" s="19">
        <v>6378</v>
      </c>
      <c r="K132" s="19">
        <v>5676</v>
      </c>
      <c r="L132" s="20">
        <v>0.11</v>
      </c>
      <c r="M132" s="19">
        <v>3654</v>
      </c>
      <c r="N132" s="19">
        <f>(tbl_raw[[#This Row],[Selling_Price]]-tbl_raw[[#This Row],[Cost_Price]])*tbl_raw[[#This Row],[Units_Sold]]</f>
        <v>14154</v>
      </c>
      <c r="O132" s="20">
        <f>IFERROR((tbl_raw[[#This Row],[Selling_Price]]-tbl_raw[[#This Row],[Cost_Price]]) / tbl_raw[[#This Row],[Selling_Price]],0)</f>
        <v>0.35623678646934459</v>
      </c>
      <c r="P132" s="19">
        <v>84</v>
      </c>
      <c r="Q132" s="19">
        <f>tbl_raw[[#This Row],[Gross_Profit]]-(tbl_raw[[#This Row],[Shipping_Cost]]*tbl_raw[[#This Row],[Units_Sold]])</f>
        <v>13566</v>
      </c>
      <c r="R132" s="20">
        <f>IFERROR(tbl_raw[[#This Row],[Net_Profit]]/(tbl_raw[[#This Row],[Selling_Price]]*tbl_raw[[#This Row],[Units_Sold]]),0)</f>
        <v>0.34143763213530653</v>
      </c>
      <c r="S132" s="18" t="s">
        <v>65</v>
      </c>
      <c r="T132" s="18" t="s">
        <v>86</v>
      </c>
      <c r="U132" s="18">
        <f>IF(tbl_raw[[#This Row],[Order_Status]]="Returned",1,0)</f>
        <v>1</v>
      </c>
      <c r="V132" s="18">
        <f>IF(tbl_raw[[#This Row],[Payment_Method]]="COD",1,0)</f>
        <v>0</v>
      </c>
      <c r="W132" s="21">
        <f>MIN(1,(tbl_raw[[#This Row],[Discount_Pct]]*1.4)+(tbl_raw[[#This Row],[COD_Flag]]*0.35))</f>
        <v>0.154</v>
      </c>
    </row>
    <row r="133" spans="1:23" ht="22.8" x14ac:dyDescent="0.3">
      <c r="A133" s="22" t="s">
        <v>471</v>
      </c>
      <c r="B133" s="23" t="s">
        <v>472</v>
      </c>
      <c r="C133" s="23" t="s">
        <v>105</v>
      </c>
      <c r="D133" s="23" t="s">
        <v>175</v>
      </c>
      <c r="E133" s="23" t="s">
        <v>354</v>
      </c>
      <c r="F133" s="23" t="s">
        <v>473</v>
      </c>
      <c r="G133" s="23" t="s">
        <v>47</v>
      </c>
      <c r="H133" s="23" t="s">
        <v>48</v>
      </c>
      <c r="I133" s="23">
        <v>16</v>
      </c>
      <c r="J133" s="24">
        <v>4300</v>
      </c>
      <c r="K133" s="24">
        <v>2795</v>
      </c>
      <c r="L133" s="25">
        <v>0.35</v>
      </c>
      <c r="M133" s="24">
        <v>2959</v>
      </c>
      <c r="N133" s="24">
        <f>(tbl_raw[[#This Row],[Selling_Price]]-tbl_raw[[#This Row],[Cost_Price]])*tbl_raw[[#This Row],[Units_Sold]]</f>
        <v>-2624</v>
      </c>
      <c r="O133" s="25">
        <f>IFERROR((tbl_raw[[#This Row],[Selling_Price]]-tbl_raw[[#This Row],[Cost_Price]]) / tbl_raw[[#This Row],[Selling_Price]],0)</f>
        <v>-5.8676207513416817E-2</v>
      </c>
      <c r="P133" s="24">
        <v>41</v>
      </c>
      <c r="Q133" s="24">
        <f>tbl_raw[[#This Row],[Gross_Profit]]-(tbl_raw[[#This Row],[Shipping_Cost]]*tbl_raw[[#This Row],[Units_Sold]])</f>
        <v>-3280</v>
      </c>
      <c r="R133" s="25">
        <f>IFERROR(tbl_raw[[#This Row],[Net_Profit]]/(tbl_raw[[#This Row],[Selling_Price]]*tbl_raw[[#This Row],[Units_Sold]]),0)</f>
        <v>-7.3345259391771014E-2</v>
      </c>
      <c r="S133" s="23" t="s">
        <v>107</v>
      </c>
      <c r="T133" s="23" t="s">
        <v>32</v>
      </c>
      <c r="U133" s="23">
        <f>IF(tbl_raw[[#This Row],[Order_Status]]="Returned",1,0)</f>
        <v>0</v>
      </c>
      <c r="V133" s="23">
        <f>IF(tbl_raw[[#This Row],[Payment_Method]]="COD",1,0)</f>
        <v>0</v>
      </c>
      <c r="W133" s="26">
        <f>MIN(1,(tbl_raw[[#This Row],[Discount_Pct]]*1.4)+(tbl_raw[[#This Row],[COD_Flag]]*0.35))</f>
        <v>0.48999999999999994</v>
      </c>
    </row>
    <row r="134" spans="1:23" ht="22.8" x14ac:dyDescent="0.3">
      <c r="A134" s="17" t="s">
        <v>474</v>
      </c>
      <c r="B134" s="18" t="s">
        <v>475</v>
      </c>
      <c r="C134" s="18" t="s">
        <v>25</v>
      </c>
      <c r="D134" s="18" t="s">
        <v>44</v>
      </c>
      <c r="E134" s="18" t="s">
        <v>73</v>
      </c>
      <c r="F134" s="18" t="s">
        <v>476</v>
      </c>
      <c r="G134" s="18" t="s">
        <v>38</v>
      </c>
      <c r="H134" s="18" t="s">
        <v>39</v>
      </c>
      <c r="I134" s="18">
        <v>19</v>
      </c>
      <c r="J134" s="19">
        <v>1619</v>
      </c>
      <c r="K134" s="19">
        <v>923</v>
      </c>
      <c r="L134" s="20">
        <v>0.43</v>
      </c>
      <c r="M134" s="19">
        <v>893</v>
      </c>
      <c r="N134" s="19">
        <f>(tbl_raw[[#This Row],[Selling_Price]]-tbl_raw[[#This Row],[Cost_Price]])*tbl_raw[[#This Row],[Units_Sold]]</f>
        <v>570</v>
      </c>
      <c r="O134" s="20">
        <f>IFERROR((tbl_raw[[#This Row],[Selling_Price]]-tbl_raw[[#This Row],[Cost_Price]]) / tbl_raw[[#This Row],[Selling_Price]],0)</f>
        <v>3.2502708559046585E-2</v>
      </c>
      <c r="P134" s="19">
        <v>167</v>
      </c>
      <c r="Q134" s="19">
        <f>tbl_raw[[#This Row],[Gross_Profit]]-(tbl_raw[[#This Row],[Shipping_Cost]]*tbl_raw[[#This Row],[Units_Sold]])</f>
        <v>-2603</v>
      </c>
      <c r="R134" s="20">
        <f>IFERROR(tbl_raw[[#This Row],[Net_Profit]]/(tbl_raw[[#This Row],[Selling_Price]]*tbl_raw[[#This Row],[Units_Sold]]),0)</f>
        <v>-0.14842903575297942</v>
      </c>
      <c r="S134" s="18" t="s">
        <v>58</v>
      </c>
      <c r="T134" s="18" t="s">
        <v>32</v>
      </c>
      <c r="U134" s="18">
        <f>IF(tbl_raw[[#This Row],[Order_Status]]="Returned",1,0)</f>
        <v>0</v>
      </c>
      <c r="V134" s="18">
        <f>IF(tbl_raw[[#This Row],[Payment_Method]]="COD",1,0)</f>
        <v>0</v>
      </c>
      <c r="W134" s="21">
        <f>MIN(1,(tbl_raw[[#This Row],[Discount_Pct]]*1.4)+(tbl_raw[[#This Row],[COD_Flag]]*0.35))</f>
        <v>0.60199999999999998</v>
      </c>
    </row>
    <row r="135" spans="1:23" ht="22.8" x14ac:dyDescent="0.3">
      <c r="A135" s="22" t="s">
        <v>477</v>
      </c>
      <c r="B135" s="23" t="s">
        <v>478</v>
      </c>
      <c r="C135" s="23" t="s">
        <v>99</v>
      </c>
      <c r="D135" s="23" t="s">
        <v>164</v>
      </c>
      <c r="E135" s="23" t="s">
        <v>413</v>
      </c>
      <c r="F135" s="23" t="s">
        <v>479</v>
      </c>
      <c r="G135" s="23" t="s">
        <v>29</v>
      </c>
      <c r="H135" s="23" t="s">
        <v>30</v>
      </c>
      <c r="I135" s="23">
        <v>12</v>
      </c>
      <c r="J135" s="24">
        <v>7590</v>
      </c>
      <c r="K135" s="24">
        <v>5844</v>
      </c>
      <c r="L135" s="25">
        <v>0.23</v>
      </c>
      <c r="M135" s="24">
        <v>3791</v>
      </c>
      <c r="N135" s="24">
        <f>(tbl_raw[[#This Row],[Selling_Price]]-tbl_raw[[#This Row],[Cost_Price]])*tbl_raw[[#This Row],[Units_Sold]]</f>
        <v>24636</v>
      </c>
      <c r="O135" s="25">
        <f>IFERROR((tbl_raw[[#This Row],[Selling_Price]]-tbl_raw[[#This Row],[Cost_Price]]) / tbl_raw[[#This Row],[Selling_Price]],0)</f>
        <v>0.35130047912388773</v>
      </c>
      <c r="P135" s="24">
        <v>42</v>
      </c>
      <c r="Q135" s="24">
        <f>tbl_raw[[#This Row],[Gross_Profit]]-(tbl_raw[[#This Row],[Shipping_Cost]]*tbl_raw[[#This Row],[Units_Sold]])</f>
        <v>24132</v>
      </c>
      <c r="R135" s="25">
        <f>IFERROR(tbl_raw[[#This Row],[Net_Profit]]/(tbl_raw[[#This Row],[Selling_Price]]*tbl_raw[[#This Row],[Units_Sold]]),0)</f>
        <v>0.344113620807666</v>
      </c>
      <c r="S135" s="23" t="s">
        <v>40</v>
      </c>
      <c r="T135" s="23" t="s">
        <v>32</v>
      </c>
      <c r="U135" s="23">
        <f>IF(tbl_raw[[#This Row],[Order_Status]]="Returned",1,0)</f>
        <v>0</v>
      </c>
      <c r="V135" s="23">
        <f>IF(tbl_raw[[#This Row],[Payment_Method]]="COD",1,0)</f>
        <v>1</v>
      </c>
      <c r="W135" s="26">
        <f>MIN(1,(tbl_raw[[#This Row],[Discount_Pct]]*1.4)+(tbl_raw[[#This Row],[COD_Flag]]*0.35))</f>
        <v>0.67199999999999993</v>
      </c>
    </row>
    <row r="136" spans="1:23" ht="22.8" x14ac:dyDescent="0.3">
      <c r="A136" s="17" t="s">
        <v>480</v>
      </c>
      <c r="B136" s="18" t="s">
        <v>481</v>
      </c>
      <c r="C136" s="18" t="s">
        <v>43</v>
      </c>
      <c r="D136" s="18" t="s">
        <v>53</v>
      </c>
      <c r="E136" s="18" t="s">
        <v>54</v>
      </c>
      <c r="F136" s="18" t="s">
        <v>482</v>
      </c>
      <c r="G136" s="18" t="s">
        <v>120</v>
      </c>
      <c r="H136" s="18" t="s">
        <v>39</v>
      </c>
      <c r="I136" s="18">
        <v>17</v>
      </c>
      <c r="J136" s="19">
        <v>5200</v>
      </c>
      <c r="K136" s="19">
        <v>3796</v>
      </c>
      <c r="L136" s="20">
        <v>0.27</v>
      </c>
      <c r="M136" s="19">
        <v>3137</v>
      </c>
      <c r="N136" s="19">
        <f>(tbl_raw[[#This Row],[Selling_Price]]-tbl_raw[[#This Row],[Cost_Price]])*tbl_raw[[#This Row],[Units_Sold]]</f>
        <v>11203</v>
      </c>
      <c r="O136" s="20">
        <f>IFERROR((tbl_raw[[#This Row],[Selling_Price]]-tbl_raw[[#This Row],[Cost_Price]]) / tbl_raw[[#This Row],[Selling_Price]],0)</f>
        <v>0.17360379346680715</v>
      </c>
      <c r="P136" s="19">
        <v>56</v>
      </c>
      <c r="Q136" s="19">
        <f>tbl_raw[[#This Row],[Gross_Profit]]-(tbl_raw[[#This Row],[Shipping_Cost]]*tbl_raw[[#This Row],[Units_Sold]])</f>
        <v>10251</v>
      </c>
      <c r="R136" s="20">
        <f>IFERROR(tbl_raw[[#This Row],[Net_Profit]]/(tbl_raw[[#This Row],[Selling_Price]]*tbl_raw[[#This Row],[Units_Sold]]),0)</f>
        <v>0.15885142255005269</v>
      </c>
      <c r="S136" s="18" t="s">
        <v>65</v>
      </c>
      <c r="T136" s="18" t="s">
        <v>32</v>
      </c>
      <c r="U136" s="18">
        <f>IF(tbl_raw[[#This Row],[Order_Status]]="Returned",1,0)</f>
        <v>0</v>
      </c>
      <c r="V136" s="18">
        <f>IF(tbl_raw[[#This Row],[Payment_Method]]="COD",1,0)</f>
        <v>0</v>
      </c>
      <c r="W136" s="21">
        <f>MIN(1,(tbl_raw[[#This Row],[Discount_Pct]]*1.4)+(tbl_raw[[#This Row],[COD_Flag]]*0.35))</f>
        <v>0.378</v>
      </c>
    </row>
    <row r="137" spans="1:23" ht="22.8" x14ac:dyDescent="0.3">
      <c r="A137" s="22" t="s">
        <v>483</v>
      </c>
      <c r="B137" s="23" t="s">
        <v>484</v>
      </c>
      <c r="C137" s="23" t="s">
        <v>199</v>
      </c>
      <c r="D137" s="23" t="s">
        <v>26</v>
      </c>
      <c r="E137" s="23" t="s">
        <v>125</v>
      </c>
      <c r="F137" s="23" t="s">
        <v>485</v>
      </c>
      <c r="G137" s="23" t="s">
        <v>102</v>
      </c>
      <c r="H137" s="23" t="s">
        <v>39</v>
      </c>
      <c r="I137" s="23">
        <v>9</v>
      </c>
      <c r="J137" s="24">
        <v>5279</v>
      </c>
      <c r="K137" s="24">
        <v>3431</v>
      </c>
      <c r="L137" s="25">
        <v>0.35</v>
      </c>
      <c r="M137" s="24">
        <v>2881</v>
      </c>
      <c r="N137" s="24">
        <f>(tbl_raw[[#This Row],[Selling_Price]]-tbl_raw[[#This Row],[Cost_Price]])*tbl_raw[[#This Row],[Units_Sold]]</f>
        <v>4950</v>
      </c>
      <c r="O137" s="25">
        <f>IFERROR((tbl_raw[[#This Row],[Selling_Price]]-tbl_raw[[#This Row],[Cost_Price]]) / tbl_raw[[#This Row],[Selling_Price]],0)</f>
        <v>0.16030311862430779</v>
      </c>
      <c r="P137" s="24">
        <v>126</v>
      </c>
      <c r="Q137" s="24">
        <f>tbl_raw[[#This Row],[Gross_Profit]]-(tbl_raw[[#This Row],[Shipping_Cost]]*tbl_raw[[#This Row],[Units_Sold]])</f>
        <v>3816</v>
      </c>
      <c r="R137" s="25">
        <f>IFERROR(tbl_raw[[#This Row],[Net_Profit]]/(tbl_raw[[#This Row],[Selling_Price]]*tbl_raw[[#This Row],[Units_Sold]]),0)</f>
        <v>0.12357913144855727</v>
      </c>
      <c r="S137" s="23" t="s">
        <v>31</v>
      </c>
      <c r="T137" s="23" t="s">
        <v>32</v>
      </c>
      <c r="U137" s="23">
        <f>IF(tbl_raw[[#This Row],[Order_Status]]="Returned",1,0)</f>
        <v>0</v>
      </c>
      <c r="V137" s="23">
        <f>IF(tbl_raw[[#This Row],[Payment_Method]]="COD",1,0)</f>
        <v>0</v>
      </c>
      <c r="W137" s="26">
        <f>MIN(1,(tbl_raw[[#This Row],[Discount_Pct]]*1.4)+(tbl_raw[[#This Row],[COD_Flag]]*0.35))</f>
        <v>0.48999999999999994</v>
      </c>
    </row>
    <row r="138" spans="1:23" ht="22.8" x14ac:dyDescent="0.3">
      <c r="A138" s="17" t="s">
        <v>486</v>
      </c>
      <c r="B138" s="18" t="s">
        <v>93</v>
      </c>
      <c r="C138" s="18" t="s">
        <v>25</v>
      </c>
      <c r="D138" s="18" t="s">
        <v>62</v>
      </c>
      <c r="E138" s="18" t="s">
        <v>203</v>
      </c>
      <c r="F138" s="18" t="s">
        <v>487</v>
      </c>
      <c r="G138" s="18" t="s">
        <v>47</v>
      </c>
      <c r="H138" s="18" t="s">
        <v>48</v>
      </c>
      <c r="I138" s="18">
        <v>10</v>
      </c>
      <c r="J138" s="19">
        <v>3738</v>
      </c>
      <c r="K138" s="19">
        <v>2579</v>
      </c>
      <c r="L138" s="20">
        <v>0.31</v>
      </c>
      <c r="M138" s="19">
        <v>1702</v>
      </c>
      <c r="N138" s="19">
        <f>(tbl_raw[[#This Row],[Selling_Price]]-tbl_raw[[#This Row],[Cost_Price]])*tbl_raw[[#This Row],[Units_Sold]]</f>
        <v>8770</v>
      </c>
      <c r="O138" s="20">
        <f>IFERROR((tbl_raw[[#This Row],[Selling_Price]]-tbl_raw[[#This Row],[Cost_Price]]) / tbl_raw[[#This Row],[Selling_Price]],0)</f>
        <v>0.34005428460643661</v>
      </c>
      <c r="P138" s="19">
        <v>92</v>
      </c>
      <c r="Q138" s="19">
        <f>tbl_raw[[#This Row],[Gross_Profit]]-(tbl_raw[[#This Row],[Shipping_Cost]]*tbl_raw[[#This Row],[Units_Sold]])</f>
        <v>7850</v>
      </c>
      <c r="R138" s="20">
        <f>IFERROR(tbl_raw[[#This Row],[Net_Profit]]/(tbl_raw[[#This Row],[Selling_Price]]*tbl_raw[[#This Row],[Units_Sold]]),0)</f>
        <v>0.30438154323381156</v>
      </c>
      <c r="S138" s="18" t="s">
        <v>31</v>
      </c>
      <c r="T138" s="18" t="s">
        <v>32</v>
      </c>
      <c r="U138" s="18">
        <f>IF(tbl_raw[[#This Row],[Order_Status]]="Returned",1,0)</f>
        <v>0</v>
      </c>
      <c r="V138" s="18">
        <f>IF(tbl_raw[[#This Row],[Payment_Method]]="COD",1,0)</f>
        <v>0</v>
      </c>
      <c r="W138" s="21">
        <f>MIN(1,(tbl_raw[[#This Row],[Discount_Pct]]*1.4)+(tbl_raw[[#This Row],[COD_Flag]]*0.35))</f>
        <v>0.434</v>
      </c>
    </row>
    <row r="139" spans="1:23" ht="22.8" x14ac:dyDescent="0.3">
      <c r="A139" s="22" t="s">
        <v>488</v>
      </c>
      <c r="B139" s="23" t="s">
        <v>399</v>
      </c>
      <c r="C139" s="23" t="s">
        <v>89</v>
      </c>
      <c r="D139" s="23" t="s">
        <v>44</v>
      </c>
      <c r="E139" s="23" t="s">
        <v>279</v>
      </c>
      <c r="F139" s="23" t="s">
        <v>489</v>
      </c>
      <c r="G139" s="23" t="s">
        <v>81</v>
      </c>
      <c r="H139" s="23" t="s">
        <v>30</v>
      </c>
      <c r="I139" s="23">
        <v>12</v>
      </c>
      <c r="J139" s="24">
        <v>4217</v>
      </c>
      <c r="K139" s="24">
        <v>4006</v>
      </c>
      <c r="L139" s="25">
        <v>0.05</v>
      </c>
      <c r="M139" s="24">
        <v>2044</v>
      </c>
      <c r="N139" s="24">
        <f>(tbl_raw[[#This Row],[Selling_Price]]-tbl_raw[[#This Row],[Cost_Price]])*tbl_raw[[#This Row],[Units_Sold]]</f>
        <v>23544</v>
      </c>
      <c r="O139" s="25">
        <f>IFERROR((tbl_raw[[#This Row],[Selling_Price]]-tbl_raw[[#This Row],[Cost_Price]]) / tbl_raw[[#This Row],[Selling_Price]],0)</f>
        <v>0.48976535197204196</v>
      </c>
      <c r="P139" s="24">
        <v>48</v>
      </c>
      <c r="Q139" s="24">
        <f>tbl_raw[[#This Row],[Gross_Profit]]-(tbl_raw[[#This Row],[Shipping_Cost]]*tbl_raw[[#This Row],[Units_Sold]])</f>
        <v>22968</v>
      </c>
      <c r="R139" s="25">
        <f>IFERROR(tbl_raw[[#This Row],[Net_Profit]]/(tbl_raw[[#This Row],[Selling_Price]]*tbl_raw[[#This Row],[Units_Sold]]),0)</f>
        <v>0.47778332501248127</v>
      </c>
      <c r="S139" s="23" t="s">
        <v>31</v>
      </c>
      <c r="T139" s="23" t="s">
        <v>32</v>
      </c>
      <c r="U139" s="23">
        <f>IF(tbl_raw[[#This Row],[Order_Status]]="Returned",1,0)</f>
        <v>0</v>
      </c>
      <c r="V139" s="23">
        <f>IF(tbl_raw[[#This Row],[Payment_Method]]="COD",1,0)</f>
        <v>0</v>
      </c>
      <c r="W139" s="26">
        <f>MIN(1,(tbl_raw[[#This Row],[Discount_Pct]]*1.4)+(tbl_raw[[#This Row],[COD_Flag]]*0.35))</f>
        <v>6.9999999999999993E-2</v>
      </c>
    </row>
    <row r="140" spans="1:23" ht="22.8" x14ac:dyDescent="0.3">
      <c r="A140" s="17" t="s">
        <v>490</v>
      </c>
      <c r="B140" s="18" t="s">
        <v>491</v>
      </c>
      <c r="C140" s="18" t="s">
        <v>99</v>
      </c>
      <c r="D140" s="18" t="s">
        <v>78</v>
      </c>
      <c r="E140" s="18" t="s">
        <v>118</v>
      </c>
      <c r="F140" s="18" t="s">
        <v>492</v>
      </c>
      <c r="G140" s="18" t="s">
        <v>81</v>
      </c>
      <c r="H140" s="18" t="s">
        <v>30</v>
      </c>
      <c r="I140" s="18">
        <v>11</v>
      </c>
      <c r="J140" s="19">
        <v>7483</v>
      </c>
      <c r="K140" s="19">
        <v>5088</v>
      </c>
      <c r="L140" s="20">
        <v>0.32</v>
      </c>
      <c r="M140" s="19">
        <v>3490</v>
      </c>
      <c r="N140" s="19">
        <f>(tbl_raw[[#This Row],[Selling_Price]]-tbl_raw[[#This Row],[Cost_Price]])*tbl_raw[[#This Row],[Units_Sold]]</f>
        <v>17578</v>
      </c>
      <c r="O140" s="20">
        <f>IFERROR((tbl_raw[[#This Row],[Selling_Price]]-tbl_raw[[#This Row],[Cost_Price]]) / tbl_raw[[#This Row],[Selling_Price]],0)</f>
        <v>0.31407232704402516</v>
      </c>
      <c r="P140" s="19">
        <v>54</v>
      </c>
      <c r="Q140" s="19">
        <f>tbl_raw[[#This Row],[Gross_Profit]]-(tbl_raw[[#This Row],[Shipping_Cost]]*tbl_raw[[#This Row],[Units_Sold]])</f>
        <v>16984</v>
      </c>
      <c r="R140" s="20">
        <f>IFERROR(tbl_raw[[#This Row],[Net_Profit]]/(tbl_raw[[#This Row],[Selling_Price]]*tbl_raw[[#This Row],[Units_Sold]]),0)</f>
        <v>0.30345911949685533</v>
      </c>
      <c r="S140" s="18" t="s">
        <v>65</v>
      </c>
      <c r="T140" s="18" t="s">
        <v>59</v>
      </c>
      <c r="U140" s="18">
        <f>IF(tbl_raw[[#This Row],[Order_Status]]="Returned",1,0)</f>
        <v>0</v>
      </c>
      <c r="V140" s="18">
        <f>IF(tbl_raw[[#This Row],[Payment_Method]]="COD",1,0)</f>
        <v>0</v>
      </c>
      <c r="W140" s="21">
        <f>MIN(1,(tbl_raw[[#This Row],[Discount_Pct]]*1.4)+(tbl_raw[[#This Row],[COD_Flag]]*0.35))</f>
        <v>0.44799999999999995</v>
      </c>
    </row>
    <row r="141" spans="1:23" ht="22.8" x14ac:dyDescent="0.3">
      <c r="A141" s="22" t="s">
        <v>493</v>
      </c>
      <c r="B141" s="23" t="s">
        <v>494</v>
      </c>
      <c r="C141" s="23" t="s">
        <v>117</v>
      </c>
      <c r="D141" s="23" t="s">
        <v>175</v>
      </c>
      <c r="E141" s="23" t="s">
        <v>149</v>
      </c>
      <c r="F141" s="23" t="s">
        <v>495</v>
      </c>
      <c r="G141" s="23" t="s">
        <v>75</v>
      </c>
      <c r="H141" s="23" t="s">
        <v>48</v>
      </c>
      <c r="I141" s="23">
        <v>8</v>
      </c>
      <c r="J141" s="24">
        <v>1878</v>
      </c>
      <c r="K141" s="24">
        <v>1578</v>
      </c>
      <c r="L141" s="25">
        <v>0.16</v>
      </c>
      <c r="M141" s="24">
        <v>784</v>
      </c>
      <c r="N141" s="24">
        <f>(tbl_raw[[#This Row],[Selling_Price]]-tbl_raw[[#This Row],[Cost_Price]])*tbl_raw[[#This Row],[Units_Sold]]</f>
        <v>6352</v>
      </c>
      <c r="O141" s="25">
        <f>IFERROR((tbl_raw[[#This Row],[Selling_Price]]-tbl_raw[[#This Row],[Cost_Price]]) / tbl_raw[[#This Row],[Selling_Price]],0)</f>
        <v>0.50316856780735109</v>
      </c>
      <c r="P141" s="24">
        <v>104</v>
      </c>
      <c r="Q141" s="24">
        <f>tbl_raw[[#This Row],[Gross_Profit]]-(tbl_raw[[#This Row],[Shipping_Cost]]*tbl_raw[[#This Row],[Units_Sold]])</f>
        <v>5520</v>
      </c>
      <c r="R141" s="25">
        <f>IFERROR(tbl_raw[[#This Row],[Net_Profit]]/(tbl_raw[[#This Row],[Selling_Price]]*tbl_raw[[#This Row],[Units_Sold]]),0)</f>
        <v>0.43726235741444869</v>
      </c>
      <c r="S141" s="23" t="s">
        <v>31</v>
      </c>
      <c r="T141" s="23" t="s">
        <v>32</v>
      </c>
      <c r="U141" s="23">
        <f>IF(tbl_raw[[#This Row],[Order_Status]]="Returned",1,0)</f>
        <v>0</v>
      </c>
      <c r="V141" s="23">
        <f>IF(tbl_raw[[#This Row],[Payment_Method]]="COD",1,0)</f>
        <v>0</v>
      </c>
      <c r="W141" s="26">
        <f>MIN(1,(tbl_raw[[#This Row],[Discount_Pct]]*1.4)+(tbl_raw[[#This Row],[COD_Flag]]*0.35))</f>
        <v>0.22399999999999998</v>
      </c>
    </row>
    <row r="142" spans="1:23" ht="22.8" x14ac:dyDescent="0.3">
      <c r="A142" s="17" t="s">
        <v>496</v>
      </c>
      <c r="B142" s="18" t="s">
        <v>497</v>
      </c>
      <c r="C142" s="18" t="s">
        <v>72</v>
      </c>
      <c r="D142" s="18" t="s">
        <v>164</v>
      </c>
      <c r="E142" s="18" t="s">
        <v>413</v>
      </c>
      <c r="F142" s="18" t="s">
        <v>498</v>
      </c>
      <c r="G142" s="18" t="s">
        <v>56</v>
      </c>
      <c r="H142" s="18" t="s">
        <v>57</v>
      </c>
      <c r="I142" s="18">
        <v>13</v>
      </c>
      <c r="J142" s="19">
        <v>3054</v>
      </c>
      <c r="K142" s="19">
        <v>2504</v>
      </c>
      <c r="L142" s="20">
        <v>0.18</v>
      </c>
      <c r="M142" s="19">
        <v>1831</v>
      </c>
      <c r="N142" s="19">
        <f>(tbl_raw[[#This Row],[Selling_Price]]-tbl_raw[[#This Row],[Cost_Price]])*tbl_raw[[#This Row],[Units_Sold]]</f>
        <v>8749</v>
      </c>
      <c r="O142" s="20">
        <f>IFERROR((tbl_raw[[#This Row],[Selling_Price]]-tbl_raw[[#This Row],[Cost_Price]]) / tbl_raw[[#This Row],[Selling_Price]],0)</f>
        <v>0.26876996805111819</v>
      </c>
      <c r="P142" s="19">
        <v>59</v>
      </c>
      <c r="Q142" s="19">
        <f>tbl_raw[[#This Row],[Gross_Profit]]-(tbl_raw[[#This Row],[Shipping_Cost]]*tbl_raw[[#This Row],[Units_Sold]])</f>
        <v>7982</v>
      </c>
      <c r="R142" s="20">
        <f>IFERROR(tbl_raw[[#This Row],[Net_Profit]]/(tbl_raw[[#This Row],[Selling_Price]]*tbl_raw[[#This Row],[Units_Sold]]),0)</f>
        <v>0.24520766773162939</v>
      </c>
      <c r="S142" s="18" t="s">
        <v>65</v>
      </c>
      <c r="T142" s="18" t="s">
        <v>32</v>
      </c>
      <c r="U142" s="18">
        <f>IF(tbl_raw[[#This Row],[Order_Status]]="Returned",1,0)</f>
        <v>0</v>
      </c>
      <c r="V142" s="18">
        <f>IF(tbl_raw[[#This Row],[Payment_Method]]="COD",1,0)</f>
        <v>0</v>
      </c>
      <c r="W142" s="21">
        <f>MIN(1,(tbl_raw[[#This Row],[Discount_Pct]]*1.4)+(tbl_raw[[#This Row],[COD_Flag]]*0.35))</f>
        <v>0.252</v>
      </c>
    </row>
    <row r="143" spans="1:23" ht="22.8" x14ac:dyDescent="0.3">
      <c r="A143" s="22" t="s">
        <v>499</v>
      </c>
      <c r="B143" s="23" t="s">
        <v>500</v>
      </c>
      <c r="C143" s="23" t="s">
        <v>117</v>
      </c>
      <c r="D143" s="23" t="s">
        <v>53</v>
      </c>
      <c r="E143" s="23" t="s">
        <v>54</v>
      </c>
      <c r="F143" s="23" t="s">
        <v>501</v>
      </c>
      <c r="G143" s="23" t="s">
        <v>102</v>
      </c>
      <c r="H143" s="23" t="s">
        <v>39</v>
      </c>
      <c r="I143" s="23">
        <v>4</v>
      </c>
      <c r="J143" s="24">
        <v>1204</v>
      </c>
      <c r="K143" s="24">
        <v>1156</v>
      </c>
      <c r="L143" s="25">
        <v>0.04</v>
      </c>
      <c r="M143" s="24">
        <v>639</v>
      </c>
      <c r="N143" s="24">
        <f>(tbl_raw[[#This Row],[Selling_Price]]-tbl_raw[[#This Row],[Cost_Price]])*tbl_raw[[#This Row],[Units_Sold]]</f>
        <v>2068</v>
      </c>
      <c r="O143" s="25">
        <f>IFERROR((tbl_raw[[#This Row],[Selling_Price]]-tbl_raw[[#This Row],[Cost_Price]]) / tbl_raw[[#This Row],[Selling_Price]],0)</f>
        <v>0.44723183391003463</v>
      </c>
      <c r="P143" s="24">
        <v>178</v>
      </c>
      <c r="Q143" s="24">
        <f>tbl_raw[[#This Row],[Gross_Profit]]-(tbl_raw[[#This Row],[Shipping_Cost]]*tbl_raw[[#This Row],[Units_Sold]])</f>
        <v>1356</v>
      </c>
      <c r="R143" s="25">
        <f>IFERROR(tbl_raw[[#This Row],[Net_Profit]]/(tbl_raw[[#This Row],[Selling_Price]]*tbl_raw[[#This Row],[Units_Sold]]),0)</f>
        <v>0.29325259515570934</v>
      </c>
      <c r="S143" s="23" t="s">
        <v>65</v>
      </c>
      <c r="T143" s="23" t="s">
        <v>86</v>
      </c>
      <c r="U143" s="23">
        <f>IF(tbl_raw[[#This Row],[Order_Status]]="Returned",1,0)</f>
        <v>1</v>
      </c>
      <c r="V143" s="23">
        <f>IF(tbl_raw[[#This Row],[Payment_Method]]="COD",1,0)</f>
        <v>0</v>
      </c>
      <c r="W143" s="26">
        <f>MIN(1,(tbl_raw[[#This Row],[Discount_Pct]]*1.4)+(tbl_raw[[#This Row],[COD_Flag]]*0.35))</f>
        <v>5.5999999999999994E-2</v>
      </c>
    </row>
    <row r="144" spans="1:23" ht="22.8" x14ac:dyDescent="0.3">
      <c r="A144" s="17" t="s">
        <v>502</v>
      </c>
      <c r="B144" s="18" t="s">
        <v>503</v>
      </c>
      <c r="C144" s="18" t="s">
        <v>35</v>
      </c>
      <c r="D144" s="18" t="s">
        <v>78</v>
      </c>
      <c r="E144" s="18" t="s">
        <v>84</v>
      </c>
      <c r="F144" s="18" t="s">
        <v>504</v>
      </c>
      <c r="G144" s="18" t="s">
        <v>139</v>
      </c>
      <c r="H144" s="18" t="s">
        <v>48</v>
      </c>
      <c r="I144" s="18">
        <v>2</v>
      </c>
      <c r="J144" s="19">
        <v>1269</v>
      </c>
      <c r="K144" s="19">
        <v>1079</v>
      </c>
      <c r="L144" s="20">
        <v>0.15</v>
      </c>
      <c r="M144" s="19">
        <v>718</v>
      </c>
      <c r="N144" s="19">
        <f>(tbl_raw[[#This Row],[Selling_Price]]-tbl_raw[[#This Row],[Cost_Price]])*tbl_raw[[#This Row],[Units_Sold]]</f>
        <v>722</v>
      </c>
      <c r="O144" s="20">
        <f>IFERROR((tbl_raw[[#This Row],[Selling_Price]]-tbl_raw[[#This Row],[Cost_Price]]) / tbl_raw[[#This Row],[Selling_Price]],0)</f>
        <v>0.33456904541241889</v>
      </c>
      <c r="P144" s="19">
        <v>99</v>
      </c>
      <c r="Q144" s="19">
        <f>tbl_raw[[#This Row],[Gross_Profit]]-(tbl_raw[[#This Row],[Shipping_Cost]]*tbl_raw[[#This Row],[Units_Sold]])</f>
        <v>524</v>
      </c>
      <c r="R144" s="20">
        <f>IFERROR(tbl_raw[[#This Row],[Net_Profit]]/(tbl_raw[[#This Row],[Selling_Price]]*tbl_raw[[#This Row],[Units_Sold]]),0)</f>
        <v>0.2428174235403151</v>
      </c>
      <c r="S144" s="18" t="s">
        <v>65</v>
      </c>
      <c r="T144" s="18" t="s">
        <v>32</v>
      </c>
      <c r="U144" s="18">
        <f>IF(tbl_raw[[#This Row],[Order_Status]]="Returned",1,0)</f>
        <v>0</v>
      </c>
      <c r="V144" s="18">
        <f>IF(tbl_raw[[#This Row],[Payment_Method]]="COD",1,0)</f>
        <v>0</v>
      </c>
      <c r="W144" s="21">
        <f>MIN(1,(tbl_raw[[#This Row],[Discount_Pct]]*1.4)+(tbl_raw[[#This Row],[COD_Flag]]*0.35))</f>
        <v>0.21</v>
      </c>
    </row>
    <row r="145" spans="1:23" ht="22.8" x14ac:dyDescent="0.3">
      <c r="A145" s="22" t="s">
        <v>505</v>
      </c>
      <c r="B145" s="23" t="s">
        <v>198</v>
      </c>
      <c r="C145" s="23" t="s">
        <v>199</v>
      </c>
      <c r="D145" s="23" t="s">
        <v>164</v>
      </c>
      <c r="E145" s="23" t="s">
        <v>251</v>
      </c>
      <c r="F145" s="23" t="s">
        <v>506</v>
      </c>
      <c r="G145" s="23" t="s">
        <v>143</v>
      </c>
      <c r="H145" s="23" t="s">
        <v>30</v>
      </c>
      <c r="I145" s="23">
        <v>19</v>
      </c>
      <c r="J145" s="24">
        <v>2824</v>
      </c>
      <c r="K145" s="24">
        <v>1779</v>
      </c>
      <c r="L145" s="25">
        <v>0.37</v>
      </c>
      <c r="M145" s="24">
        <v>1656</v>
      </c>
      <c r="N145" s="24">
        <f>(tbl_raw[[#This Row],[Selling_Price]]-tbl_raw[[#This Row],[Cost_Price]])*tbl_raw[[#This Row],[Units_Sold]]</f>
        <v>2337</v>
      </c>
      <c r="O145" s="25">
        <f>IFERROR((tbl_raw[[#This Row],[Selling_Price]]-tbl_raw[[#This Row],[Cost_Price]]) / tbl_raw[[#This Row],[Selling_Price]],0)</f>
        <v>6.9139966273187178E-2</v>
      </c>
      <c r="P145" s="24">
        <v>136</v>
      </c>
      <c r="Q145" s="24">
        <f>tbl_raw[[#This Row],[Gross_Profit]]-(tbl_raw[[#This Row],[Shipping_Cost]]*tbl_raw[[#This Row],[Units_Sold]])</f>
        <v>-247</v>
      </c>
      <c r="R145" s="25">
        <f>IFERROR(tbl_raw[[#This Row],[Net_Profit]]/(tbl_raw[[#This Row],[Selling_Price]]*tbl_raw[[#This Row],[Units_Sold]]),0)</f>
        <v>-7.3074761101742554E-3</v>
      </c>
      <c r="S145" s="23" t="s">
        <v>107</v>
      </c>
      <c r="T145" s="23" t="s">
        <v>32</v>
      </c>
      <c r="U145" s="23">
        <f>IF(tbl_raw[[#This Row],[Order_Status]]="Returned",1,0)</f>
        <v>0</v>
      </c>
      <c r="V145" s="23">
        <f>IF(tbl_raw[[#This Row],[Payment_Method]]="COD",1,0)</f>
        <v>0</v>
      </c>
      <c r="W145" s="26">
        <f>MIN(1,(tbl_raw[[#This Row],[Discount_Pct]]*1.4)+(tbl_raw[[#This Row],[COD_Flag]]*0.35))</f>
        <v>0.51800000000000002</v>
      </c>
    </row>
    <row r="146" spans="1:23" ht="22.8" x14ac:dyDescent="0.3">
      <c r="A146" s="17" t="s">
        <v>507</v>
      </c>
      <c r="B146" s="18" t="s">
        <v>508</v>
      </c>
      <c r="C146" s="18" t="s">
        <v>89</v>
      </c>
      <c r="D146" s="18" t="s">
        <v>175</v>
      </c>
      <c r="E146" s="18" t="s">
        <v>149</v>
      </c>
      <c r="F146" s="18" t="s">
        <v>509</v>
      </c>
      <c r="G146" s="18" t="s">
        <v>143</v>
      </c>
      <c r="H146" s="18" t="s">
        <v>30</v>
      </c>
      <c r="I146" s="18">
        <v>1</v>
      </c>
      <c r="J146" s="19">
        <v>4856</v>
      </c>
      <c r="K146" s="19">
        <v>4273</v>
      </c>
      <c r="L146" s="20">
        <v>0.12</v>
      </c>
      <c r="M146" s="19">
        <v>3057</v>
      </c>
      <c r="N146" s="19">
        <f>(tbl_raw[[#This Row],[Selling_Price]]-tbl_raw[[#This Row],[Cost_Price]])*tbl_raw[[#This Row],[Units_Sold]]</f>
        <v>1216</v>
      </c>
      <c r="O146" s="20">
        <f>IFERROR((tbl_raw[[#This Row],[Selling_Price]]-tbl_raw[[#This Row],[Cost_Price]]) / tbl_raw[[#This Row],[Selling_Price]],0)</f>
        <v>0.28457758015445822</v>
      </c>
      <c r="P146" s="19">
        <v>176</v>
      </c>
      <c r="Q146" s="19">
        <f>tbl_raw[[#This Row],[Gross_Profit]]-(tbl_raw[[#This Row],[Shipping_Cost]]*tbl_raw[[#This Row],[Units_Sold]])</f>
        <v>1040</v>
      </c>
      <c r="R146" s="20">
        <f>IFERROR(tbl_raw[[#This Row],[Net_Profit]]/(tbl_raw[[#This Row],[Selling_Price]]*tbl_raw[[#This Row],[Units_Sold]]),0)</f>
        <v>0.24338871986894453</v>
      </c>
      <c r="S146" s="18" t="s">
        <v>65</v>
      </c>
      <c r="T146" s="18" t="s">
        <v>32</v>
      </c>
      <c r="U146" s="18">
        <f>IF(tbl_raw[[#This Row],[Order_Status]]="Returned",1,0)</f>
        <v>0</v>
      </c>
      <c r="V146" s="18">
        <f>IF(tbl_raw[[#This Row],[Payment_Method]]="COD",1,0)</f>
        <v>0</v>
      </c>
      <c r="W146" s="21">
        <f>MIN(1,(tbl_raw[[#This Row],[Discount_Pct]]*1.4)+(tbl_raw[[#This Row],[COD_Flag]]*0.35))</f>
        <v>0.16799999999999998</v>
      </c>
    </row>
    <row r="147" spans="1:23" ht="22.8" x14ac:dyDescent="0.3">
      <c r="A147" s="22" t="s">
        <v>510</v>
      </c>
      <c r="B147" s="23" t="s">
        <v>511</v>
      </c>
      <c r="C147" s="23" t="s">
        <v>199</v>
      </c>
      <c r="D147" s="23" t="s">
        <v>164</v>
      </c>
      <c r="E147" s="23" t="s">
        <v>345</v>
      </c>
      <c r="F147" s="23" t="s">
        <v>512</v>
      </c>
      <c r="G147" s="23" t="s">
        <v>102</v>
      </c>
      <c r="H147" s="23" t="s">
        <v>39</v>
      </c>
      <c r="I147" s="23">
        <v>13</v>
      </c>
      <c r="J147" s="24">
        <v>1353</v>
      </c>
      <c r="K147" s="24">
        <v>934</v>
      </c>
      <c r="L147" s="25">
        <v>0.31</v>
      </c>
      <c r="M147" s="24">
        <v>556</v>
      </c>
      <c r="N147" s="24">
        <f>(tbl_raw[[#This Row],[Selling_Price]]-tbl_raw[[#This Row],[Cost_Price]])*tbl_raw[[#This Row],[Units_Sold]]</f>
        <v>4914</v>
      </c>
      <c r="O147" s="25">
        <f>IFERROR((tbl_raw[[#This Row],[Selling_Price]]-tbl_raw[[#This Row],[Cost_Price]]) / tbl_raw[[#This Row],[Selling_Price]],0)</f>
        <v>0.40471092077087795</v>
      </c>
      <c r="P147" s="24">
        <v>172</v>
      </c>
      <c r="Q147" s="24">
        <f>tbl_raw[[#This Row],[Gross_Profit]]-(tbl_raw[[#This Row],[Shipping_Cost]]*tbl_raw[[#This Row],[Units_Sold]])</f>
        <v>2678</v>
      </c>
      <c r="R147" s="25">
        <f>IFERROR(tbl_raw[[#This Row],[Net_Profit]]/(tbl_raw[[#This Row],[Selling_Price]]*tbl_raw[[#This Row],[Units_Sold]]),0)</f>
        <v>0.22055674518201285</v>
      </c>
      <c r="S147" s="23" t="s">
        <v>58</v>
      </c>
      <c r="T147" s="23" t="s">
        <v>32</v>
      </c>
      <c r="U147" s="23">
        <f>IF(tbl_raw[[#This Row],[Order_Status]]="Returned",1,0)</f>
        <v>0</v>
      </c>
      <c r="V147" s="23">
        <f>IF(tbl_raw[[#This Row],[Payment_Method]]="COD",1,0)</f>
        <v>0</v>
      </c>
      <c r="W147" s="26">
        <f>MIN(1,(tbl_raw[[#This Row],[Discount_Pct]]*1.4)+(tbl_raw[[#This Row],[COD_Flag]]*0.35))</f>
        <v>0.434</v>
      </c>
    </row>
    <row r="148" spans="1:23" ht="22.8" x14ac:dyDescent="0.3">
      <c r="A148" s="17" t="s">
        <v>513</v>
      </c>
      <c r="B148" s="18" t="s">
        <v>514</v>
      </c>
      <c r="C148" s="18" t="s">
        <v>52</v>
      </c>
      <c r="D148" s="18" t="s">
        <v>78</v>
      </c>
      <c r="E148" s="18" t="s">
        <v>118</v>
      </c>
      <c r="F148" s="18" t="s">
        <v>515</v>
      </c>
      <c r="G148" s="18" t="s">
        <v>38</v>
      </c>
      <c r="H148" s="18" t="s">
        <v>39</v>
      </c>
      <c r="I148" s="18">
        <v>20</v>
      </c>
      <c r="J148" s="19">
        <v>7380</v>
      </c>
      <c r="K148" s="19">
        <v>4502</v>
      </c>
      <c r="L148" s="20">
        <v>0.39</v>
      </c>
      <c r="M148" s="19">
        <v>4853</v>
      </c>
      <c r="N148" s="19">
        <f>(tbl_raw[[#This Row],[Selling_Price]]-tbl_raw[[#This Row],[Cost_Price]])*tbl_raw[[#This Row],[Units_Sold]]</f>
        <v>-7020</v>
      </c>
      <c r="O148" s="20">
        <f>IFERROR((tbl_raw[[#This Row],[Selling_Price]]-tbl_raw[[#This Row],[Cost_Price]]) / tbl_raw[[#This Row],[Selling_Price]],0)</f>
        <v>-7.7965348733896045E-2</v>
      </c>
      <c r="P148" s="19">
        <v>39</v>
      </c>
      <c r="Q148" s="19">
        <f>tbl_raw[[#This Row],[Gross_Profit]]-(tbl_raw[[#This Row],[Shipping_Cost]]*tbl_raw[[#This Row],[Units_Sold]])</f>
        <v>-7800</v>
      </c>
      <c r="R148" s="20">
        <f>IFERROR(tbl_raw[[#This Row],[Net_Profit]]/(tbl_raw[[#This Row],[Selling_Price]]*tbl_raw[[#This Row],[Units_Sold]]),0)</f>
        <v>-8.6628165259884496E-2</v>
      </c>
      <c r="S148" s="18" t="s">
        <v>40</v>
      </c>
      <c r="T148" s="18" t="s">
        <v>32</v>
      </c>
      <c r="U148" s="18">
        <f>IF(tbl_raw[[#This Row],[Order_Status]]="Returned",1,0)</f>
        <v>0</v>
      </c>
      <c r="V148" s="18">
        <f>IF(tbl_raw[[#This Row],[Payment_Method]]="COD",1,0)</f>
        <v>1</v>
      </c>
      <c r="W148" s="21">
        <f>MIN(1,(tbl_raw[[#This Row],[Discount_Pct]]*1.4)+(tbl_raw[[#This Row],[COD_Flag]]*0.35))</f>
        <v>0.89599999999999991</v>
      </c>
    </row>
    <row r="149" spans="1:23" ht="22.8" x14ac:dyDescent="0.3">
      <c r="A149" s="22" t="s">
        <v>516</v>
      </c>
      <c r="B149" s="23" t="s">
        <v>292</v>
      </c>
      <c r="C149" s="23" t="s">
        <v>25</v>
      </c>
      <c r="D149" s="23" t="s">
        <v>78</v>
      </c>
      <c r="E149" s="23" t="s">
        <v>79</v>
      </c>
      <c r="F149" s="23" t="s">
        <v>517</v>
      </c>
      <c r="G149" s="23" t="s">
        <v>75</v>
      </c>
      <c r="H149" s="23" t="s">
        <v>48</v>
      </c>
      <c r="I149" s="23">
        <v>18</v>
      </c>
      <c r="J149" s="24">
        <v>2870</v>
      </c>
      <c r="K149" s="24">
        <v>2411</v>
      </c>
      <c r="L149" s="25">
        <v>0.16</v>
      </c>
      <c r="M149" s="24">
        <v>1923</v>
      </c>
      <c r="N149" s="24">
        <f>(tbl_raw[[#This Row],[Selling_Price]]-tbl_raw[[#This Row],[Cost_Price]])*tbl_raw[[#This Row],[Units_Sold]]</f>
        <v>8784</v>
      </c>
      <c r="O149" s="25">
        <f>IFERROR((tbl_raw[[#This Row],[Selling_Price]]-tbl_raw[[#This Row],[Cost_Price]]) / tbl_raw[[#This Row],[Selling_Price]],0)</f>
        <v>0.20240564081294068</v>
      </c>
      <c r="P149" s="24">
        <v>138</v>
      </c>
      <c r="Q149" s="24">
        <f>tbl_raw[[#This Row],[Gross_Profit]]-(tbl_raw[[#This Row],[Shipping_Cost]]*tbl_raw[[#This Row],[Units_Sold]])</f>
        <v>6300</v>
      </c>
      <c r="R149" s="25">
        <f>IFERROR(tbl_raw[[#This Row],[Net_Profit]]/(tbl_raw[[#This Row],[Selling_Price]]*tbl_raw[[#This Row],[Units_Sold]]),0)</f>
        <v>0.14516798009124846</v>
      </c>
      <c r="S149" s="23" t="s">
        <v>107</v>
      </c>
      <c r="T149" s="23" t="s">
        <v>32</v>
      </c>
      <c r="U149" s="23">
        <f>IF(tbl_raw[[#This Row],[Order_Status]]="Returned",1,0)</f>
        <v>0</v>
      </c>
      <c r="V149" s="23">
        <f>IF(tbl_raw[[#This Row],[Payment_Method]]="COD",1,0)</f>
        <v>0</v>
      </c>
      <c r="W149" s="26">
        <f>MIN(1,(tbl_raw[[#This Row],[Discount_Pct]]*1.4)+(tbl_raw[[#This Row],[COD_Flag]]*0.35))</f>
        <v>0.22399999999999998</v>
      </c>
    </row>
    <row r="150" spans="1:23" ht="22.8" x14ac:dyDescent="0.3">
      <c r="A150" s="17" t="s">
        <v>518</v>
      </c>
      <c r="B150" s="18" t="s">
        <v>141</v>
      </c>
      <c r="C150" s="18" t="s">
        <v>35</v>
      </c>
      <c r="D150" s="18" t="s">
        <v>53</v>
      </c>
      <c r="E150" s="18" t="s">
        <v>145</v>
      </c>
      <c r="F150" s="18" t="s">
        <v>519</v>
      </c>
      <c r="G150" s="18" t="s">
        <v>143</v>
      </c>
      <c r="H150" s="18" t="s">
        <v>30</v>
      </c>
      <c r="I150" s="18">
        <v>7</v>
      </c>
      <c r="J150" s="19">
        <v>5584</v>
      </c>
      <c r="K150" s="19">
        <v>4356</v>
      </c>
      <c r="L150" s="20">
        <v>0.22</v>
      </c>
      <c r="M150" s="19">
        <v>3171</v>
      </c>
      <c r="N150" s="19">
        <f>(tbl_raw[[#This Row],[Selling_Price]]-tbl_raw[[#This Row],[Cost_Price]])*tbl_raw[[#This Row],[Units_Sold]]</f>
        <v>8295</v>
      </c>
      <c r="O150" s="20">
        <f>IFERROR((tbl_raw[[#This Row],[Selling_Price]]-tbl_raw[[#This Row],[Cost_Price]]) / tbl_raw[[#This Row],[Selling_Price]],0)</f>
        <v>0.27203856749311295</v>
      </c>
      <c r="P150" s="19">
        <v>114</v>
      </c>
      <c r="Q150" s="19">
        <f>tbl_raw[[#This Row],[Gross_Profit]]-(tbl_raw[[#This Row],[Shipping_Cost]]*tbl_raw[[#This Row],[Units_Sold]])</f>
        <v>7497</v>
      </c>
      <c r="R150" s="20">
        <f>IFERROR(tbl_raw[[#This Row],[Net_Profit]]/(tbl_raw[[#This Row],[Selling_Price]]*tbl_raw[[#This Row],[Units_Sold]]),0)</f>
        <v>0.24586776859504134</v>
      </c>
      <c r="S150" s="18" t="s">
        <v>107</v>
      </c>
      <c r="T150" s="18" t="s">
        <v>32</v>
      </c>
      <c r="U150" s="18">
        <f>IF(tbl_raw[[#This Row],[Order_Status]]="Returned",1,0)</f>
        <v>0</v>
      </c>
      <c r="V150" s="18">
        <f>IF(tbl_raw[[#This Row],[Payment_Method]]="COD",1,0)</f>
        <v>0</v>
      </c>
      <c r="W150" s="21">
        <f>MIN(1,(tbl_raw[[#This Row],[Discount_Pct]]*1.4)+(tbl_raw[[#This Row],[COD_Flag]]*0.35))</f>
        <v>0.308</v>
      </c>
    </row>
    <row r="151" spans="1:23" ht="22.8" x14ac:dyDescent="0.3">
      <c r="A151" s="22" t="s">
        <v>520</v>
      </c>
      <c r="B151" s="23" t="s">
        <v>521</v>
      </c>
      <c r="C151" s="23" t="s">
        <v>105</v>
      </c>
      <c r="D151" s="23" t="s">
        <v>78</v>
      </c>
      <c r="E151" s="23" t="s">
        <v>79</v>
      </c>
      <c r="F151" s="23" t="s">
        <v>522</v>
      </c>
      <c r="G151" s="23" t="s">
        <v>81</v>
      </c>
      <c r="H151" s="23" t="s">
        <v>30</v>
      </c>
      <c r="I151" s="23">
        <v>10</v>
      </c>
      <c r="J151" s="24">
        <v>528</v>
      </c>
      <c r="K151" s="24">
        <v>301</v>
      </c>
      <c r="L151" s="25">
        <v>0.43</v>
      </c>
      <c r="M151" s="24">
        <v>226</v>
      </c>
      <c r="N151" s="24">
        <f>(tbl_raw[[#This Row],[Selling_Price]]-tbl_raw[[#This Row],[Cost_Price]])*tbl_raw[[#This Row],[Units_Sold]]</f>
        <v>750</v>
      </c>
      <c r="O151" s="25">
        <f>IFERROR((tbl_raw[[#This Row],[Selling_Price]]-tbl_raw[[#This Row],[Cost_Price]]) / tbl_raw[[#This Row],[Selling_Price]],0)</f>
        <v>0.24916943521594684</v>
      </c>
      <c r="P151" s="24">
        <v>169</v>
      </c>
      <c r="Q151" s="24">
        <f>tbl_raw[[#This Row],[Gross_Profit]]-(tbl_raw[[#This Row],[Shipping_Cost]]*tbl_raw[[#This Row],[Units_Sold]])</f>
        <v>-940</v>
      </c>
      <c r="R151" s="25">
        <f>IFERROR(tbl_raw[[#This Row],[Net_Profit]]/(tbl_raw[[#This Row],[Selling_Price]]*tbl_raw[[#This Row],[Units_Sold]]),0)</f>
        <v>-0.3122923588039867</v>
      </c>
      <c r="S151" s="23" t="s">
        <v>107</v>
      </c>
      <c r="T151" s="23" t="s">
        <v>32</v>
      </c>
      <c r="U151" s="23">
        <f>IF(tbl_raw[[#This Row],[Order_Status]]="Returned",1,0)</f>
        <v>0</v>
      </c>
      <c r="V151" s="23">
        <f>IF(tbl_raw[[#This Row],[Payment_Method]]="COD",1,0)</f>
        <v>0</v>
      </c>
      <c r="W151" s="26">
        <f>MIN(1,(tbl_raw[[#This Row],[Discount_Pct]]*1.4)+(tbl_raw[[#This Row],[COD_Flag]]*0.35))</f>
        <v>0.60199999999999998</v>
      </c>
    </row>
    <row r="152" spans="1:23" ht="22.8" x14ac:dyDescent="0.3">
      <c r="A152" s="17" t="s">
        <v>523</v>
      </c>
      <c r="B152" s="18" t="s">
        <v>524</v>
      </c>
      <c r="C152" s="18" t="s">
        <v>105</v>
      </c>
      <c r="D152" s="18" t="s">
        <v>53</v>
      </c>
      <c r="E152" s="18" t="s">
        <v>145</v>
      </c>
      <c r="F152" s="18" t="s">
        <v>525</v>
      </c>
      <c r="G152" s="18" t="s">
        <v>102</v>
      </c>
      <c r="H152" s="18" t="s">
        <v>39</v>
      </c>
      <c r="I152" s="18">
        <v>19</v>
      </c>
      <c r="J152" s="19">
        <v>2066</v>
      </c>
      <c r="K152" s="19">
        <v>2025</v>
      </c>
      <c r="L152" s="20">
        <v>0.02</v>
      </c>
      <c r="M152" s="19">
        <v>1481</v>
      </c>
      <c r="N152" s="19">
        <f>(tbl_raw[[#This Row],[Selling_Price]]-tbl_raw[[#This Row],[Cost_Price]])*tbl_raw[[#This Row],[Units_Sold]]</f>
        <v>10336</v>
      </c>
      <c r="O152" s="20">
        <f>IFERROR((tbl_raw[[#This Row],[Selling_Price]]-tbl_raw[[#This Row],[Cost_Price]]) / tbl_raw[[#This Row],[Selling_Price]],0)</f>
        <v>0.26864197530864198</v>
      </c>
      <c r="P152" s="19">
        <v>64</v>
      </c>
      <c r="Q152" s="19">
        <f>tbl_raw[[#This Row],[Gross_Profit]]-(tbl_raw[[#This Row],[Shipping_Cost]]*tbl_raw[[#This Row],[Units_Sold]])</f>
        <v>9120</v>
      </c>
      <c r="R152" s="20">
        <f>IFERROR(tbl_raw[[#This Row],[Net_Profit]]/(tbl_raw[[#This Row],[Selling_Price]]*tbl_raw[[#This Row],[Units_Sold]]),0)</f>
        <v>0.23703703703703705</v>
      </c>
      <c r="S152" s="18" t="s">
        <v>40</v>
      </c>
      <c r="T152" s="18" t="s">
        <v>32</v>
      </c>
      <c r="U152" s="18">
        <f>IF(tbl_raw[[#This Row],[Order_Status]]="Returned",1,0)</f>
        <v>0</v>
      </c>
      <c r="V152" s="18">
        <f>IF(tbl_raw[[#This Row],[Payment_Method]]="COD",1,0)</f>
        <v>1</v>
      </c>
      <c r="W152" s="21">
        <f>MIN(1,(tbl_raw[[#This Row],[Discount_Pct]]*1.4)+(tbl_raw[[#This Row],[COD_Flag]]*0.35))</f>
        <v>0.378</v>
      </c>
    </row>
    <row r="153" spans="1:23" ht="22.8" x14ac:dyDescent="0.3">
      <c r="A153" s="22" t="s">
        <v>526</v>
      </c>
      <c r="B153" s="23" t="s">
        <v>527</v>
      </c>
      <c r="C153" s="23" t="s">
        <v>156</v>
      </c>
      <c r="D153" s="23" t="s">
        <v>175</v>
      </c>
      <c r="E153" s="23" t="s">
        <v>225</v>
      </c>
      <c r="F153" s="23" t="s">
        <v>528</v>
      </c>
      <c r="G153" s="23" t="s">
        <v>38</v>
      </c>
      <c r="H153" s="23" t="s">
        <v>39</v>
      </c>
      <c r="I153" s="23">
        <v>6</v>
      </c>
      <c r="J153" s="24">
        <v>3374</v>
      </c>
      <c r="K153" s="24">
        <v>1957</v>
      </c>
      <c r="L153" s="25">
        <v>0.42</v>
      </c>
      <c r="M153" s="24">
        <v>2387</v>
      </c>
      <c r="N153" s="24">
        <f>(tbl_raw[[#This Row],[Selling_Price]]-tbl_raw[[#This Row],[Cost_Price]])*tbl_raw[[#This Row],[Units_Sold]]</f>
        <v>-2580</v>
      </c>
      <c r="O153" s="25">
        <f>IFERROR((tbl_raw[[#This Row],[Selling_Price]]-tbl_raw[[#This Row],[Cost_Price]]) / tbl_raw[[#This Row],[Selling_Price]],0)</f>
        <v>-0.21972406745017883</v>
      </c>
      <c r="P153" s="24">
        <v>102</v>
      </c>
      <c r="Q153" s="24">
        <f>tbl_raw[[#This Row],[Gross_Profit]]-(tbl_raw[[#This Row],[Shipping_Cost]]*tbl_raw[[#This Row],[Units_Sold]])</f>
        <v>-3192</v>
      </c>
      <c r="R153" s="25">
        <f>IFERROR(tbl_raw[[#This Row],[Net_Profit]]/(tbl_raw[[#This Row],[Selling_Price]]*tbl_raw[[#This Row],[Units_Sold]]),0)</f>
        <v>-0.27184466019417475</v>
      </c>
      <c r="S153" s="23" t="s">
        <v>40</v>
      </c>
      <c r="T153" s="23" t="s">
        <v>32</v>
      </c>
      <c r="U153" s="23">
        <f>IF(tbl_raw[[#This Row],[Order_Status]]="Returned",1,0)</f>
        <v>0</v>
      </c>
      <c r="V153" s="23">
        <f>IF(tbl_raw[[#This Row],[Payment_Method]]="COD",1,0)</f>
        <v>1</v>
      </c>
      <c r="W153" s="26">
        <f>MIN(1,(tbl_raw[[#This Row],[Discount_Pct]]*1.4)+(tbl_raw[[#This Row],[COD_Flag]]*0.35))</f>
        <v>0.93799999999999994</v>
      </c>
    </row>
    <row r="154" spans="1:23" ht="22.8" x14ac:dyDescent="0.3">
      <c r="A154" s="17" t="s">
        <v>529</v>
      </c>
      <c r="B154" s="18" t="s">
        <v>530</v>
      </c>
      <c r="C154" s="18" t="s">
        <v>99</v>
      </c>
      <c r="D154" s="18" t="s">
        <v>26</v>
      </c>
      <c r="E154" s="18" t="s">
        <v>125</v>
      </c>
      <c r="F154" s="18" t="s">
        <v>531</v>
      </c>
      <c r="G154" s="18" t="s">
        <v>102</v>
      </c>
      <c r="H154" s="18" t="s">
        <v>39</v>
      </c>
      <c r="I154" s="18">
        <v>8</v>
      </c>
      <c r="J154" s="19">
        <v>4374</v>
      </c>
      <c r="K154" s="19">
        <v>2931</v>
      </c>
      <c r="L154" s="20">
        <v>0.33</v>
      </c>
      <c r="M154" s="19">
        <v>3184</v>
      </c>
      <c r="N154" s="19">
        <f>(tbl_raw[[#This Row],[Selling_Price]]-tbl_raw[[#This Row],[Cost_Price]])*tbl_raw[[#This Row],[Units_Sold]]</f>
        <v>-2024</v>
      </c>
      <c r="O154" s="20">
        <f>IFERROR((tbl_raw[[#This Row],[Selling_Price]]-tbl_raw[[#This Row],[Cost_Price]]) / tbl_raw[[#This Row],[Selling_Price]],0)</f>
        <v>-8.6318662572500857E-2</v>
      </c>
      <c r="P154" s="19">
        <v>167</v>
      </c>
      <c r="Q154" s="19">
        <f>tbl_raw[[#This Row],[Gross_Profit]]-(tbl_raw[[#This Row],[Shipping_Cost]]*tbl_raw[[#This Row],[Units_Sold]])</f>
        <v>-3360</v>
      </c>
      <c r="R154" s="20">
        <f>IFERROR(tbl_raw[[#This Row],[Net_Profit]]/(tbl_raw[[#This Row],[Selling_Price]]*tbl_raw[[#This Row],[Units_Sold]]),0)</f>
        <v>-0.14329580348004095</v>
      </c>
      <c r="S154" s="18" t="s">
        <v>40</v>
      </c>
      <c r="T154" s="18" t="s">
        <v>49</v>
      </c>
      <c r="U154" s="18">
        <f>IF(tbl_raw[[#This Row],[Order_Status]]="Returned",1,0)</f>
        <v>0</v>
      </c>
      <c r="V154" s="18">
        <f>IF(tbl_raw[[#This Row],[Payment_Method]]="COD",1,0)</f>
        <v>1</v>
      </c>
      <c r="W154" s="21">
        <f>MIN(1,(tbl_raw[[#This Row],[Discount_Pct]]*1.4)+(tbl_raw[[#This Row],[COD_Flag]]*0.35))</f>
        <v>0.81199999999999994</v>
      </c>
    </row>
    <row r="155" spans="1:23" ht="22.8" x14ac:dyDescent="0.3">
      <c r="A155" s="22" t="s">
        <v>532</v>
      </c>
      <c r="B155" s="23" t="s">
        <v>533</v>
      </c>
      <c r="C155" s="23" t="s">
        <v>132</v>
      </c>
      <c r="D155" s="23" t="s">
        <v>78</v>
      </c>
      <c r="E155" s="23" t="s">
        <v>534</v>
      </c>
      <c r="F155" s="23" t="s">
        <v>535</v>
      </c>
      <c r="G155" s="23" t="s">
        <v>143</v>
      </c>
      <c r="H155" s="23" t="s">
        <v>30</v>
      </c>
      <c r="I155" s="23">
        <v>2</v>
      </c>
      <c r="J155" s="24">
        <v>272</v>
      </c>
      <c r="K155" s="24">
        <v>201</v>
      </c>
      <c r="L155" s="25">
        <v>0.26</v>
      </c>
      <c r="M155" s="24">
        <v>119</v>
      </c>
      <c r="N155" s="24">
        <f>(tbl_raw[[#This Row],[Selling_Price]]-tbl_raw[[#This Row],[Cost_Price]])*tbl_raw[[#This Row],[Units_Sold]]</f>
        <v>164</v>
      </c>
      <c r="O155" s="25">
        <f>IFERROR((tbl_raw[[#This Row],[Selling_Price]]-tbl_raw[[#This Row],[Cost_Price]]) / tbl_raw[[#This Row],[Selling_Price]],0)</f>
        <v>0.4079601990049751</v>
      </c>
      <c r="P155" s="24">
        <v>177</v>
      </c>
      <c r="Q155" s="24">
        <f>tbl_raw[[#This Row],[Gross_Profit]]-(tbl_raw[[#This Row],[Shipping_Cost]]*tbl_raw[[#This Row],[Units_Sold]])</f>
        <v>-190</v>
      </c>
      <c r="R155" s="25">
        <f>IFERROR(tbl_raw[[#This Row],[Net_Profit]]/(tbl_raw[[#This Row],[Selling_Price]]*tbl_raw[[#This Row],[Units_Sold]]),0)</f>
        <v>-0.47263681592039802</v>
      </c>
      <c r="S155" s="23" t="s">
        <v>107</v>
      </c>
      <c r="T155" s="23" t="s">
        <v>32</v>
      </c>
      <c r="U155" s="23">
        <f>IF(tbl_raw[[#This Row],[Order_Status]]="Returned",1,0)</f>
        <v>0</v>
      </c>
      <c r="V155" s="23">
        <f>IF(tbl_raw[[#This Row],[Payment_Method]]="COD",1,0)</f>
        <v>0</v>
      </c>
      <c r="W155" s="26">
        <f>MIN(1,(tbl_raw[[#This Row],[Discount_Pct]]*1.4)+(tbl_raw[[#This Row],[COD_Flag]]*0.35))</f>
        <v>0.36399999999999999</v>
      </c>
    </row>
    <row r="156" spans="1:23" ht="22.8" x14ac:dyDescent="0.3">
      <c r="A156" s="17" t="s">
        <v>536</v>
      </c>
      <c r="B156" s="18" t="s">
        <v>537</v>
      </c>
      <c r="C156" s="18" t="s">
        <v>105</v>
      </c>
      <c r="D156" s="18" t="s">
        <v>164</v>
      </c>
      <c r="E156" s="18" t="s">
        <v>345</v>
      </c>
      <c r="F156" s="18" t="s">
        <v>538</v>
      </c>
      <c r="G156" s="18" t="s">
        <v>143</v>
      </c>
      <c r="H156" s="18" t="s">
        <v>30</v>
      </c>
      <c r="I156" s="18">
        <v>7</v>
      </c>
      <c r="J156" s="19">
        <v>6509</v>
      </c>
      <c r="K156" s="19">
        <v>5533</v>
      </c>
      <c r="L156" s="20">
        <v>0.15</v>
      </c>
      <c r="M156" s="19">
        <v>4269</v>
      </c>
      <c r="N156" s="19">
        <f>(tbl_raw[[#This Row],[Selling_Price]]-tbl_raw[[#This Row],[Cost_Price]])*tbl_raw[[#This Row],[Units_Sold]]</f>
        <v>8848</v>
      </c>
      <c r="O156" s="20">
        <f>IFERROR((tbl_raw[[#This Row],[Selling_Price]]-tbl_raw[[#This Row],[Cost_Price]]) / tbl_raw[[#This Row],[Selling_Price]],0)</f>
        <v>0.22844749683715887</v>
      </c>
      <c r="P156" s="19">
        <v>127</v>
      </c>
      <c r="Q156" s="19">
        <f>tbl_raw[[#This Row],[Gross_Profit]]-(tbl_raw[[#This Row],[Shipping_Cost]]*tbl_raw[[#This Row],[Units_Sold]])</f>
        <v>7959</v>
      </c>
      <c r="R156" s="20">
        <f>IFERROR(tbl_raw[[#This Row],[Net_Profit]]/(tbl_raw[[#This Row],[Selling_Price]]*tbl_raw[[#This Row],[Units_Sold]]),0)</f>
        <v>0.20549430688595699</v>
      </c>
      <c r="S156" s="18" t="s">
        <v>40</v>
      </c>
      <c r="T156" s="18" t="s">
        <v>32</v>
      </c>
      <c r="U156" s="18">
        <f>IF(tbl_raw[[#This Row],[Order_Status]]="Returned",1,0)</f>
        <v>0</v>
      </c>
      <c r="V156" s="18">
        <f>IF(tbl_raw[[#This Row],[Payment_Method]]="COD",1,0)</f>
        <v>1</v>
      </c>
      <c r="W156" s="21">
        <f>MIN(1,(tbl_raw[[#This Row],[Discount_Pct]]*1.4)+(tbl_raw[[#This Row],[COD_Flag]]*0.35))</f>
        <v>0.55999999999999994</v>
      </c>
    </row>
    <row r="157" spans="1:23" ht="22.8" x14ac:dyDescent="0.3">
      <c r="A157" s="22" t="s">
        <v>539</v>
      </c>
      <c r="B157" s="23" t="s">
        <v>540</v>
      </c>
      <c r="C157" s="23" t="s">
        <v>99</v>
      </c>
      <c r="D157" s="23" t="s">
        <v>94</v>
      </c>
      <c r="E157" s="23" t="s">
        <v>95</v>
      </c>
      <c r="F157" s="23" t="s">
        <v>541</v>
      </c>
      <c r="G157" s="23" t="s">
        <v>47</v>
      </c>
      <c r="H157" s="23" t="s">
        <v>48</v>
      </c>
      <c r="I157" s="23">
        <v>14</v>
      </c>
      <c r="J157" s="24">
        <v>4219</v>
      </c>
      <c r="K157" s="24">
        <v>4050</v>
      </c>
      <c r="L157" s="25">
        <v>0.04</v>
      </c>
      <c r="M157" s="24">
        <v>2676</v>
      </c>
      <c r="N157" s="24">
        <f>(tbl_raw[[#This Row],[Selling_Price]]-tbl_raw[[#This Row],[Cost_Price]])*tbl_raw[[#This Row],[Units_Sold]]</f>
        <v>19236</v>
      </c>
      <c r="O157" s="25">
        <f>IFERROR((tbl_raw[[#This Row],[Selling_Price]]-tbl_raw[[#This Row],[Cost_Price]]) / tbl_raw[[#This Row],[Selling_Price]],0)</f>
        <v>0.33925925925925926</v>
      </c>
      <c r="P157" s="24">
        <v>58</v>
      </c>
      <c r="Q157" s="24">
        <f>tbl_raw[[#This Row],[Gross_Profit]]-(tbl_raw[[#This Row],[Shipping_Cost]]*tbl_raw[[#This Row],[Units_Sold]])</f>
        <v>18424</v>
      </c>
      <c r="R157" s="25">
        <f>IFERROR(tbl_raw[[#This Row],[Net_Profit]]/(tbl_raw[[#This Row],[Selling_Price]]*tbl_raw[[#This Row],[Units_Sold]]),0)</f>
        <v>0.32493827160493827</v>
      </c>
      <c r="S157" s="23" t="s">
        <v>40</v>
      </c>
      <c r="T157" s="23" t="s">
        <v>49</v>
      </c>
      <c r="U157" s="23">
        <f>IF(tbl_raw[[#This Row],[Order_Status]]="Returned",1,0)</f>
        <v>0</v>
      </c>
      <c r="V157" s="23">
        <f>IF(tbl_raw[[#This Row],[Payment_Method]]="COD",1,0)</f>
        <v>1</v>
      </c>
      <c r="W157" s="26">
        <f>MIN(1,(tbl_raw[[#This Row],[Discount_Pct]]*1.4)+(tbl_raw[[#This Row],[COD_Flag]]*0.35))</f>
        <v>0.40599999999999997</v>
      </c>
    </row>
    <row r="158" spans="1:23" ht="22.8" x14ac:dyDescent="0.3">
      <c r="A158" s="17" t="s">
        <v>542</v>
      </c>
      <c r="B158" s="18" t="s">
        <v>543</v>
      </c>
      <c r="C158" s="18" t="s">
        <v>132</v>
      </c>
      <c r="D158" s="18" t="s">
        <v>78</v>
      </c>
      <c r="E158" s="18" t="s">
        <v>118</v>
      </c>
      <c r="F158" s="18" t="s">
        <v>544</v>
      </c>
      <c r="G158" s="18" t="s">
        <v>143</v>
      </c>
      <c r="H158" s="18" t="s">
        <v>30</v>
      </c>
      <c r="I158" s="18">
        <v>11</v>
      </c>
      <c r="J158" s="19">
        <v>2555</v>
      </c>
      <c r="K158" s="19">
        <v>1712</v>
      </c>
      <c r="L158" s="20">
        <v>0.33</v>
      </c>
      <c r="M158" s="19">
        <v>1032</v>
      </c>
      <c r="N158" s="19">
        <f>(tbl_raw[[#This Row],[Selling_Price]]-tbl_raw[[#This Row],[Cost_Price]])*tbl_raw[[#This Row],[Units_Sold]]</f>
        <v>7480</v>
      </c>
      <c r="O158" s="20">
        <f>IFERROR((tbl_raw[[#This Row],[Selling_Price]]-tbl_raw[[#This Row],[Cost_Price]]) / tbl_raw[[#This Row],[Selling_Price]],0)</f>
        <v>0.39719626168224298</v>
      </c>
      <c r="P158" s="19">
        <v>128</v>
      </c>
      <c r="Q158" s="19">
        <f>tbl_raw[[#This Row],[Gross_Profit]]-(tbl_raw[[#This Row],[Shipping_Cost]]*tbl_raw[[#This Row],[Units_Sold]])</f>
        <v>6072</v>
      </c>
      <c r="R158" s="20">
        <f>IFERROR(tbl_raw[[#This Row],[Net_Profit]]/(tbl_raw[[#This Row],[Selling_Price]]*tbl_raw[[#This Row],[Units_Sold]]),0)</f>
        <v>0.32242990654205606</v>
      </c>
      <c r="S158" s="18" t="s">
        <v>40</v>
      </c>
      <c r="T158" s="18" t="s">
        <v>32</v>
      </c>
      <c r="U158" s="18">
        <f>IF(tbl_raw[[#This Row],[Order_Status]]="Returned",1,0)</f>
        <v>0</v>
      </c>
      <c r="V158" s="18">
        <f>IF(tbl_raw[[#This Row],[Payment_Method]]="COD",1,0)</f>
        <v>1</v>
      </c>
      <c r="W158" s="21">
        <f>MIN(1,(tbl_raw[[#This Row],[Discount_Pct]]*1.4)+(tbl_raw[[#This Row],[COD_Flag]]*0.35))</f>
        <v>0.81199999999999994</v>
      </c>
    </row>
    <row r="159" spans="1:23" ht="22.8" x14ac:dyDescent="0.3">
      <c r="A159" s="22" t="s">
        <v>545</v>
      </c>
      <c r="B159" s="23" t="s">
        <v>478</v>
      </c>
      <c r="C159" s="23" t="s">
        <v>99</v>
      </c>
      <c r="D159" s="23" t="s">
        <v>78</v>
      </c>
      <c r="E159" s="23" t="s">
        <v>84</v>
      </c>
      <c r="F159" s="23" t="s">
        <v>546</v>
      </c>
      <c r="G159" s="23" t="s">
        <v>143</v>
      </c>
      <c r="H159" s="23" t="s">
        <v>30</v>
      </c>
      <c r="I159" s="23">
        <v>4</v>
      </c>
      <c r="J159" s="24">
        <v>5182</v>
      </c>
      <c r="K159" s="24">
        <v>3006</v>
      </c>
      <c r="L159" s="25">
        <v>0.42</v>
      </c>
      <c r="M159" s="24">
        <v>2739</v>
      </c>
      <c r="N159" s="24">
        <f>(tbl_raw[[#This Row],[Selling_Price]]-tbl_raw[[#This Row],[Cost_Price]])*tbl_raw[[#This Row],[Units_Sold]]</f>
        <v>1068</v>
      </c>
      <c r="O159" s="25">
        <f>IFERROR((tbl_raw[[#This Row],[Selling_Price]]-tbl_raw[[#This Row],[Cost_Price]]) / tbl_raw[[#This Row],[Selling_Price]],0)</f>
        <v>8.8822355289421159E-2</v>
      </c>
      <c r="P159" s="24">
        <v>63</v>
      </c>
      <c r="Q159" s="24">
        <f>tbl_raw[[#This Row],[Gross_Profit]]-(tbl_raw[[#This Row],[Shipping_Cost]]*tbl_raw[[#This Row],[Units_Sold]])</f>
        <v>816</v>
      </c>
      <c r="R159" s="25">
        <f>IFERROR(tbl_raw[[#This Row],[Net_Profit]]/(tbl_raw[[#This Row],[Selling_Price]]*tbl_raw[[#This Row],[Units_Sold]]),0)</f>
        <v>6.7864271457085831E-2</v>
      </c>
      <c r="S159" s="23" t="s">
        <v>40</v>
      </c>
      <c r="T159" s="23" t="s">
        <v>32</v>
      </c>
      <c r="U159" s="23">
        <f>IF(tbl_raw[[#This Row],[Order_Status]]="Returned",1,0)</f>
        <v>0</v>
      </c>
      <c r="V159" s="23">
        <f>IF(tbl_raw[[#This Row],[Payment_Method]]="COD",1,0)</f>
        <v>1</v>
      </c>
      <c r="W159" s="26">
        <f>MIN(1,(tbl_raw[[#This Row],[Discount_Pct]]*1.4)+(tbl_raw[[#This Row],[COD_Flag]]*0.35))</f>
        <v>0.93799999999999994</v>
      </c>
    </row>
    <row r="160" spans="1:23" ht="22.8" x14ac:dyDescent="0.3">
      <c r="A160" s="17" t="s">
        <v>547</v>
      </c>
      <c r="B160" s="18" t="s">
        <v>548</v>
      </c>
      <c r="C160" s="18" t="s">
        <v>199</v>
      </c>
      <c r="D160" s="18" t="s">
        <v>78</v>
      </c>
      <c r="E160" s="18" t="s">
        <v>84</v>
      </c>
      <c r="F160" s="18" t="s">
        <v>549</v>
      </c>
      <c r="G160" s="18" t="s">
        <v>38</v>
      </c>
      <c r="H160" s="18" t="s">
        <v>39</v>
      </c>
      <c r="I160" s="18">
        <v>7</v>
      </c>
      <c r="J160" s="19">
        <v>6143</v>
      </c>
      <c r="K160" s="19">
        <v>4239</v>
      </c>
      <c r="L160" s="20">
        <v>0.31</v>
      </c>
      <c r="M160" s="19">
        <v>3738</v>
      </c>
      <c r="N160" s="19">
        <f>(tbl_raw[[#This Row],[Selling_Price]]-tbl_raw[[#This Row],[Cost_Price]])*tbl_raw[[#This Row],[Units_Sold]]</f>
        <v>3507</v>
      </c>
      <c r="O160" s="20">
        <f>IFERROR((tbl_raw[[#This Row],[Selling_Price]]-tbl_raw[[#This Row],[Cost_Price]]) / tbl_raw[[#This Row],[Selling_Price]],0)</f>
        <v>0.11818825194621373</v>
      </c>
      <c r="P160" s="19">
        <v>148</v>
      </c>
      <c r="Q160" s="19">
        <f>tbl_raw[[#This Row],[Gross_Profit]]-(tbl_raw[[#This Row],[Shipping_Cost]]*tbl_raw[[#This Row],[Units_Sold]])</f>
        <v>2471</v>
      </c>
      <c r="R160" s="20">
        <f>IFERROR(tbl_raw[[#This Row],[Net_Profit]]/(tbl_raw[[#This Row],[Selling_Price]]*tbl_raw[[#This Row],[Units_Sold]]),0)</f>
        <v>8.3274357159707477E-2</v>
      </c>
      <c r="S160" s="18" t="s">
        <v>65</v>
      </c>
      <c r="T160" s="18" t="s">
        <v>32</v>
      </c>
      <c r="U160" s="18">
        <f>IF(tbl_raw[[#This Row],[Order_Status]]="Returned",1,0)</f>
        <v>0</v>
      </c>
      <c r="V160" s="18">
        <f>IF(tbl_raw[[#This Row],[Payment_Method]]="COD",1,0)</f>
        <v>0</v>
      </c>
      <c r="W160" s="21">
        <f>MIN(1,(tbl_raw[[#This Row],[Discount_Pct]]*1.4)+(tbl_raw[[#This Row],[COD_Flag]]*0.35))</f>
        <v>0.434</v>
      </c>
    </row>
    <row r="161" spans="1:23" ht="22.8" x14ac:dyDescent="0.3">
      <c r="A161" s="22" t="s">
        <v>550</v>
      </c>
      <c r="B161" s="23" t="s">
        <v>136</v>
      </c>
      <c r="C161" s="23" t="s">
        <v>72</v>
      </c>
      <c r="D161" s="23" t="s">
        <v>175</v>
      </c>
      <c r="E161" s="23" t="s">
        <v>354</v>
      </c>
      <c r="F161" s="23" t="s">
        <v>551</v>
      </c>
      <c r="G161" s="23" t="s">
        <v>38</v>
      </c>
      <c r="H161" s="23" t="s">
        <v>39</v>
      </c>
      <c r="I161" s="23">
        <v>17</v>
      </c>
      <c r="J161" s="24">
        <v>1777</v>
      </c>
      <c r="K161" s="24">
        <v>1351</v>
      </c>
      <c r="L161" s="25">
        <v>0.24</v>
      </c>
      <c r="M161" s="24">
        <v>813</v>
      </c>
      <c r="N161" s="24">
        <f>(tbl_raw[[#This Row],[Selling_Price]]-tbl_raw[[#This Row],[Cost_Price]])*tbl_raw[[#This Row],[Units_Sold]]</f>
        <v>9146</v>
      </c>
      <c r="O161" s="25">
        <f>IFERROR((tbl_raw[[#This Row],[Selling_Price]]-tbl_raw[[#This Row],[Cost_Price]]) / tbl_raw[[#This Row],[Selling_Price]],0)</f>
        <v>0.39822353811991118</v>
      </c>
      <c r="P161" s="24">
        <v>158</v>
      </c>
      <c r="Q161" s="24">
        <f>tbl_raw[[#This Row],[Gross_Profit]]-(tbl_raw[[#This Row],[Shipping_Cost]]*tbl_raw[[#This Row],[Units_Sold]])</f>
        <v>6460</v>
      </c>
      <c r="R161" s="25">
        <f>IFERROR(tbl_raw[[#This Row],[Net_Profit]]/(tbl_raw[[#This Row],[Selling_Price]]*tbl_raw[[#This Row],[Units_Sold]]),0)</f>
        <v>0.28127313101406365</v>
      </c>
      <c r="S161" s="23" t="s">
        <v>31</v>
      </c>
      <c r="T161" s="23" t="s">
        <v>32</v>
      </c>
      <c r="U161" s="23">
        <f>IF(tbl_raw[[#This Row],[Order_Status]]="Returned",1,0)</f>
        <v>0</v>
      </c>
      <c r="V161" s="23">
        <f>IF(tbl_raw[[#This Row],[Payment_Method]]="COD",1,0)</f>
        <v>0</v>
      </c>
      <c r="W161" s="26">
        <f>MIN(1,(tbl_raw[[#This Row],[Discount_Pct]]*1.4)+(tbl_raw[[#This Row],[COD_Flag]]*0.35))</f>
        <v>0.33599999999999997</v>
      </c>
    </row>
    <row r="162" spans="1:23" ht="22.8" x14ac:dyDescent="0.3">
      <c r="A162" s="17" t="s">
        <v>552</v>
      </c>
      <c r="B162" s="18" t="s">
        <v>511</v>
      </c>
      <c r="C162" s="18" t="s">
        <v>199</v>
      </c>
      <c r="D162" s="18" t="s">
        <v>175</v>
      </c>
      <c r="E162" s="18" t="s">
        <v>176</v>
      </c>
      <c r="F162" s="18" t="s">
        <v>553</v>
      </c>
      <c r="G162" s="18" t="s">
        <v>139</v>
      </c>
      <c r="H162" s="18" t="s">
        <v>48</v>
      </c>
      <c r="I162" s="18">
        <v>15</v>
      </c>
      <c r="J162" s="19">
        <v>1229</v>
      </c>
      <c r="K162" s="19">
        <v>995</v>
      </c>
      <c r="L162" s="20">
        <v>0.19</v>
      </c>
      <c r="M162" s="19">
        <v>734</v>
      </c>
      <c r="N162" s="19">
        <f>(tbl_raw[[#This Row],[Selling_Price]]-tbl_raw[[#This Row],[Cost_Price]])*tbl_raw[[#This Row],[Units_Sold]]</f>
        <v>3915</v>
      </c>
      <c r="O162" s="20">
        <f>IFERROR((tbl_raw[[#This Row],[Selling_Price]]-tbl_raw[[#This Row],[Cost_Price]]) / tbl_raw[[#This Row],[Selling_Price]],0)</f>
        <v>0.26231155778894472</v>
      </c>
      <c r="P162" s="19">
        <v>114</v>
      </c>
      <c r="Q162" s="19">
        <f>tbl_raw[[#This Row],[Gross_Profit]]-(tbl_raw[[#This Row],[Shipping_Cost]]*tbl_raw[[#This Row],[Units_Sold]])</f>
        <v>2205</v>
      </c>
      <c r="R162" s="20">
        <f>IFERROR(tbl_raw[[#This Row],[Net_Profit]]/(tbl_raw[[#This Row],[Selling_Price]]*tbl_raw[[#This Row],[Units_Sold]]),0)</f>
        <v>0.14773869346733667</v>
      </c>
      <c r="S162" s="18" t="s">
        <v>107</v>
      </c>
      <c r="T162" s="18" t="s">
        <v>32</v>
      </c>
      <c r="U162" s="18">
        <f>IF(tbl_raw[[#This Row],[Order_Status]]="Returned",1,0)</f>
        <v>0</v>
      </c>
      <c r="V162" s="18">
        <f>IF(tbl_raw[[#This Row],[Payment_Method]]="COD",1,0)</f>
        <v>0</v>
      </c>
      <c r="W162" s="21">
        <f>MIN(1,(tbl_raw[[#This Row],[Discount_Pct]]*1.4)+(tbl_raw[[#This Row],[COD_Flag]]*0.35))</f>
        <v>0.26599999999999996</v>
      </c>
    </row>
    <row r="163" spans="1:23" ht="22.8" x14ac:dyDescent="0.3">
      <c r="A163" s="22" t="s">
        <v>554</v>
      </c>
      <c r="B163" s="23" t="s">
        <v>555</v>
      </c>
      <c r="C163" s="23" t="s">
        <v>132</v>
      </c>
      <c r="D163" s="23" t="s">
        <v>94</v>
      </c>
      <c r="E163" s="23" t="s">
        <v>137</v>
      </c>
      <c r="F163" s="23" t="s">
        <v>556</v>
      </c>
      <c r="G163" s="23" t="s">
        <v>139</v>
      </c>
      <c r="H163" s="23" t="s">
        <v>48</v>
      </c>
      <c r="I163" s="23">
        <v>14</v>
      </c>
      <c r="J163" s="24">
        <v>2887</v>
      </c>
      <c r="K163" s="24">
        <v>2800</v>
      </c>
      <c r="L163" s="25">
        <v>0.03</v>
      </c>
      <c r="M163" s="24">
        <v>2159</v>
      </c>
      <c r="N163" s="24">
        <f>(tbl_raw[[#This Row],[Selling_Price]]-tbl_raw[[#This Row],[Cost_Price]])*tbl_raw[[#This Row],[Units_Sold]]</f>
        <v>8974</v>
      </c>
      <c r="O163" s="25">
        <f>IFERROR((tbl_raw[[#This Row],[Selling_Price]]-tbl_raw[[#This Row],[Cost_Price]]) / tbl_raw[[#This Row],[Selling_Price]],0)</f>
        <v>0.22892857142857143</v>
      </c>
      <c r="P163" s="24">
        <v>170</v>
      </c>
      <c r="Q163" s="24">
        <f>tbl_raw[[#This Row],[Gross_Profit]]-(tbl_raw[[#This Row],[Shipping_Cost]]*tbl_raw[[#This Row],[Units_Sold]])</f>
        <v>6594</v>
      </c>
      <c r="R163" s="25">
        <f>IFERROR(tbl_raw[[#This Row],[Net_Profit]]/(tbl_raw[[#This Row],[Selling_Price]]*tbl_raw[[#This Row],[Units_Sold]]),0)</f>
        <v>0.16821428571428571</v>
      </c>
      <c r="S163" s="23" t="s">
        <v>58</v>
      </c>
      <c r="T163" s="23" t="s">
        <v>32</v>
      </c>
      <c r="U163" s="23">
        <f>IF(tbl_raw[[#This Row],[Order_Status]]="Returned",1,0)</f>
        <v>0</v>
      </c>
      <c r="V163" s="23">
        <f>IF(tbl_raw[[#This Row],[Payment_Method]]="COD",1,0)</f>
        <v>0</v>
      </c>
      <c r="W163" s="26">
        <f>MIN(1,(tbl_raw[[#This Row],[Discount_Pct]]*1.4)+(tbl_raw[[#This Row],[COD_Flag]]*0.35))</f>
        <v>4.1999999999999996E-2</v>
      </c>
    </row>
    <row r="164" spans="1:23" ht="22.8" x14ac:dyDescent="0.3">
      <c r="A164" s="17" t="s">
        <v>557</v>
      </c>
      <c r="B164" s="18" t="s">
        <v>558</v>
      </c>
      <c r="C164" s="18" t="s">
        <v>99</v>
      </c>
      <c r="D164" s="18" t="s">
        <v>164</v>
      </c>
      <c r="E164" s="18" t="s">
        <v>165</v>
      </c>
      <c r="F164" s="18" t="s">
        <v>559</v>
      </c>
      <c r="G164" s="18" t="s">
        <v>47</v>
      </c>
      <c r="H164" s="18" t="s">
        <v>48</v>
      </c>
      <c r="I164" s="18">
        <v>12</v>
      </c>
      <c r="J164" s="19">
        <v>7944</v>
      </c>
      <c r="K164" s="19">
        <v>6594</v>
      </c>
      <c r="L164" s="20">
        <v>0.17</v>
      </c>
      <c r="M164" s="19">
        <v>5595</v>
      </c>
      <c r="N164" s="19">
        <f>(tbl_raw[[#This Row],[Selling_Price]]-tbl_raw[[#This Row],[Cost_Price]])*tbl_raw[[#This Row],[Units_Sold]]</f>
        <v>11988</v>
      </c>
      <c r="O164" s="20">
        <f>IFERROR((tbl_raw[[#This Row],[Selling_Price]]-tbl_raw[[#This Row],[Cost_Price]]) / tbl_raw[[#This Row],[Selling_Price]],0)</f>
        <v>0.15150136487716107</v>
      </c>
      <c r="P164" s="19">
        <v>166</v>
      </c>
      <c r="Q164" s="19">
        <f>tbl_raw[[#This Row],[Gross_Profit]]-(tbl_raw[[#This Row],[Shipping_Cost]]*tbl_raw[[#This Row],[Units_Sold]])</f>
        <v>9996</v>
      </c>
      <c r="R164" s="20">
        <f>IFERROR(tbl_raw[[#This Row],[Net_Profit]]/(tbl_raw[[#This Row],[Selling_Price]]*tbl_raw[[#This Row],[Units_Sold]]),0)</f>
        <v>0.12632696390658174</v>
      </c>
      <c r="S164" s="18" t="s">
        <v>31</v>
      </c>
      <c r="T164" s="18" t="s">
        <v>49</v>
      </c>
      <c r="U164" s="18">
        <f>IF(tbl_raw[[#This Row],[Order_Status]]="Returned",1,0)</f>
        <v>0</v>
      </c>
      <c r="V164" s="18">
        <f>IF(tbl_raw[[#This Row],[Payment_Method]]="COD",1,0)</f>
        <v>0</v>
      </c>
      <c r="W164" s="21">
        <f>MIN(1,(tbl_raw[[#This Row],[Discount_Pct]]*1.4)+(tbl_raw[[#This Row],[COD_Flag]]*0.35))</f>
        <v>0.23799999999999999</v>
      </c>
    </row>
    <row r="165" spans="1:23" ht="22.8" x14ac:dyDescent="0.3">
      <c r="A165" s="22" t="s">
        <v>560</v>
      </c>
      <c r="B165" s="23" t="s">
        <v>472</v>
      </c>
      <c r="C165" s="23" t="s">
        <v>105</v>
      </c>
      <c r="D165" s="23" t="s">
        <v>44</v>
      </c>
      <c r="E165" s="23" t="s">
        <v>45</v>
      </c>
      <c r="F165" s="23" t="s">
        <v>561</v>
      </c>
      <c r="G165" s="23" t="s">
        <v>38</v>
      </c>
      <c r="H165" s="23" t="s">
        <v>39</v>
      </c>
      <c r="I165" s="23">
        <v>13</v>
      </c>
      <c r="J165" s="24">
        <v>4325</v>
      </c>
      <c r="K165" s="24">
        <v>2898</v>
      </c>
      <c r="L165" s="25">
        <v>0.33</v>
      </c>
      <c r="M165" s="24">
        <v>2067</v>
      </c>
      <c r="N165" s="24">
        <f>(tbl_raw[[#This Row],[Selling_Price]]-tbl_raw[[#This Row],[Cost_Price]])*tbl_raw[[#This Row],[Units_Sold]]</f>
        <v>10803</v>
      </c>
      <c r="O165" s="25">
        <f>IFERROR((tbl_raw[[#This Row],[Selling_Price]]-tbl_raw[[#This Row],[Cost_Price]]) / tbl_raw[[#This Row],[Selling_Price]],0)</f>
        <v>0.28674948240165632</v>
      </c>
      <c r="P165" s="24">
        <v>31</v>
      </c>
      <c r="Q165" s="24">
        <f>tbl_raw[[#This Row],[Gross_Profit]]-(tbl_raw[[#This Row],[Shipping_Cost]]*tbl_raw[[#This Row],[Units_Sold]])</f>
        <v>10400</v>
      </c>
      <c r="R165" s="25">
        <f>IFERROR(tbl_raw[[#This Row],[Net_Profit]]/(tbl_raw[[#This Row],[Selling_Price]]*tbl_raw[[#This Row],[Units_Sold]]),0)</f>
        <v>0.27605244996549344</v>
      </c>
      <c r="S165" s="23" t="s">
        <v>58</v>
      </c>
      <c r="T165" s="23" t="s">
        <v>32</v>
      </c>
      <c r="U165" s="23">
        <f>IF(tbl_raw[[#This Row],[Order_Status]]="Returned",1,0)</f>
        <v>0</v>
      </c>
      <c r="V165" s="23">
        <f>IF(tbl_raw[[#This Row],[Payment_Method]]="COD",1,0)</f>
        <v>0</v>
      </c>
      <c r="W165" s="26">
        <f>MIN(1,(tbl_raw[[#This Row],[Discount_Pct]]*1.4)+(tbl_raw[[#This Row],[COD_Flag]]*0.35))</f>
        <v>0.46199999999999997</v>
      </c>
    </row>
    <row r="166" spans="1:23" ht="22.8" x14ac:dyDescent="0.3">
      <c r="A166" s="17" t="s">
        <v>562</v>
      </c>
      <c r="B166" s="18" t="s">
        <v>563</v>
      </c>
      <c r="C166" s="18" t="s">
        <v>156</v>
      </c>
      <c r="D166" s="18" t="s">
        <v>78</v>
      </c>
      <c r="E166" s="18" t="s">
        <v>84</v>
      </c>
      <c r="F166" s="18" t="s">
        <v>564</v>
      </c>
      <c r="G166" s="18" t="s">
        <v>29</v>
      </c>
      <c r="H166" s="18" t="s">
        <v>30</v>
      </c>
      <c r="I166" s="18">
        <v>8</v>
      </c>
      <c r="J166" s="19">
        <v>3793</v>
      </c>
      <c r="K166" s="19">
        <v>3527</v>
      </c>
      <c r="L166" s="20">
        <v>7.0000000000000007E-2</v>
      </c>
      <c r="M166" s="19">
        <v>1767</v>
      </c>
      <c r="N166" s="19">
        <f>(tbl_raw[[#This Row],[Selling_Price]]-tbl_raw[[#This Row],[Cost_Price]])*tbl_raw[[#This Row],[Units_Sold]]</f>
        <v>14080</v>
      </c>
      <c r="O166" s="20">
        <f>IFERROR((tbl_raw[[#This Row],[Selling_Price]]-tbl_raw[[#This Row],[Cost_Price]]) / tbl_raw[[#This Row],[Selling_Price]],0)</f>
        <v>0.49900765523107454</v>
      </c>
      <c r="P166" s="19">
        <v>161</v>
      </c>
      <c r="Q166" s="19">
        <f>tbl_raw[[#This Row],[Gross_Profit]]-(tbl_raw[[#This Row],[Shipping_Cost]]*tbl_raw[[#This Row],[Units_Sold]])</f>
        <v>12792</v>
      </c>
      <c r="R166" s="20">
        <f>IFERROR(tbl_raw[[#This Row],[Net_Profit]]/(tbl_raw[[#This Row],[Selling_Price]]*tbl_raw[[#This Row],[Units_Sold]]),0)</f>
        <v>0.45335979586050468</v>
      </c>
      <c r="S166" s="18" t="s">
        <v>58</v>
      </c>
      <c r="T166" s="18" t="s">
        <v>32</v>
      </c>
      <c r="U166" s="18">
        <f>IF(tbl_raw[[#This Row],[Order_Status]]="Returned",1,0)</f>
        <v>0</v>
      </c>
      <c r="V166" s="18">
        <f>IF(tbl_raw[[#This Row],[Payment_Method]]="COD",1,0)</f>
        <v>0</v>
      </c>
      <c r="W166" s="21">
        <f>MIN(1,(tbl_raw[[#This Row],[Discount_Pct]]*1.4)+(tbl_raw[[#This Row],[COD_Flag]]*0.35))</f>
        <v>9.8000000000000004E-2</v>
      </c>
    </row>
    <row r="167" spans="1:23" ht="22.8" x14ac:dyDescent="0.3">
      <c r="A167" s="22" t="s">
        <v>565</v>
      </c>
      <c r="B167" s="23" t="s">
        <v>247</v>
      </c>
      <c r="C167" s="23" t="s">
        <v>199</v>
      </c>
      <c r="D167" s="23" t="s">
        <v>26</v>
      </c>
      <c r="E167" s="23" t="s">
        <v>100</v>
      </c>
      <c r="F167" s="23" t="s">
        <v>566</v>
      </c>
      <c r="G167" s="23" t="s">
        <v>120</v>
      </c>
      <c r="H167" s="23" t="s">
        <v>39</v>
      </c>
      <c r="I167" s="23">
        <v>4</v>
      </c>
      <c r="J167" s="24">
        <v>4833</v>
      </c>
      <c r="K167" s="24">
        <v>3866</v>
      </c>
      <c r="L167" s="25">
        <v>0.2</v>
      </c>
      <c r="M167" s="24">
        <v>3070</v>
      </c>
      <c r="N167" s="24">
        <f>(tbl_raw[[#This Row],[Selling_Price]]-tbl_raw[[#This Row],[Cost_Price]])*tbl_raw[[#This Row],[Units_Sold]]</f>
        <v>3184</v>
      </c>
      <c r="O167" s="25">
        <f>IFERROR((tbl_raw[[#This Row],[Selling_Price]]-tbl_raw[[#This Row],[Cost_Price]]) / tbl_raw[[#This Row],[Selling_Price]],0)</f>
        <v>0.20589756854630109</v>
      </c>
      <c r="P167" s="24">
        <v>161</v>
      </c>
      <c r="Q167" s="24">
        <f>tbl_raw[[#This Row],[Gross_Profit]]-(tbl_raw[[#This Row],[Shipping_Cost]]*tbl_raw[[#This Row],[Units_Sold]])</f>
        <v>2540</v>
      </c>
      <c r="R167" s="25">
        <f>IFERROR(tbl_raw[[#This Row],[Net_Profit]]/(tbl_raw[[#This Row],[Selling_Price]]*tbl_raw[[#This Row],[Units_Sold]]),0)</f>
        <v>0.16425245732022761</v>
      </c>
      <c r="S167" s="23" t="s">
        <v>40</v>
      </c>
      <c r="T167" s="23" t="s">
        <v>32</v>
      </c>
      <c r="U167" s="23">
        <f>IF(tbl_raw[[#This Row],[Order_Status]]="Returned",1,0)</f>
        <v>0</v>
      </c>
      <c r="V167" s="23">
        <f>IF(tbl_raw[[#This Row],[Payment_Method]]="COD",1,0)</f>
        <v>1</v>
      </c>
      <c r="W167" s="26">
        <f>MIN(1,(tbl_raw[[#This Row],[Discount_Pct]]*1.4)+(tbl_raw[[#This Row],[COD_Flag]]*0.35))</f>
        <v>0.62999999999999989</v>
      </c>
    </row>
    <row r="168" spans="1:23" ht="22.8" x14ac:dyDescent="0.3">
      <c r="A168" s="17" t="s">
        <v>567</v>
      </c>
      <c r="B168" s="18" t="s">
        <v>568</v>
      </c>
      <c r="C168" s="18" t="s">
        <v>35</v>
      </c>
      <c r="D168" s="18" t="s">
        <v>94</v>
      </c>
      <c r="E168" s="18" t="s">
        <v>207</v>
      </c>
      <c r="F168" s="18" t="s">
        <v>569</v>
      </c>
      <c r="G168" s="18" t="s">
        <v>38</v>
      </c>
      <c r="H168" s="18" t="s">
        <v>39</v>
      </c>
      <c r="I168" s="18">
        <v>10</v>
      </c>
      <c r="J168" s="19">
        <v>2026</v>
      </c>
      <c r="K168" s="19">
        <v>1195</v>
      </c>
      <c r="L168" s="20">
        <v>0.41</v>
      </c>
      <c r="M168" s="19">
        <v>1219</v>
      </c>
      <c r="N168" s="19">
        <f>(tbl_raw[[#This Row],[Selling_Price]]-tbl_raw[[#This Row],[Cost_Price]])*tbl_raw[[#This Row],[Units_Sold]]</f>
        <v>-240</v>
      </c>
      <c r="O168" s="20">
        <f>IFERROR((tbl_raw[[#This Row],[Selling_Price]]-tbl_raw[[#This Row],[Cost_Price]]) / tbl_raw[[#This Row],[Selling_Price]],0)</f>
        <v>-2.0083682008368201E-2</v>
      </c>
      <c r="P168" s="19">
        <v>117</v>
      </c>
      <c r="Q168" s="19">
        <f>tbl_raw[[#This Row],[Gross_Profit]]-(tbl_raw[[#This Row],[Shipping_Cost]]*tbl_raw[[#This Row],[Units_Sold]])</f>
        <v>-1410</v>
      </c>
      <c r="R168" s="20">
        <f>IFERROR(tbl_raw[[#This Row],[Net_Profit]]/(tbl_raw[[#This Row],[Selling_Price]]*tbl_raw[[#This Row],[Units_Sold]]),0)</f>
        <v>-0.11799163179916318</v>
      </c>
      <c r="S168" s="18" t="s">
        <v>107</v>
      </c>
      <c r="T168" s="18" t="s">
        <v>59</v>
      </c>
      <c r="U168" s="18">
        <f>IF(tbl_raw[[#This Row],[Order_Status]]="Returned",1,0)</f>
        <v>0</v>
      </c>
      <c r="V168" s="18">
        <f>IF(tbl_raw[[#This Row],[Payment_Method]]="COD",1,0)</f>
        <v>0</v>
      </c>
      <c r="W168" s="21">
        <f>MIN(1,(tbl_raw[[#This Row],[Discount_Pct]]*1.4)+(tbl_raw[[#This Row],[COD_Flag]]*0.35))</f>
        <v>0.57399999999999995</v>
      </c>
    </row>
    <row r="169" spans="1:23" ht="22.8" x14ac:dyDescent="0.3">
      <c r="A169" s="22" t="s">
        <v>570</v>
      </c>
      <c r="B169" s="23" t="s">
        <v>475</v>
      </c>
      <c r="C169" s="23" t="s">
        <v>25</v>
      </c>
      <c r="D169" s="23" t="s">
        <v>94</v>
      </c>
      <c r="E169" s="23" t="s">
        <v>310</v>
      </c>
      <c r="F169" s="23" t="s">
        <v>571</v>
      </c>
      <c r="G169" s="23" t="s">
        <v>143</v>
      </c>
      <c r="H169" s="23" t="s">
        <v>30</v>
      </c>
      <c r="I169" s="23">
        <v>2</v>
      </c>
      <c r="J169" s="24">
        <v>4542</v>
      </c>
      <c r="K169" s="24">
        <v>3316</v>
      </c>
      <c r="L169" s="25">
        <v>0.27</v>
      </c>
      <c r="M169" s="24">
        <v>2986</v>
      </c>
      <c r="N169" s="24">
        <f>(tbl_raw[[#This Row],[Selling_Price]]-tbl_raw[[#This Row],[Cost_Price]])*tbl_raw[[#This Row],[Units_Sold]]</f>
        <v>660</v>
      </c>
      <c r="O169" s="25">
        <f>IFERROR((tbl_raw[[#This Row],[Selling_Price]]-tbl_raw[[#This Row],[Cost_Price]]) / tbl_raw[[#This Row],[Selling_Price]],0)</f>
        <v>9.9517490952955368E-2</v>
      </c>
      <c r="P169" s="24">
        <v>56</v>
      </c>
      <c r="Q169" s="24">
        <f>tbl_raw[[#This Row],[Gross_Profit]]-(tbl_raw[[#This Row],[Shipping_Cost]]*tbl_raw[[#This Row],[Units_Sold]])</f>
        <v>548</v>
      </c>
      <c r="R169" s="25">
        <f>IFERROR(tbl_raw[[#This Row],[Net_Profit]]/(tbl_raw[[#This Row],[Selling_Price]]*tbl_raw[[#This Row],[Units_Sold]]),0)</f>
        <v>8.2629674306393244E-2</v>
      </c>
      <c r="S169" s="23" t="s">
        <v>31</v>
      </c>
      <c r="T169" s="23" t="s">
        <v>32</v>
      </c>
      <c r="U169" s="23">
        <f>IF(tbl_raw[[#This Row],[Order_Status]]="Returned",1,0)</f>
        <v>0</v>
      </c>
      <c r="V169" s="23">
        <f>IF(tbl_raw[[#This Row],[Payment_Method]]="COD",1,0)</f>
        <v>0</v>
      </c>
      <c r="W169" s="26">
        <f>MIN(1,(tbl_raw[[#This Row],[Discount_Pct]]*1.4)+(tbl_raw[[#This Row],[COD_Flag]]*0.35))</f>
        <v>0.378</v>
      </c>
    </row>
    <row r="170" spans="1:23" ht="22.8" x14ac:dyDescent="0.3">
      <c r="A170" s="17" t="s">
        <v>572</v>
      </c>
      <c r="B170" s="18" t="s">
        <v>573</v>
      </c>
      <c r="C170" s="18" t="s">
        <v>89</v>
      </c>
      <c r="D170" s="18" t="s">
        <v>78</v>
      </c>
      <c r="E170" s="18" t="s">
        <v>84</v>
      </c>
      <c r="F170" s="18" t="s">
        <v>574</v>
      </c>
      <c r="G170" s="18" t="s">
        <v>47</v>
      </c>
      <c r="H170" s="18" t="s">
        <v>48</v>
      </c>
      <c r="I170" s="18">
        <v>14</v>
      </c>
      <c r="J170" s="19">
        <v>1364</v>
      </c>
      <c r="K170" s="19">
        <v>1132</v>
      </c>
      <c r="L170" s="20">
        <v>0.17</v>
      </c>
      <c r="M170" s="19">
        <v>906</v>
      </c>
      <c r="N170" s="19">
        <f>(tbl_raw[[#This Row],[Selling_Price]]-tbl_raw[[#This Row],[Cost_Price]])*tbl_raw[[#This Row],[Units_Sold]]</f>
        <v>3164</v>
      </c>
      <c r="O170" s="20">
        <f>IFERROR((tbl_raw[[#This Row],[Selling_Price]]-tbl_raw[[#This Row],[Cost_Price]]) / tbl_raw[[#This Row],[Selling_Price]],0)</f>
        <v>0.19964664310954064</v>
      </c>
      <c r="P170" s="19">
        <v>101</v>
      </c>
      <c r="Q170" s="19">
        <f>tbl_raw[[#This Row],[Gross_Profit]]-(tbl_raw[[#This Row],[Shipping_Cost]]*tbl_raw[[#This Row],[Units_Sold]])</f>
        <v>1750</v>
      </c>
      <c r="R170" s="20">
        <f>IFERROR(tbl_raw[[#This Row],[Net_Profit]]/(tbl_raw[[#This Row],[Selling_Price]]*tbl_raw[[#This Row],[Units_Sold]]),0)</f>
        <v>0.11042402826855123</v>
      </c>
      <c r="S170" s="18" t="s">
        <v>40</v>
      </c>
      <c r="T170" s="18" t="s">
        <v>86</v>
      </c>
      <c r="U170" s="18">
        <f>IF(tbl_raw[[#This Row],[Order_Status]]="Returned",1,0)</f>
        <v>1</v>
      </c>
      <c r="V170" s="18">
        <f>IF(tbl_raw[[#This Row],[Payment_Method]]="COD",1,0)</f>
        <v>1</v>
      </c>
      <c r="W170" s="21">
        <f>MIN(1,(tbl_raw[[#This Row],[Discount_Pct]]*1.4)+(tbl_raw[[#This Row],[COD_Flag]]*0.35))</f>
        <v>0.58799999999999997</v>
      </c>
    </row>
    <row r="171" spans="1:23" ht="22.8" x14ac:dyDescent="0.3">
      <c r="A171" s="22" t="s">
        <v>575</v>
      </c>
      <c r="B171" s="23" t="s">
        <v>443</v>
      </c>
      <c r="C171" s="23" t="s">
        <v>117</v>
      </c>
      <c r="D171" s="23" t="s">
        <v>78</v>
      </c>
      <c r="E171" s="23" t="s">
        <v>534</v>
      </c>
      <c r="F171" s="23" t="s">
        <v>576</v>
      </c>
      <c r="G171" s="23" t="s">
        <v>38</v>
      </c>
      <c r="H171" s="23" t="s">
        <v>39</v>
      </c>
      <c r="I171" s="23">
        <v>5</v>
      </c>
      <c r="J171" s="24">
        <v>3230</v>
      </c>
      <c r="K171" s="24">
        <v>2875</v>
      </c>
      <c r="L171" s="25">
        <v>0.11</v>
      </c>
      <c r="M171" s="24">
        <v>1665</v>
      </c>
      <c r="N171" s="24">
        <f>(tbl_raw[[#This Row],[Selling_Price]]-tbl_raw[[#This Row],[Cost_Price]])*tbl_raw[[#This Row],[Units_Sold]]</f>
        <v>6050</v>
      </c>
      <c r="O171" s="25">
        <f>IFERROR((tbl_raw[[#This Row],[Selling_Price]]-tbl_raw[[#This Row],[Cost_Price]]) / tbl_raw[[#This Row],[Selling_Price]],0)</f>
        <v>0.42086956521739133</v>
      </c>
      <c r="P171" s="24">
        <v>42</v>
      </c>
      <c r="Q171" s="24">
        <f>tbl_raw[[#This Row],[Gross_Profit]]-(tbl_raw[[#This Row],[Shipping_Cost]]*tbl_raw[[#This Row],[Units_Sold]])</f>
        <v>5840</v>
      </c>
      <c r="R171" s="25">
        <f>IFERROR(tbl_raw[[#This Row],[Net_Profit]]/(tbl_raw[[#This Row],[Selling_Price]]*tbl_raw[[#This Row],[Units_Sold]]),0)</f>
        <v>0.4062608695652174</v>
      </c>
      <c r="S171" s="23" t="s">
        <v>31</v>
      </c>
      <c r="T171" s="23" t="s">
        <v>32</v>
      </c>
      <c r="U171" s="23">
        <f>IF(tbl_raw[[#This Row],[Order_Status]]="Returned",1,0)</f>
        <v>0</v>
      </c>
      <c r="V171" s="23">
        <f>IF(tbl_raw[[#This Row],[Payment_Method]]="COD",1,0)</f>
        <v>0</v>
      </c>
      <c r="W171" s="26">
        <f>MIN(1,(tbl_raw[[#This Row],[Discount_Pct]]*1.4)+(tbl_raw[[#This Row],[COD_Flag]]*0.35))</f>
        <v>0.154</v>
      </c>
    </row>
    <row r="172" spans="1:23" ht="22.8" x14ac:dyDescent="0.3">
      <c r="A172" s="17" t="s">
        <v>577</v>
      </c>
      <c r="B172" s="18" t="s">
        <v>578</v>
      </c>
      <c r="C172" s="18" t="s">
        <v>156</v>
      </c>
      <c r="D172" s="18" t="s">
        <v>94</v>
      </c>
      <c r="E172" s="18" t="s">
        <v>207</v>
      </c>
      <c r="F172" s="18" t="s">
        <v>579</v>
      </c>
      <c r="G172" s="18" t="s">
        <v>47</v>
      </c>
      <c r="H172" s="18" t="s">
        <v>48</v>
      </c>
      <c r="I172" s="18">
        <v>20</v>
      </c>
      <c r="J172" s="19">
        <v>4903</v>
      </c>
      <c r="K172" s="19">
        <v>2991</v>
      </c>
      <c r="L172" s="20">
        <v>0.39</v>
      </c>
      <c r="M172" s="19">
        <v>2284</v>
      </c>
      <c r="N172" s="19">
        <f>(tbl_raw[[#This Row],[Selling_Price]]-tbl_raw[[#This Row],[Cost_Price]])*tbl_raw[[#This Row],[Units_Sold]]</f>
        <v>14140</v>
      </c>
      <c r="O172" s="20">
        <f>IFERROR((tbl_raw[[#This Row],[Selling_Price]]-tbl_raw[[#This Row],[Cost_Price]]) / tbl_raw[[#This Row],[Selling_Price]],0)</f>
        <v>0.23637579404881309</v>
      </c>
      <c r="P172" s="19">
        <v>144</v>
      </c>
      <c r="Q172" s="19">
        <f>tbl_raw[[#This Row],[Gross_Profit]]-(tbl_raw[[#This Row],[Shipping_Cost]]*tbl_raw[[#This Row],[Units_Sold]])</f>
        <v>11260</v>
      </c>
      <c r="R172" s="20">
        <f>IFERROR(tbl_raw[[#This Row],[Net_Profit]]/(tbl_raw[[#This Row],[Selling_Price]]*tbl_raw[[#This Row],[Units_Sold]]),0)</f>
        <v>0.18823136074891342</v>
      </c>
      <c r="S172" s="18" t="s">
        <v>65</v>
      </c>
      <c r="T172" s="18" t="s">
        <v>32</v>
      </c>
      <c r="U172" s="18">
        <f>IF(tbl_raw[[#This Row],[Order_Status]]="Returned",1,0)</f>
        <v>0</v>
      </c>
      <c r="V172" s="18">
        <f>IF(tbl_raw[[#This Row],[Payment_Method]]="COD",1,0)</f>
        <v>0</v>
      </c>
      <c r="W172" s="21">
        <f>MIN(1,(tbl_raw[[#This Row],[Discount_Pct]]*1.4)+(tbl_raw[[#This Row],[COD_Flag]]*0.35))</f>
        <v>0.54599999999999993</v>
      </c>
    </row>
    <row r="173" spans="1:23" ht="22.8" x14ac:dyDescent="0.3">
      <c r="A173" s="22" t="s">
        <v>580</v>
      </c>
      <c r="B173" s="23" t="s">
        <v>581</v>
      </c>
      <c r="C173" s="23" t="s">
        <v>89</v>
      </c>
      <c r="D173" s="23" t="s">
        <v>26</v>
      </c>
      <c r="E173" s="23" t="s">
        <v>100</v>
      </c>
      <c r="F173" s="23" t="s">
        <v>582</v>
      </c>
      <c r="G173" s="23" t="s">
        <v>120</v>
      </c>
      <c r="H173" s="23" t="s">
        <v>39</v>
      </c>
      <c r="I173" s="23">
        <v>16</v>
      </c>
      <c r="J173" s="24">
        <v>7333</v>
      </c>
      <c r="K173" s="24">
        <v>5060</v>
      </c>
      <c r="L173" s="25">
        <v>0.31</v>
      </c>
      <c r="M173" s="24">
        <v>4739</v>
      </c>
      <c r="N173" s="24">
        <f>(tbl_raw[[#This Row],[Selling_Price]]-tbl_raw[[#This Row],[Cost_Price]])*tbl_raw[[#This Row],[Units_Sold]]</f>
        <v>5136</v>
      </c>
      <c r="O173" s="25">
        <f>IFERROR((tbl_raw[[#This Row],[Selling_Price]]-tbl_raw[[#This Row],[Cost_Price]]) / tbl_raw[[#This Row],[Selling_Price]],0)</f>
        <v>6.3438735177865607E-2</v>
      </c>
      <c r="P173" s="24">
        <v>89</v>
      </c>
      <c r="Q173" s="24">
        <f>tbl_raw[[#This Row],[Gross_Profit]]-(tbl_raw[[#This Row],[Shipping_Cost]]*tbl_raw[[#This Row],[Units_Sold]])</f>
        <v>3712</v>
      </c>
      <c r="R173" s="25">
        <f>IFERROR(tbl_raw[[#This Row],[Net_Profit]]/(tbl_raw[[#This Row],[Selling_Price]]*tbl_raw[[#This Row],[Units_Sold]]),0)</f>
        <v>4.5849802371541501E-2</v>
      </c>
      <c r="S173" s="23" t="s">
        <v>40</v>
      </c>
      <c r="T173" s="23" t="s">
        <v>59</v>
      </c>
      <c r="U173" s="23">
        <f>IF(tbl_raw[[#This Row],[Order_Status]]="Returned",1,0)</f>
        <v>0</v>
      </c>
      <c r="V173" s="23">
        <f>IF(tbl_raw[[#This Row],[Payment_Method]]="COD",1,0)</f>
        <v>1</v>
      </c>
      <c r="W173" s="26">
        <f>MIN(1,(tbl_raw[[#This Row],[Discount_Pct]]*1.4)+(tbl_raw[[#This Row],[COD_Flag]]*0.35))</f>
        <v>0.78400000000000003</v>
      </c>
    </row>
    <row r="174" spans="1:23" ht="22.8" x14ac:dyDescent="0.3">
      <c r="A174" s="17" t="s">
        <v>583</v>
      </c>
      <c r="B174" s="18" t="s">
        <v>375</v>
      </c>
      <c r="C174" s="18" t="s">
        <v>52</v>
      </c>
      <c r="D174" s="18" t="s">
        <v>44</v>
      </c>
      <c r="E174" s="18" t="s">
        <v>279</v>
      </c>
      <c r="F174" s="18" t="s">
        <v>584</v>
      </c>
      <c r="G174" s="18" t="s">
        <v>56</v>
      </c>
      <c r="H174" s="18" t="s">
        <v>57</v>
      </c>
      <c r="I174" s="18">
        <v>17</v>
      </c>
      <c r="J174" s="19">
        <v>7086</v>
      </c>
      <c r="K174" s="19">
        <v>5598</v>
      </c>
      <c r="L174" s="20">
        <v>0.21</v>
      </c>
      <c r="M174" s="19">
        <v>4825</v>
      </c>
      <c r="N174" s="19">
        <f>(tbl_raw[[#This Row],[Selling_Price]]-tbl_raw[[#This Row],[Cost_Price]])*tbl_raw[[#This Row],[Units_Sold]]</f>
        <v>13141</v>
      </c>
      <c r="O174" s="20">
        <f>IFERROR((tbl_raw[[#This Row],[Selling_Price]]-tbl_raw[[#This Row],[Cost_Price]]) / tbl_raw[[#This Row],[Selling_Price]],0)</f>
        <v>0.13808503036798855</v>
      </c>
      <c r="P174" s="19">
        <v>138</v>
      </c>
      <c r="Q174" s="19">
        <f>tbl_raw[[#This Row],[Gross_Profit]]-(tbl_raw[[#This Row],[Shipping_Cost]]*tbl_raw[[#This Row],[Units_Sold]])</f>
        <v>10795</v>
      </c>
      <c r="R174" s="20">
        <f>IFERROR(tbl_raw[[#This Row],[Net_Profit]]/(tbl_raw[[#This Row],[Selling_Price]]*tbl_raw[[#This Row],[Units_Sold]]),0)</f>
        <v>0.11343336906037871</v>
      </c>
      <c r="S174" s="18" t="s">
        <v>107</v>
      </c>
      <c r="T174" s="18" t="s">
        <v>32</v>
      </c>
      <c r="U174" s="18">
        <f>IF(tbl_raw[[#This Row],[Order_Status]]="Returned",1,0)</f>
        <v>0</v>
      </c>
      <c r="V174" s="18">
        <f>IF(tbl_raw[[#This Row],[Payment_Method]]="COD",1,0)</f>
        <v>0</v>
      </c>
      <c r="W174" s="21">
        <f>MIN(1,(tbl_raw[[#This Row],[Discount_Pct]]*1.4)+(tbl_raw[[#This Row],[COD_Flag]]*0.35))</f>
        <v>0.29399999999999998</v>
      </c>
    </row>
    <row r="175" spans="1:23" ht="22.8" x14ac:dyDescent="0.3">
      <c r="A175" s="22" t="s">
        <v>585</v>
      </c>
      <c r="B175" s="23" t="s">
        <v>586</v>
      </c>
      <c r="C175" s="23" t="s">
        <v>52</v>
      </c>
      <c r="D175" s="23" t="s">
        <v>94</v>
      </c>
      <c r="E175" s="23" t="s">
        <v>95</v>
      </c>
      <c r="F175" s="23" t="s">
        <v>587</v>
      </c>
      <c r="G175" s="23" t="s">
        <v>143</v>
      </c>
      <c r="H175" s="23" t="s">
        <v>30</v>
      </c>
      <c r="I175" s="23">
        <v>18</v>
      </c>
      <c r="J175" s="24">
        <v>7491</v>
      </c>
      <c r="K175" s="24">
        <v>5543</v>
      </c>
      <c r="L175" s="25">
        <v>0.26</v>
      </c>
      <c r="M175" s="24">
        <v>4091</v>
      </c>
      <c r="N175" s="24">
        <f>(tbl_raw[[#This Row],[Selling_Price]]-tbl_raw[[#This Row],[Cost_Price]])*tbl_raw[[#This Row],[Units_Sold]]</f>
        <v>26136</v>
      </c>
      <c r="O175" s="25">
        <f>IFERROR((tbl_raw[[#This Row],[Selling_Price]]-tbl_raw[[#This Row],[Cost_Price]]) / tbl_raw[[#This Row],[Selling_Price]],0)</f>
        <v>0.26195201154609415</v>
      </c>
      <c r="P175" s="24">
        <v>53</v>
      </c>
      <c r="Q175" s="24">
        <f>tbl_raw[[#This Row],[Gross_Profit]]-(tbl_raw[[#This Row],[Shipping_Cost]]*tbl_raw[[#This Row],[Units_Sold]])</f>
        <v>25182</v>
      </c>
      <c r="R175" s="25">
        <f>IFERROR(tbl_raw[[#This Row],[Net_Profit]]/(tbl_raw[[#This Row],[Selling_Price]]*tbl_raw[[#This Row],[Units_Sold]]),0)</f>
        <v>0.25239040230921883</v>
      </c>
      <c r="S175" s="23" t="s">
        <v>107</v>
      </c>
      <c r="T175" s="23" t="s">
        <v>32</v>
      </c>
      <c r="U175" s="23">
        <f>IF(tbl_raw[[#This Row],[Order_Status]]="Returned",1,0)</f>
        <v>0</v>
      </c>
      <c r="V175" s="23">
        <f>IF(tbl_raw[[#This Row],[Payment_Method]]="COD",1,0)</f>
        <v>0</v>
      </c>
      <c r="W175" s="26">
        <f>MIN(1,(tbl_raw[[#This Row],[Discount_Pct]]*1.4)+(tbl_raw[[#This Row],[COD_Flag]]*0.35))</f>
        <v>0.36399999999999999</v>
      </c>
    </row>
    <row r="176" spans="1:23" ht="22.8" x14ac:dyDescent="0.3">
      <c r="A176" s="17" t="s">
        <v>588</v>
      </c>
      <c r="B176" s="18" t="s">
        <v>589</v>
      </c>
      <c r="C176" s="18" t="s">
        <v>35</v>
      </c>
      <c r="D176" s="18" t="s">
        <v>44</v>
      </c>
      <c r="E176" s="18" t="s">
        <v>279</v>
      </c>
      <c r="F176" s="18" t="s">
        <v>590</v>
      </c>
      <c r="G176" s="18" t="s">
        <v>75</v>
      </c>
      <c r="H176" s="18" t="s">
        <v>48</v>
      </c>
      <c r="I176" s="18">
        <v>16</v>
      </c>
      <c r="J176" s="19">
        <v>3794</v>
      </c>
      <c r="K176" s="19">
        <v>2542</v>
      </c>
      <c r="L176" s="20">
        <v>0.33</v>
      </c>
      <c r="M176" s="19">
        <v>1985</v>
      </c>
      <c r="N176" s="19">
        <f>(tbl_raw[[#This Row],[Selling_Price]]-tbl_raw[[#This Row],[Cost_Price]])*tbl_raw[[#This Row],[Units_Sold]]</f>
        <v>8912</v>
      </c>
      <c r="O176" s="20">
        <f>IFERROR((tbl_raw[[#This Row],[Selling_Price]]-tbl_raw[[#This Row],[Cost_Price]]) / tbl_raw[[#This Row],[Selling_Price]],0)</f>
        <v>0.21911880409126672</v>
      </c>
      <c r="P176" s="19">
        <v>51</v>
      </c>
      <c r="Q176" s="19">
        <f>tbl_raw[[#This Row],[Gross_Profit]]-(tbl_raw[[#This Row],[Shipping_Cost]]*tbl_raw[[#This Row],[Units_Sold]])</f>
        <v>8096</v>
      </c>
      <c r="R176" s="20">
        <f>IFERROR(tbl_raw[[#This Row],[Net_Profit]]/(tbl_raw[[#This Row],[Selling_Price]]*tbl_raw[[#This Row],[Units_Sold]]),0)</f>
        <v>0.19905586152635721</v>
      </c>
      <c r="S176" s="18" t="s">
        <v>65</v>
      </c>
      <c r="T176" s="18" t="s">
        <v>49</v>
      </c>
      <c r="U176" s="18">
        <f>IF(tbl_raw[[#This Row],[Order_Status]]="Returned",1,0)</f>
        <v>0</v>
      </c>
      <c r="V176" s="18">
        <f>IF(tbl_raw[[#This Row],[Payment_Method]]="COD",1,0)</f>
        <v>0</v>
      </c>
      <c r="W176" s="21">
        <f>MIN(1,(tbl_raw[[#This Row],[Discount_Pct]]*1.4)+(tbl_raw[[#This Row],[COD_Flag]]*0.35))</f>
        <v>0.46199999999999997</v>
      </c>
    </row>
    <row r="177" spans="1:23" ht="22.8" x14ac:dyDescent="0.3">
      <c r="A177" s="22" t="s">
        <v>591</v>
      </c>
      <c r="B177" s="23" t="s">
        <v>231</v>
      </c>
      <c r="C177" s="23" t="s">
        <v>105</v>
      </c>
      <c r="D177" s="23" t="s">
        <v>26</v>
      </c>
      <c r="E177" s="23" t="s">
        <v>36</v>
      </c>
      <c r="F177" s="23" t="s">
        <v>592</v>
      </c>
      <c r="G177" s="23" t="s">
        <v>120</v>
      </c>
      <c r="H177" s="23" t="s">
        <v>39</v>
      </c>
      <c r="I177" s="23">
        <v>2</v>
      </c>
      <c r="J177" s="24">
        <v>6162</v>
      </c>
      <c r="K177" s="24">
        <v>4991</v>
      </c>
      <c r="L177" s="25">
        <v>0.19</v>
      </c>
      <c r="M177" s="24">
        <v>4282</v>
      </c>
      <c r="N177" s="24">
        <f>(tbl_raw[[#This Row],[Selling_Price]]-tbl_raw[[#This Row],[Cost_Price]])*tbl_raw[[#This Row],[Units_Sold]]</f>
        <v>1418</v>
      </c>
      <c r="O177" s="25">
        <f>IFERROR((tbl_raw[[#This Row],[Selling_Price]]-tbl_raw[[#This Row],[Cost_Price]]) / tbl_raw[[#This Row],[Selling_Price]],0)</f>
        <v>0.14205570026046885</v>
      </c>
      <c r="P177" s="24">
        <v>65</v>
      </c>
      <c r="Q177" s="24">
        <f>tbl_raw[[#This Row],[Gross_Profit]]-(tbl_raw[[#This Row],[Shipping_Cost]]*tbl_raw[[#This Row],[Units_Sold]])</f>
        <v>1288</v>
      </c>
      <c r="R177" s="25">
        <f>IFERROR(tbl_raw[[#This Row],[Net_Profit]]/(tbl_raw[[#This Row],[Selling_Price]]*tbl_raw[[#This Row],[Units_Sold]]),0)</f>
        <v>0.12903225806451613</v>
      </c>
      <c r="S177" s="23" t="s">
        <v>40</v>
      </c>
      <c r="T177" s="23" t="s">
        <v>32</v>
      </c>
      <c r="U177" s="23">
        <f>IF(tbl_raw[[#This Row],[Order_Status]]="Returned",1,0)</f>
        <v>0</v>
      </c>
      <c r="V177" s="23">
        <f>IF(tbl_raw[[#This Row],[Payment_Method]]="COD",1,0)</f>
        <v>1</v>
      </c>
      <c r="W177" s="26">
        <f>MIN(1,(tbl_raw[[#This Row],[Discount_Pct]]*1.4)+(tbl_raw[[#This Row],[COD_Flag]]*0.35))</f>
        <v>0.61599999999999988</v>
      </c>
    </row>
    <row r="178" spans="1:23" ht="22.8" x14ac:dyDescent="0.3">
      <c r="A178" s="17" t="s">
        <v>593</v>
      </c>
      <c r="B178" s="18" t="s">
        <v>594</v>
      </c>
      <c r="C178" s="18" t="s">
        <v>89</v>
      </c>
      <c r="D178" s="18" t="s">
        <v>62</v>
      </c>
      <c r="E178" s="18" t="s">
        <v>68</v>
      </c>
      <c r="F178" s="18" t="s">
        <v>595</v>
      </c>
      <c r="G178" s="18" t="s">
        <v>139</v>
      </c>
      <c r="H178" s="18" t="s">
        <v>48</v>
      </c>
      <c r="I178" s="18">
        <v>18</v>
      </c>
      <c r="J178" s="19">
        <v>4503</v>
      </c>
      <c r="K178" s="19">
        <v>4458</v>
      </c>
      <c r="L178" s="20">
        <v>0.01</v>
      </c>
      <c r="M178" s="19">
        <v>2636</v>
      </c>
      <c r="N178" s="19">
        <f>(tbl_raw[[#This Row],[Selling_Price]]-tbl_raw[[#This Row],[Cost_Price]])*tbl_raw[[#This Row],[Units_Sold]]</f>
        <v>32796</v>
      </c>
      <c r="O178" s="20">
        <f>IFERROR((tbl_raw[[#This Row],[Selling_Price]]-tbl_raw[[#This Row],[Cost_Price]]) / tbl_raw[[#This Row],[Selling_Price]],0)</f>
        <v>0.40870345446388517</v>
      </c>
      <c r="P178" s="19">
        <v>71</v>
      </c>
      <c r="Q178" s="19">
        <f>tbl_raw[[#This Row],[Gross_Profit]]-(tbl_raw[[#This Row],[Shipping_Cost]]*tbl_raw[[#This Row],[Units_Sold]])</f>
        <v>31518</v>
      </c>
      <c r="R178" s="20">
        <f>IFERROR(tbl_raw[[#This Row],[Net_Profit]]/(tbl_raw[[#This Row],[Selling_Price]]*tbl_raw[[#This Row],[Units_Sold]]),0)</f>
        <v>0.3927770300583221</v>
      </c>
      <c r="S178" s="18" t="s">
        <v>107</v>
      </c>
      <c r="T178" s="18" t="s">
        <v>86</v>
      </c>
      <c r="U178" s="18">
        <f>IF(tbl_raw[[#This Row],[Order_Status]]="Returned",1,0)</f>
        <v>1</v>
      </c>
      <c r="V178" s="18">
        <f>IF(tbl_raw[[#This Row],[Payment_Method]]="COD",1,0)</f>
        <v>0</v>
      </c>
      <c r="W178" s="21">
        <f>MIN(1,(tbl_raw[[#This Row],[Discount_Pct]]*1.4)+(tbl_raw[[#This Row],[COD_Flag]]*0.35))</f>
        <v>1.3999999999999999E-2</v>
      </c>
    </row>
    <row r="179" spans="1:23" ht="22.8" x14ac:dyDescent="0.3">
      <c r="A179" s="22" t="s">
        <v>596</v>
      </c>
      <c r="B179" s="23" t="s">
        <v>597</v>
      </c>
      <c r="C179" s="23" t="s">
        <v>25</v>
      </c>
      <c r="D179" s="23" t="s">
        <v>164</v>
      </c>
      <c r="E179" s="23" t="s">
        <v>265</v>
      </c>
      <c r="F179" s="23" t="s">
        <v>598</v>
      </c>
      <c r="G179" s="23" t="s">
        <v>38</v>
      </c>
      <c r="H179" s="23" t="s">
        <v>39</v>
      </c>
      <c r="I179" s="23">
        <v>5</v>
      </c>
      <c r="J179" s="24">
        <v>2080</v>
      </c>
      <c r="K179" s="24">
        <v>1498</v>
      </c>
      <c r="L179" s="25">
        <v>0.28000000000000003</v>
      </c>
      <c r="M179" s="24">
        <v>1016</v>
      </c>
      <c r="N179" s="24">
        <f>(tbl_raw[[#This Row],[Selling_Price]]-tbl_raw[[#This Row],[Cost_Price]])*tbl_raw[[#This Row],[Units_Sold]]</f>
        <v>2410</v>
      </c>
      <c r="O179" s="25">
        <f>IFERROR((tbl_raw[[#This Row],[Selling_Price]]-tbl_raw[[#This Row],[Cost_Price]]) / tbl_raw[[#This Row],[Selling_Price]],0)</f>
        <v>0.32176234979973295</v>
      </c>
      <c r="P179" s="24">
        <v>83</v>
      </c>
      <c r="Q179" s="24">
        <f>tbl_raw[[#This Row],[Gross_Profit]]-(tbl_raw[[#This Row],[Shipping_Cost]]*tbl_raw[[#This Row],[Units_Sold]])</f>
        <v>1995</v>
      </c>
      <c r="R179" s="25">
        <f>IFERROR(tbl_raw[[#This Row],[Net_Profit]]/(tbl_raw[[#This Row],[Selling_Price]]*tbl_raw[[#This Row],[Units_Sold]]),0)</f>
        <v>0.26635514018691586</v>
      </c>
      <c r="S179" s="23" t="s">
        <v>31</v>
      </c>
      <c r="T179" s="23" t="s">
        <v>49</v>
      </c>
      <c r="U179" s="23">
        <f>IF(tbl_raw[[#This Row],[Order_Status]]="Returned",1,0)</f>
        <v>0</v>
      </c>
      <c r="V179" s="23">
        <f>IF(tbl_raw[[#This Row],[Payment_Method]]="COD",1,0)</f>
        <v>0</v>
      </c>
      <c r="W179" s="26">
        <f>MIN(1,(tbl_raw[[#This Row],[Discount_Pct]]*1.4)+(tbl_raw[[#This Row],[COD_Flag]]*0.35))</f>
        <v>0.39200000000000002</v>
      </c>
    </row>
    <row r="180" spans="1:23" ht="22.8" x14ac:dyDescent="0.3">
      <c r="A180" s="17" t="s">
        <v>599</v>
      </c>
      <c r="B180" s="18" t="s">
        <v>600</v>
      </c>
      <c r="C180" s="18" t="s">
        <v>117</v>
      </c>
      <c r="D180" s="18" t="s">
        <v>94</v>
      </c>
      <c r="E180" s="18" t="s">
        <v>95</v>
      </c>
      <c r="F180" s="18" t="s">
        <v>601</v>
      </c>
      <c r="G180" s="18" t="s">
        <v>120</v>
      </c>
      <c r="H180" s="18" t="s">
        <v>39</v>
      </c>
      <c r="I180" s="18">
        <v>2</v>
      </c>
      <c r="J180" s="19">
        <v>929</v>
      </c>
      <c r="K180" s="19">
        <v>771</v>
      </c>
      <c r="L180" s="20">
        <v>0.17</v>
      </c>
      <c r="M180" s="19">
        <v>551</v>
      </c>
      <c r="N180" s="19">
        <f>(tbl_raw[[#This Row],[Selling_Price]]-tbl_raw[[#This Row],[Cost_Price]])*tbl_raw[[#This Row],[Units_Sold]]</f>
        <v>440</v>
      </c>
      <c r="O180" s="20">
        <f>IFERROR((tbl_raw[[#This Row],[Selling_Price]]-tbl_raw[[#This Row],[Cost_Price]]) / tbl_raw[[#This Row],[Selling_Price]],0)</f>
        <v>0.28534370946822307</v>
      </c>
      <c r="P180" s="19">
        <v>38</v>
      </c>
      <c r="Q180" s="19">
        <f>tbl_raw[[#This Row],[Gross_Profit]]-(tbl_raw[[#This Row],[Shipping_Cost]]*tbl_raw[[#This Row],[Units_Sold]])</f>
        <v>364</v>
      </c>
      <c r="R180" s="20">
        <f>IFERROR(tbl_raw[[#This Row],[Net_Profit]]/(tbl_raw[[#This Row],[Selling_Price]]*tbl_raw[[#This Row],[Units_Sold]]),0)</f>
        <v>0.23605706874189364</v>
      </c>
      <c r="S180" s="18" t="s">
        <v>58</v>
      </c>
      <c r="T180" s="18" t="s">
        <v>32</v>
      </c>
      <c r="U180" s="18">
        <f>IF(tbl_raw[[#This Row],[Order_Status]]="Returned",1,0)</f>
        <v>0</v>
      </c>
      <c r="V180" s="18">
        <f>IF(tbl_raw[[#This Row],[Payment_Method]]="COD",1,0)</f>
        <v>0</v>
      </c>
      <c r="W180" s="21">
        <f>MIN(1,(tbl_raw[[#This Row],[Discount_Pct]]*1.4)+(tbl_raw[[#This Row],[COD_Flag]]*0.35))</f>
        <v>0.23799999999999999</v>
      </c>
    </row>
    <row r="181" spans="1:23" ht="22.8" x14ac:dyDescent="0.3">
      <c r="A181" s="22" t="s">
        <v>602</v>
      </c>
      <c r="B181" s="23" t="s">
        <v>603</v>
      </c>
      <c r="C181" s="23" t="s">
        <v>52</v>
      </c>
      <c r="D181" s="23" t="s">
        <v>44</v>
      </c>
      <c r="E181" s="23" t="s">
        <v>338</v>
      </c>
      <c r="F181" s="23" t="s">
        <v>604</v>
      </c>
      <c r="G181" s="23" t="s">
        <v>120</v>
      </c>
      <c r="H181" s="23" t="s">
        <v>39</v>
      </c>
      <c r="I181" s="23">
        <v>17</v>
      </c>
      <c r="J181" s="24">
        <v>7369</v>
      </c>
      <c r="K181" s="24">
        <v>6632</v>
      </c>
      <c r="L181" s="25">
        <v>0.1</v>
      </c>
      <c r="M181" s="24">
        <v>5272</v>
      </c>
      <c r="N181" s="24">
        <f>(tbl_raw[[#This Row],[Selling_Price]]-tbl_raw[[#This Row],[Cost_Price]])*tbl_raw[[#This Row],[Units_Sold]]</f>
        <v>23120</v>
      </c>
      <c r="O181" s="25">
        <f>IFERROR((tbl_raw[[#This Row],[Selling_Price]]-tbl_raw[[#This Row],[Cost_Price]]) / tbl_raw[[#This Row],[Selling_Price]],0)</f>
        <v>0.20506634499396864</v>
      </c>
      <c r="P181" s="24">
        <v>134</v>
      </c>
      <c r="Q181" s="24">
        <f>tbl_raw[[#This Row],[Gross_Profit]]-(tbl_raw[[#This Row],[Shipping_Cost]]*tbl_raw[[#This Row],[Units_Sold]])</f>
        <v>20842</v>
      </c>
      <c r="R181" s="25">
        <f>IFERROR(tbl_raw[[#This Row],[Net_Profit]]/(tbl_raw[[#This Row],[Selling_Price]]*tbl_raw[[#This Row],[Units_Sold]]),0)</f>
        <v>0.18486127864897467</v>
      </c>
      <c r="S181" s="23" t="s">
        <v>65</v>
      </c>
      <c r="T181" s="23" t="s">
        <v>32</v>
      </c>
      <c r="U181" s="23">
        <f>IF(tbl_raw[[#This Row],[Order_Status]]="Returned",1,0)</f>
        <v>0</v>
      </c>
      <c r="V181" s="23">
        <f>IF(tbl_raw[[#This Row],[Payment_Method]]="COD",1,0)</f>
        <v>0</v>
      </c>
      <c r="W181" s="26">
        <f>MIN(1,(tbl_raw[[#This Row],[Discount_Pct]]*1.4)+(tbl_raw[[#This Row],[COD_Flag]]*0.35))</f>
        <v>0.13999999999999999</v>
      </c>
    </row>
    <row r="182" spans="1:23" ht="22.8" x14ac:dyDescent="0.3">
      <c r="A182" s="17" t="s">
        <v>605</v>
      </c>
      <c r="B182" s="18" t="s">
        <v>606</v>
      </c>
      <c r="C182" s="18" t="s">
        <v>72</v>
      </c>
      <c r="D182" s="18" t="s">
        <v>53</v>
      </c>
      <c r="E182" s="18" t="s">
        <v>54</v>
      </c>
      <c r="F182" s="18" t="s">
        <v>607</v>
      </c>
      <c r="G182" s="18" t="s">
        <v>139</v>
      </c>
      <c r="H182" s="18" t="s">
        <v>48</v>
      </c>
      <c r="I182" s="18">
        <v>6</v>
      </c>
      <c r="J182" s="19">
        <v>7444</v>
      </c>
      <c r="K182" s="19">
        <v>6402</v>
      </c>
      <c r="L182" s="20">
        <v>0.14000000000000001</v>
      </c>
      <c r="M182" s="19">
        <v>5483</v>
      </c>
      <c r="N182" s="19">
        <f>(tbl_raw[[#This Row],[Selling_Price]]-tbl_raw[[#This Row],[Cost_Price]])*tbl_raw[[#This Row],[Units_Sold]]</f>
        <v>5514</v>
      </c>
      <c r="O182" s="20">
        <f>IFERROR((tbl_raw[[#This Row],[Selling_Price]]-tbl_raw[[#This Row],[Cost_Price]]) / tbl_raw[[#This Row],[Selling_Price]],0)</f>
        <v>0.14354889097157139</v>
      </c>
      <c r="P182" s="19">
        <v>118</v>
      </c>
      <c r="Q182" s="19">
        <f>tbl_raw[[#This Row],[Gross_Profit]]-(tbl_raw[[#This Row],[Shipping_Cost]]*tbl_raw[[#This Row],[Units_Sold]])</f>
        <v>4806</v>
      </c>
      <c r="R182" s="20">
        <f>IFERROR(tbl_raw[[#This Row],[Net_Profit]]/(tbl_raw[[#This Row],[Selling_Price]]*tbl_raw[[#This Row],[Units_Sold]]),0)</f>
        <v>0.12511715089034678</v>
      </c>
      <c r="S182" s="18" t="s">
        <v>31</v>
      </c>
      <c r="T182" s="18" t="s">
        <v>32</v>
      </c>
      <c r="U182" s="18">
        <f>IF(tbl_raw[[#This Row],[Order_Status]]="Returned",1,0)</f>
        <v>0</v>
      </c>
      <c r="V182" s="18">
        <f>IF(tbl_raw[[#This Row],[Payment_Method]]="COD",1,0)</f>
        <v>0</v>
      </c>
      <c r="W182" s="21">
        <f>MIN(1,(tbl_raw[[#This Row],[Discount_Pct]]*1.4)+(tbl_raw[[#This Row],[COD_Flag]]*0.35))</f>
        <v>0.19600000000000001</v>
      </c>
    </row>
    <row r="183" spans="1:23" ht="22.8" x14ac:dyDescent="0.3">
      <c r="A183" s="22" t="s">
        <v>608</v>
      </c>
      <c r="B183" s="23" t="s">
        <v>369</v>
      </c>
      <c r="C183" s="23" t="s">
        <v>199</v>
      </c>
      <c r="D183" s="23" t="s">
        <v>78</v>
      </c>
      <c r="E183" s="23" t="s">
        <v>84</v>
      </c>
      <c r="F183" s="23" t="s">
        <v>609</v>
      </c>
      <c r="G183" s="23" t="s">
        <v>47</v>
      </c>
      <c r="H183" s="23" t="s">
        <v>48</v>
      </c>
      <c r="I183" s="23">
        <v>5</v>
      </c>
      <c r="J183" s="24">
        <v>6366</v>
      </c>
      <c r="K183" s="24">
        <v>4393</v>
      </c>
      <c r="L183" s="25">
        <v>0.31</v>
      </c>
      <c r="M183" s="24">
        <v>2721</v>
      </c>
      <c r="N183" s="24">
        <f>(tbl_raw[[#This Row],[Selling_Price]]-tbl_raw[[#This Row],[Cost_Price]])*tbl_raw[[#This Row],[Units_Sold]]</f>
        <v>8360</v>
      </c>
      <c r="O183" s="25">
        <f>IFERROR((tbl_raw[[#This Row],[Selling_Price]]-tbl_raw[[#This Row],[Cost_Price]]) / tbl_raw[[#This Row],[Selling_Price]],0)</f>
        <v>0.38060550876394261</v>
      </c>
      <c r="P183" s="24">
        <v>142</v>
      </c>
      <c r="Q183" s="24">
        <f>tbl_raw[[#This Row],[Gross_Profit]]-(tbl_raw[[#This Row],[Shipping_Cost]]*tbl_raw[[#This Row],[Units_Sold]])</f>
        <v>7650</v>
      </c>
      <c r="R183" s="25">
        <f>IFERROR(tbl_raw[[#This Row],[Net_Profit]]/(tbl_raw[[#This Row],[Selling_Price]]*tbl_raw[[#This Row],[Units_Sold]]),0)</f>
        <v>0.34828135670384702</v>
      </c>
      <c r="S183" s="23" t="s">
        <v>107</v>
      </c>
      <c r="T183" s="23" t="s">
        <v>32</v>
      </c>
      <c r="U183" s="23">
        <f>IF(tbl_raw[[#This Row],[Order_Status]]="Returned",1,0)</f>
        <v>0</v>
      </c>
      <c r="V183" s="23">
        <f>IF(tbl_raw[[#This Row],[Payment_Method]]="COD",1,0)</f>
        <v>0</v>
      </c>
      <c r="W183" s="26">
        <f>MIN(1,(tbl_raw[[#This Row],[Discount_Pct]]*1.4)+(tbl_raw[[#This Row],[COD_Flag]]*0.35))</f>
        <v>0.434</v>
      </c>
    </row>
    <row r="184" spans="1:23" ht="22.8" x14ac:dyDescent="0.3">
      <c r="A184" s="17" t="s">
        <v>610</v>
      </c>
      <c r="B184" s="18" t="s">
        <v>611</v>
      </c>
      <c r="C184" s="18" t="s">
        <v>72</v>
      </c>
      <c r="D184" s="18" t="s">
        <v>78</v>
      </c>
      <c r="E184" s="18" t="s">
        <v>79</v>
      </c>
      <c r="F184" s="18" t="s">
        <v>612</v>
      </c>
      <c r="G184" s="18" t="s">
        <v>143</v>
      </c>
      <c r="H184" s="18" t="s">
        <v>30</v>
      </c>
      <c r="I184" s="18">
        <v>15</v>
      </c>
      <c r="J184" s="19">
        <v>4027</v>
      </c>
      <c r="K184" s="19">
        <v>3383</v>
      </c>
      <c r="L184" s="20">
        <v>0.16</v>
      </c>
      <c r="M184" s="19">
        <v>2937</v>
      </c>
      <c r="N184" s="19">
        <f>(tbl_raw[[#This Row],[Selling_Price]]-tbl_raw[[#This Row],[Cost_Price]])*tbl_raw[[#This Row],[Units_Sold]]</f>
        <v>6690</v>
      </c>
      <c r="O184" s="20">
        <f>IFERROR((tbl_raw[[#This Row],[Selling_Price]]-tbl_raw[[#This Row],[Cost_Price]]) / tbl_raw[[#This Row],[Selling_Price]],0)</f>
        <v>0.13183564883239729</v>
      </c>
      <c r="P184" s="19">
        <v>95</v>
      </c>
      <c r="Q184" s="19">
        <f>tbl_raw[[#This Row],[Gross_Profit]]-(tbl_raw[[#This Row],[Shipping_Cost]]*tbl_raw[[#This Row],[Units_Sold]])</f>
        <v>5265</v>
      </c>
      <c r="R184" s="20">
        <f>IFERROR(tbl_raw[[#This Row],[Net_Profit]]/(tbl_raw[[#This Row],[Selling_Price]]*tbl_raw[[#This Row],[Units_Sold]]),0)</f>
        <v>0.10375406443984629</v>
      </c>
      <c r="S184" s="18" t="s">
        <v>65</v>
      </c>
      <c r="T184" s="18" t="s">
        <v>32</v>
      </c>
      <c r="U184" s="18">
        <f>IF(tbl_raw[[#This Row],[Order_Status]]="Returned",1,0)</f>
        <v>0</v>
      </c>
      <c r="V184" s="18">
        <f>IF(tbl_raw[[#This Row],[Payment_Method]]="COD",1,0)</f>
        <v>0</v>
      </c>
      <c r="W184" s="21">
        <f>MIN(1,(tbl_raw[[#This Row],[Discount_Pct]]*1.4)+(tbl_raw[[#This Row],[COD_Flag]]*0.35))</f>
        <v>0.22399999999999998</v>
      </c>
    </row>
    <row r="185" spans="1:23" ht="22.8" x14ac:dyDescent="0.3">
      <c r="A185" s="22" t="s">
        <v>613</v>
      </c>
      <c r="B185" s="23" t="s">
        <v>614</v>
      </c>
      <c r="C185" s="23" t="s">
        <v>199</v>
      </c>
      <c r="D185" s="23" t="s">
        <v>94</v>
      </c>
      <c r="E185" s="23" t="s">
        <v>207</v>
      </c>
      <c r="F185" s="23" t="s">
        <v>615</v>
      </c>
      <c r="G185" s="23" t="s">
        <v>143</v>
      </c>
      <c r="H185" s="23" t="s">
        <v>30</v>
      </c>
      <c r="I185" s="23">
        <v>5</v>
      </c>
      <c r="J185" s="24">
        <v>3164</v>
      </c>
      <c r="K185" s="24">
        <v>2057</v>
      </c>
      <c r="L185" s="25">
        <v>0.35</v>
      </c>
      <c r="M185" s="24">
        <v>1436</v>
      </c>
      <c r="N185" s="24">
        <f>(tbl_raw[[#This Row],[Selling_Price]]-tbl_raw[[#This Row],[Cost_Price]])*tbl_raw[[#This Row],[Units_Sold]]</f>
        <v>3105</v>
      </c>
      <c r="O185" s="25">
        <f>IFERROR((tbl_raw[[#This Row],[Selling_Price]]-tbl_raw[[#This Row],[Cost_Price]]) / tbl_raw[[#This Row],[Selling_Price]],0)</f>
        <v>0.30189596499756927</v>
      </c>
      <c r="P185" s="24">
        <v>88</v>
      </c>
      <c r="Q185" s="24">
        <f>tbl_raw[[#This Row],[Gross_Profit]]-(tbl_raw[[#This Row],[Shipping_Cost]]*tbl_raw[[#This Row],[Units_Sold]])</f>
        <v>2665</v>
      </c>
      <c r="R185" s="25">
        <f>IFERROR(tbl_raw[[#This Row],[Net_Profit]]/(tbl_raw[[#This Row],[Selling_Price]]*tbl_raw[[#This Row],[Units_Sold]]),0)</f>
        <v>0.25911521633446766</v>
      </c>
      <c r="S185" s="23" t="s">
        <v>107</v>
      </c>
      <c r="T185" s="23" t="s">
        <v>32</v>
      </c>
      <c r="U185" s="23">
        <f>IF(tbl_raw[[#This Row],[Order_Status]]="Returned",1,0)</f>
        <v>0</v>
      </c>
      <c r="V185" s="23">
        <f>IF(tbl_raw[[#This Row],[Payment_Method]]="COD",1,0)</f>
        <v>0</v>
      </c>
      <c r="W185" s="26">
        <f>MIN(1,(tbl_raw[[#This Row],[Discount_Pct]]*1.4)+(tbl_raw[[#This Row],[COD_Flag]]*0.35))</f>
        <v>0.48999999999999994</v>
      </c>
    </row>
    <row r="186" spans="1:23" ht="22.8" x14ac:dyDescent="0.3">
      <c r="A186" s="17" t="s">
        <v>616</v>
      </c>
      <c r="B186" s="18" t="s">
        <v>357</v>
      </c>
      <c r="C186" s="18" t="s">
        <v>99</v>
      </c>
      <c r="D186" s="18" t="s">
        <v>44</v>
      </c>
      <c r="E186" s="18" t="s">
        <v>279</v>
      </c>
      <c r="F186" s="18" t="s">
        <v>617</v>
      </c>
      <c r="G186" s="18" t="s">
        <v>81</v>
      </c>
      <c r="H186" s="18" t="s">
        <v>30</v>
      </c>
      <c r="I186" s="18">
        <v>3</v>
      </c>
      <c r="J186" s="19">
        <v>1662</v>
      </c>
      <c r="K186" s="19">
        <v>1330</v>
      </c>
      <c r="L186" s="20">
        <v>0.2</v>
      </c>
      <c r="M186" s="19">
        <v>987</v>
      </c>
      <c r="N186" s="19">
        <f>(tbl_raw[[#This Row],[Selling_Price]]-tbl_raw[[#This Row],[Cost_Price]])*tbl_raw[[#This Row],[Units_Sold]]</f>
        <v>1029</v>
      </c>
      <c r="O186" s="20">
        <f>IFERROR((tbl_raw[[#This Row],[Selling_Price]]-tbl_raw[[#This Row],[Cost_Price]]) / tbl_raw[[#This Row],[Selling_Price]],0)</f>
        <v>0.25789473684210529</v>
      </c>
      <c r="P186" s="19">
        <v>91</v>
      </c>
      <c r="Q186" s="19">
        <f>tbl_raw[[#This Row],[Gross_Profit]]-(tbl_raw[[#This Row],[Shipping_Cost]]*tbl_raw[[#This Row],[Units_Sold]])</f>
        <v>756</v>
      </c>
      <c r="R186" s="20">
        <f>IFERROR(tbl_raw[[#This Row],[Net_Profit]]/(tbl_raw[[#This Row],[Selling_Price]]*tbl_raw[[#This Row],[Units_Sold]]),0)</f>
        <v>0.18947368421052632</v>
      </c>
      <c r="S186" s="18" t="s">
        <v>58</v>
      </c>
      <c r="T186" s="18" t="s">
        <v>32</v>
      </c>
      <c r="U186" s="18">
        <f>IF(tbl_raw[[#This Row],[Order_Status]]="Returned",1,0)</f>
        <v>0</v>
      </c>
      <c r="V186" s="18">
        <f>IF(tbl_raw[[#This Row],[Payment_Method]]="COD",1,0)</f>
        <v>0</v>
      </c>
      <c r="W186" s="21">
        <f>MIN(1,(tbl_raw[[#This Row],[Discount_Pct]]*1.4)+(tbl_raw[[#This Row],[COD_Flag]]*0.35))</f>
        <v>0.27999999999999997</v>
      </c>
    </row>
    <row r="187" spans="1:23" ht="22.8" x14ac:dyDescent="0.3">
      <c r="A187" s="22" t="s">
        <v>618</v>
      </c>
      <c r="B187" s="23" t="s">
        <v>619</v>
      </c>
      <c r="C187" s="23" t="s">
        <v>199</v>
      </c>
      <c r="D187" s="23" t="s">
        <v>44</v>
      </c>
      <c r="E187" s="23" t="s">
        <v>275</v>
      </c>
      <c r="F187" s="23" t="s">
        <v>620</v>
      </c>
      <c r="G187" s="23" t="s">
        <v>143</v>
      </c>
      <c r="H187" s="23" t="s">
        <v>30</v>
      </c>
      <c r="I187" s="23">
        <v>14</v>
      </c>
      <c r="J187" s="24">
        <v>3225</v>
      </c>
      <c r="K187" s="24">
        <v>3096</v>
      </c>
      <c r="L187" s="25">
        <v>0.04</v>
      </c>
      <c r="M187" s="24">
        <v>2307</v>
      </c>
      <c r="N187" s="24">
        <f>(tbl_raw[[#This Row],[Selling_Price]]-tbl_raw[[#This Row],[Cost_Price]])*tbl_raw[[#This Row],[Units_Sold]]</f>
        <v>11046</v>
      </c>
      <c r="O187" s="25">
        <f>IFERROR((tbl_raw[[#This Row],[Selling_Price]]-tbl_raw[[#This Row],[Cost_Price]]) / tbl_raw[[#This Row],[Selling_Price]],0)</f>
        <v>0.25484496124031009</v>
      </c>
      <c r="P187" s="24">
        <v>166</v>
      </c>
      <c r="Q187" s="24">
        <f>tbl_raw[[#This Row],[Gross_Profit]]-(tbl_raw[[#This Row],[Shipping_Cost]]*tbl_raw[[#This Row],[Units_Sold]])</f>
        <v>8722</v>
      </c>
      <c r="R187" s="25">
        <f>IFERROR(tbl_raw[[#This Row],[Net_Profit]]/(tbl_raw[[#This Row],[Selling_Price]]*tbl_raw[[#This Row],[Units_Sold]]),0)</f>
        <v>0.20122739018087854</v>
      </c>
      <c r="S187" s="23" t="s">
        <v>40</v>
      </c>
      <c r="T187" s="23" t="s">
        <v>32</v>
      </c>
      <c r="U187" s="23">
        <f>IF(tbl_raw[[#This Row],[Order_Status]]="Returned",1,0)</f>
        <v>0</v>
      </c>
      <c r="V187" s="23">
        <f>IF(tbl_raw[[#This Row],[Payment_Method]]="COD",1,0)</f>
        <v>1</v>
      </c>
      <c r="W187" s="26">
        <f>MIN(1,(tbl_raw[[#This Row],[Discount_Pct]]*1.4)+(tbl_raw[[#This Row],[COD_Flag]]*0.35))</f>
        <v>0.40599999999999997</v>
      </c>
    </row>
    <row r="188" spans="1:23" ht="22.8" x14ac:dyDescent="0.3">
      <c r="A188" s="17" t="s">
        <v>621</v>
      </c>
      <c r="B188" s="18" t="s">
        <v>622</v>
      </c>
      <c r="C188" s="18" t="s">
        <v>52</v>
      </c>
      <c r="D188" s="18" t="s">
        <v>164</v>
      </c>
      <c r="E188" s="18" t="s">
        <v>413</v>
      </c>
      <c r="F188" s="18" t="s">
        <v>623</v>
      </c>
      <c r="G188" s="18" t="s">
        <v>143</v>
      </c>
      <c r="H188" s="18" t="s">
        <v>30</v>
      </c>
      <c r="I188" s="18">
        <v>16</v>
      </c>
      <c r="J188" s="19">
        <v>1338</v>
      </c>
      <c r="K188" s="19">
        <v>1231</v>
      </c>
      <c r="L188" s="20">
        <v>0.08</v>
      </c>
      <c r="M188" s="19">
        <v>664</v>
      </c>
      <c r="N188" s="19">
        <f>(tbl_raw[[#This Row],[Selling_Price]]-tbl_raw[[#This Row],[Cost_Price]])*tbl_raw[[#This Row],[Units_Sold]]</f>
        <v>9072</v>
      </c>
      <c r="O188" s="20">
        <f>IFERROR((tbl_raw[[#This Row],[Selling_Price]]-tbl_raw[[#This Row],[Cost_Price]]) / tbl_raw[[#This Row],[Selling_Price]],0)</f>
        <v>0.46060113728675872</v>
      </c>
      <c r="P188" s="19">
        <v>75</v>
      </c>
      <c r="Q188" s="19">
        <f>tbl_raw[[#This Row],[Gross_Profit]]-(tbl_raw[[#This Row],[Shipping_Cost]]*tbl_raw[[#This Row],[Units_Sold]])</f>
        <v>7872</v>
      </c>
      <c r="R188" s="20">
        <f>IFERROR(tbl_raw[[#This Row],[Net_Profit]]/(tbl_raw[[#This Row],[Selling_Price]]*tbl_raw[[#This Row],[Units_Sold]]),0)</f>
        <v>0.39967506092607635</v>
      </c>
      <c r="S188" s="18" t="s">
        <v>58</v>
      </c>
      <c r="T188" s="18" t="s">
        <v>49</v>
      </c>
      <c r="U188" s="18">
        <f>IF(tbl_raw[[#This Row],[Order_Status]]="Returned",1,0)</f>
        <v>0</v>
      </c>
      <c r="V188" s="18">
        <f>IF(tbl_raw[[#This Row],[Payment_Method]]="COD",1,0)</f>
        <v>0</v>
      </c>
      <c r="W188" s="21">
        <f>MIN(1,(tbl_raw[[#This Row],[Discount_Pct]]*1.4)+(tbl_raw[[#This Row],[COD_Flag]]*0.35))</f>
        <v>0.11199999999999999</v>
      </c>
    </row>
    <row r="189" spans="1:23" ht="22.8" x14ac:dyDescent="0.3">
      <c r="A189" s="22" t="s">
        <v>624</v>
      </c>
      <c r="B189" s="23" t="s">
        <v>625</v>
      </c>
      <c r="C189" s="23" t="s">
        <v>156</v>
      </c>
      <c r="D189" s="23" t="s">
        <v>62</v>
      </c>
      <c r="E189" s="23" t="s">
        <v>133</v>
      </c>
      <c r="F189" s="23" t="s">
        <v>626</v>
      </c>
      <c r="G189" s="23" t="s">
        <v>29</v>
      </c>
      <c r="H189" s="23" t="s">
        <v>30</v>
      </c>
      <c r="I189" s="23">
        <v>15</v>
      </c>
      <c r="J189" s="24">
        <v>1034</v>
      </c>
      <c r="K189" s="24">
        <v>889</v>
      </c>
      <c r="L189" s="25">
        <v>0.14000000000000001</v>
      </c>
      <c r="M189" s="24">
        <v>757</v>
      </c>
      <c r="N189" s="24">
        <f>(tbl_raw[[#This Row],[Selling_Price]]-tbl_raw[[#This Row],[Cost_Price]])*tbl_raw[[#This Row],[Units_Sold]]</f>
        <v>1980</v>
      </c>
      <c r="O189" s="25">
        <f>IFERROR((tbl_raw[[#This Row],[Selling_Price]]-tbl_raw[[#This Row],[Cost_Price]]) / tbl_raw[[#This Row],[Selling_Price]],0)</f>
        <v>0.14848143982002249</v>
      </c>
      <c r="P189" s="24">
        <v>80</v>
      </c>
      <c r="Q189" s="24">
        <f>tbl_raw[[#This Row],[Gross_Profit]]-(tbl_raw[[#This Row],[Shipping_Cost]]*tbl_raw[[#This Row],[Units_Sold]])</f>
        <v>780</v>
      </c>
      <c r="R189" s="25">
        <f>IFERROR(tbl_raw[[#This Row],[Net_Profit]]/(tbl_raw[[#This Row],[Selling_Price]]*tbl_raw[[#This Row],[Units_Sold]]),0)</f>
        <v>5.8492688413948259E-2</v>
      </c>
      <c r="S189" s="23" t="s">
        <v>65</v>
      </c>
      <c r="T189" s="23" t="s">
        <v>59</v>
      </c>
      <c r="U189" s="23">
        <f>IF(tbl_raw[[#This Row],[Order_Status]]="Returned",1,0)</f>
        <v>0</v>
      </c>
      <c r="V189" s="23">
        <f>IF(tbl_raw[[#This Row],[Payment_Method]]="COD",1,0)</f>
        <v>0</v>
      </c>
      <c r="W189" s="26">
        <f>MIN(1,(tbl_raw[[#This Row],[Discount_Pct]]*1.4)+(tbl_raw[[#This Row],[COD_Flag]]*0.35))</f>
        <v>0.19600000000000001</v>
      </c>
    </row>
    <row r="190" spans="1:23" ht="22.8" x14ac:dyDescent="0.3">
      <c r="A190" s="17" t="s">
        <v>627</v>
      </c>
      <c r="B190" s="18" t="s">
        <v>628</v>
      </c>
      <c r="C190" s="18" t="s">
        <v>117</v>
      </c>
      <c r="D190" s="18" t="s">
        <v>78</v>
      </c>
      <c r="E190" s="18" t="s">
        <v>84</v>
      </c>
      <c r="F190" s="18" t="s">
        <v>629</v>
      </c>
      <c r="G190" s="18" t="s">
        <v>143</v>
      </c>
      <c r="H190" s="18" t="s">
        <v>30</v>
      </c>
      <c r="I190" s="18">
        <v>11</v>
      </c>
      <c r="J190" s="19">
        <v>4905</v>
      </c>
      <c r="K190" s="19">
        <v>3384</v>
      </c>
      <c r="L190" s="20">
        <v>0.31</v>
      </c>
      <c r="M190" s="19">
        <v>2784</v>
      </c>
      <c r="N190" s="19">
        <f>(tbl_raw[[#This Row],[Selling_Price]]-tbl_raw[[#This Row],[Cost_Price]])*tbl_raw[[#This Row],[Units_Sold]]</f>
        <v>6600</v>
      </c>
      <c r="O190" s="20">
        <f>IFERROR((tbl_raw[[#This Row],[Selling_Price]]-tbl_raw[[#This Row],[Cost_Price]]) / tbl_raw[[#This Row],[Selling_Price]],0)</f>
        <v>0.1773049645390071</v>
      </c>
      <c r="P190" s="19">
        <v>57</v>
      </c>
      <c r="Q190" s="19">
        <f>tbl_raw[[#This Row],[Gross_Profit]]-(tbl_raw[[#This Row],[Shipping_Cost]]*tbl_raw[[#This Row],[Units_Sold]])</f>
        <v>5973</v>
      </c>
      <c r="R190" s="20">
        <f>IFERROR(tbl_raw[[#This Row],[Net_Profit]]/(tbl_raw[[#This Row],[Selling_Price]]*tbl_raw[[#This Row],[Units_Sold]]),0)</f>
        <v>0.16046099290780141</v>
      </c>
      <c r="S190" s="18" t="s">
        <v>31</v>
      </c>
      <c r="T190" s="18" t="s">
        <v>32</v>
      </c>
      <c r="U190" s="18">
        <f>IF(tbl_raw[[#This Row],[Order_Status]]="Returned",1,0)</f>
        <v>0</v>
      </c>
      <c r="V190" s="18">
        <f>IF(tbl_raw[[#This Row],[Payment_Method]]="COD",1,0)</f>
        <v>0</v>
      </c>
      <c r="W190" s="21">
        <f>MIN(1,(tbl_raw[[#This Row],[Discount_Pct]]*1.4)+(tbl_raw[[#This Row],[COD_Flag]]*0.35))</f>
        <v>0.434</v>
      </c>
    </row>
    <row r="191" spans="1:23" ht="22.8" x14ac:dyDescent="0.3">
      <c r="A191" s="22" t="s">
        <v>630</v>
      </c>
      <c r="B191" s="23" t="s">
        <v>625</v>
      </c>
      <c r="C191" s="23" t="s">
        <v>156</v>
      </c>
      <c r="D191" s="23" t="s">
        <v>62</v>
      </c>
      <c r="E191" s="23" t="s">
        <v>133</v>
      </c>
      <c r="F191" s="23" t="s">
        <v>631</v>
      </c>
      <c r="G191" s="23" t="s">
        <v>29</v>
      </c>
      <c r="H191" s="23" t="s">
        <v>30</v>
      </c>
      <c r="I191" s="23">
        <v>11</v>
      </c>
      <c r="J191" s="24">
        <v>3133</v>
      </c>
      <c r="K191" s="24">
        <v>1974</v>
      </c>
      <c r="L191" s="25">
        <v>0.37</v>
      </c>
      <c r="M191" s="24">
        <v>1684</v>
      </c>
      <c r="N191" s="24">
        <f>(tbl_raw[[#This Row],[Selling_Price]]-tbl_raw[[#This Row],[Cost_Price]])*tbl_raw[[#This Row],[Units_Sold]]</f>
        <v>3190</v>
      </c>
      <c r="O191" s="25">
        <f>IFERROR((tbl_raw[[#This Row],[Selling_Price]]-tbl_raw[[#This Row],[Cost_Price]]) / tbl_raw[[#This Row],[Selling_Price]],0)</f>
        <v>0.14690982776089159</v>
      </c>
      <c r="P191" s="24">
        <v>47</v>
      </c>
      <c r="Q191" s="24">
        <f>tbl_raw[[#This Row],[Gross_Profit]]-(tbl_raw[[#This Row],[Shipping_Cost]]*tbl_raw[[#This Row],[Units_Sold]])</f>
        <v>2673</v>
      </c>
      <c r="R191" s="25">
        <f>IFERROR(tbl_raw[[#This Row],[Net_Profit]]/(tbl_raw[[#This Row],[Selling_Price]]*tbl_raw[[#This Row],[Units_Sold]]),0)</f>
        <v>0.12310030395136778</v>
      </c>
      <c r="S191" s="23" t="s">
        <v>65</v>
      </c>
      <c r="T191" s="23" t="s">
        <v>49</v>
      </c>
      <c r="U191" s="23">
        <f>IF(tbl_raw[[#This Row],[Order_Status]]="Returned",1,0)</f>
        <v>0</v>
      </c>
      <c r="V191" s="23">
        <f>IF(tbl_raw[[#This Row],[Payment_Method]]="COD",1,0)</f>
        <v>0</v>
      </c>
      <c r="W191" s="26">
        <f>MIN(1,(tbl_raw[[#This Row],[Discount_Pct]]*1.4)+(tbl_raw[[#This Row],[COD_Flag]]*0.35))</f>
        <v>0.51800000000000002</v>
      </c>
    </row>
    <row r="192" spans="1:23" ht="22.8" x14ac:dyDescent="0.3">
      <c r="A192" s="17" t="s">
        <v>632</v>
      </c>
      <c r="B192" s="18" t="s">
        <v>462</v>
      </c>
      <c r="C192" s="18" t="s">
        <v>43</v>
      </c>
      <c r="D192" s="18" t="s">
        <v>26</v>
      </c>
      <c r="E192" s="18" t="s">
        <v>168</v>
      </c>
      <c r="F192" s="18" t="s">
        <v>633</v>
      </c>
      <c r="G192" s="18" t="s">
        <v>29</v>
      </c>
      <c r="H192" s="18" t="s">
        <v>30</v>
      </c>
      <c r="I192" s="18">
        <v>15</v>
      </c>
      <c r="J192" s="19">
        <v>6422</v>
      </c>
      <c r="K192" s="19">
        <v>4046</v>
      </c>
      <c r="L192" s="20">
        <v>0.37</v>
      </c>
      <c r="M192" s="19">
        <v>2724</v>
      </c>
      <c r="N192" s="19">
        <f>(tbl_raw[[#This Row],[Selling_Price]]-tbl_raw[[#This Row],[Cost_Price]])*tbl_raw[[#This Row],[Units_Sold]]</f>
        <v>19830</v>
      </c>
      <c r="O192" s="20">
        <f>IFERROR((tbl_raw[[#This Row],[Selling_Price]]-tbl_raw[[#This Row],[Cost_Price]]) / tbl_raw[[#This Row],[Selling_Price]],0)</f>
        <v>0.32674246169055859</v>
      </c>
      <c r="P192" s="19">
        <v>157</v>
      </c>
      <c r="Q192" s="19">
        <f>tbl_raw[[#This Row],[Gross_Profit]]-(tbl_raw[[#This Row],[Shipping_Cost]]*tbl_raw[[#This Row],[Units_Sold]])</f>
        <v>17475</v>
      </c>
      <c r="R192" s="20">
        <f>IFERROR(tbl_raw[[#This Row],[Net_Profit]]/(tbl_raw[[#This Row],[Selling_Price]]*tbl_raw[[#This Row],[Units_Sold]]),0)</f>
        <v>0.2879387048937222</v>
      </c>
      <c r="S192" s="18" t="s">
        <v>31</v>
      </c>
      <c r="T192" s="18" t="s">
        <v>32</v>
      </c>
      <c r="U192" s="18">
        <f>IF(tbl_raw[[#This Row],[Order_Status]]="Returned",1,0)</f>
        <v>0</v>
      </c>
      <c r="V192" s="18">
        <f>IF(tbl_raw[[#This Row],[Payment_Method]]="COD",1,0)</f>
        <v>0</v>
      </c>
      <c r="W192" s="21">
        <f>MIN(1,(tbl_raw[[#This Row],[Discount_Pct]]*1.4)+(tbl_raw[[#This Row],[COD_Flag]]*0.35))</f>
        <v>0.51800000000000002</v>
      </c>
    </row>
    <row r="193" spans="1:23" ht="22.8" x14ac:dyDescent="0.3">
      <c r="A193" s="22" t="s">
        <v>634</v>
      </c>
      <c r="B193" s="23" t="s">
        <v>98</v>
      </c>
      <c r="C193" s="23" t="s">
        <v>99</v>
      </c>
      <c r="D193" s="23" t="s">
        <v>53</v>
      </c>
      <c r="E193" s="23" t="s">
        <v>145</v>
      </c>
      <c r="F193" s="23" t="s">
        <v>635</v>
      </c>
      <c r="G193" s="23" t="s">
        <v>47</v>
      </c>
      <c r="H193" s="23" t="s">
        <v>48</v>
      </c>
      <c r="I193" s="23">
        <v>13</v>
      </c>
      <c r="J193" s="24">
        <v>777</v>
      </c>
      <c r="K193" s="24">
        <v>427</v>
      </c>
      <c r="L193" s="25">
        <v>0.45</v>
      </c>
      <c r="M193" s="24">
        <v>441</v>
      </c>
      <c r="N193" s="24">
        <f>(tbl_raw[[#This Row],[Selling_Price]]-tbl_raw[[#This Row],[Cost_Price]])*tbl_raw[[#This Row],[Units_Sold]]</f>
        <v>-182</v>
      </c>
      <c r="O193" s="25">
        <f>IFERROR((tbl_raw[[#This Row],[Selling_Price]]-tbl_raw[[#This Row],[Cost_Price]]) / tbl_raw[[#This Row],[Selling_Price]],0)</f>
        <v>-3.2786885245901641E-2</v>
      </c>
      <c r="P193" s="24">
        <v>90</v>
      </c>
      <c r="Q193" s="24">
        <f>tbl_raw[[#This Row],[Gross_Profit]]-(tbl_raw[[#This Row],[Shipping_Cost]]*tbl_raw[[#This Row],[Units_Sold]])</f>
        <v>-1352</v>
      </c>
      <c r="R193" s="25">
        <f>IFERROR(tbl_raw[[#This Row],[Net_Profit]]/(tbl_raw[[#This Row],[Selling_Price]]*tbl_raw[[#This Row],[Units_Sold]]),0)</f>
        <v>-0.24355971896955503</v>
      </c>
      <c r="S193" s="23" t="s">
        <v>65</v>
      </c>
      <c r="T193" s="23" t="s">
        <v>59</v>
      </c>
      <c r="U193" s="23">
        <f>IF(tbl_raw[[#This Row],[Order_Status]]="Returned",1,0)</f>
        <v>0</v>
      </c>
      <c r="V193" s="23">
        <f>IF(tbl_raw[[#This Row],[Payment_Method]]="COD",1,0)</f>
        <v>0</v>
      </c>
      <c r="W193" s="26">
        <f>MIN(1,(tbl_raw[[#This Row],[Discount_Pct]]*1.4)+(tbl_raw[[#This Row],[COD_Flag]]*0.35))</f>
        <v>0.63</v>
      </c>
    </row>
    <row r="194" spans="1:23" ht="22.8" x14ac:dyDescent="0.3">
      <c r="A194" s="17" t="s">
        <v>636</v>
      </c>
      <c r="B194" s="18" t="s">
        <v>637</v>
      </c>
      <c r="C194" s="18" t="s">
        <v>52</v>
      </c>
      <c r="D194" s="18" t="s">
        <v>26</v>
      </c>
      <c r="E194" s="18" t="s">
        <v>27</v>
      </c>
      <c r="F194" s="18" t="s">
        <v>638</v>
      </c>
      <c r="G194" s="18" t="s">
        <v>38</v>
      </c>
      <c r="H194" s="18" t="s">
        <v>39</v>
      </c>
      <c r="I194" s="18">
        <v>20</v>
      </c>
      <c r="J194" s="19">
        <v>5178</v>
      </c>
      <c r="K194" s="19">
        <v>4971</v>
      </c>
      <c r="L194" s="20">
        <v>0.04</v>
      </c>
      <c r="M194" s="19">
        <v>3465</v>
      </c>
      <c r="N194" s="19">
        <f>(tbl_raw[[#This Row],[Selling_Price]]-tbl_raw[[#This Row],[Cost_Price]])*tbl_raw[[#This Row],[Units_Sold]]</f>
        <v>30120</v>
      </c>
      <c r="O194" s="20">
        <f>IFERROR((tbl_raw[[#This Row],[Selling_Price]]-tbl_raw[[#This Row],[Cost_Price]]) / tbl_raw[[#This Row],[Selling_Price]],0)</f>
        <v>0.30295715147857571</v>
      </c>
      <c r="P194" s="19">
        <v>129</v>
      </c>
      <c r="Q194" s="19">
        <f>tbl_raw[[#This Row],[Gross_Profit]]-(tbl_raw[[#This Row],[Shipping_Cost]]*tbl_raw[[#This Row],[Units_Sold]])</f>
        <v>27540</v>
      </c>
      <c r="R194" s="20">
        <f>IFERROR(tbl_raw[[#This Row],[Net_Profit]]/(tbl_raw[[#This Row],[Selling_Price]]*tbl_raw[[#This Row],[Units_Sold]]),0)</f>
        <v>0.27700663850331925</v>
      </c>
      <c r="S194" s="18" t="s">
        <v>107</v>
      </c>
      <c r="T194" s="18" t="s">
        <v>32</v>
      </c>
      <c r="U194" s="18">
        <f>IF(tbl_raw[[#This Row],[Order_Status]]="Returned",1,0)</f>
        <v>0</v>
      </c>
      <c r="V194" s="18">
        <f>IF(tbl_raw[[#This Row],[Payment_Method]]="COD",1,0)</f>
        <v>0</v>
      </c>
      <c r="W194" s="21">
        <f>MIN(1,(tbl_raw[[#This Row],[Discount_Pct]]*1.4)+(tbl_raw[[#This Row],[COD_Flag]]*0.35))</f>
        <v>5.5999999999999994E-2</v>
      </c>
    </row>
    <row r="195" spans="1:23" ht="22.8" x14ac:dyDescent="0.3">
      <c r="A195" s="22" t="s">
        <v>639</v>
      </c>
      <c r="B195" s="23" t="s">
        <v>640</v>
      </c>
      <c r="C195" s="23" t="s">
        <v>199</v>
      </c>
      <c r="D195" s="23" t="s">
        <v>78</v>
      </c>
      <c r="E195" s="23" t="s">
        <v>79</v>
      </c>
      <c r="F195" s="23" t="s">
        <v>641</v>
      </c>
      <c r="G195" s="23" t="s">
        <v>47</v>
      </c>
      <c r="H195" s="23" t="s">
        <v>48</v>
      </c>
      <c r="I195" s="23">
        <v>4</v>
      </c>
      <c r="J195" s="24">
        <v>282</v>
      </c>
      <c r="K195" s="24">
        <v>248</v>
      </c>
      <c r="L195" s="25">
        <v>0.12</v>
      </c>
      <c r="M195" s="24">
        <v>163</v>
      </c>
      <c r="N195" s="24">
        <f>(tbl_raw[[#This Row],[Selling_Price]]-tbl_raw[[#This Row],[Cost_Price]])*tbl_raw[[#This Row],[Units_Sold]]</f>
        <v>340</v>
      </c>
      <c r="O195" s="25">
        <f>IFERROR((tbl_raw[[#This Row],[Selling_Price]]-tbl_raw[[#This Row],[Cost_Price]]) / tbl_raw[[#This Row],[Selling_Price]],0)</f>
        <v>0.34274193548387094</v>
      </c>
      <c r="P195" s="24">
        <v>108</v>
      </c>
      <c r="Q195" s="24">
        <f>tbl_raw[[#This Row],[Gross_Profit]]-(tbl_raw[[#This Row],[Shipping_Cost]]*tbl_raw[[#This Row],[Units_Sold]])</f>
        <v>-92</v>
      </c>
      <c r="R195" s="25">
        <f>IFERROR(tbl_raw[[#This Row],[Net_Profit]]/(tbl_raw[[#This Row],[Selling_Price]]*tbl_raw[[#This Row],[Units_Sold]]),0)</f>
        <v>-9.2741935483870969E-2</v>
      </c>
      <c r="S195" s="23" t="s">
        <v>65</v>
      </c>
      <c r="T195" s="23" t="s">
        <v>32</v>
      </c>
      <c r="U195" s="23">
        <f>IF(tbl_raw[[#This Row],[Order_Status]]="Returned",1,0)</f>
        <v>0</v>
      </c>
      <c r="V195" s="23">
        <f>IF(tbl_raw[[#This Row],[Payment_Method]]="COD",1,0)</f>
        <v>0</v>
      </c>
      <c r="W195" s="26">
        <f>MIN(1,(tbl_raw[[#This Row],[Discount_Pct]]*1.4)+(tbl_raw[[#This Row],[COD_Flag]]*0.35))</f>
        <v>0.16799999999999998</v>
      </c>
    </row>
    <row r="196" spans="1:23" ht="22.8" x14ac:dyDescent="0.3">
      <c r="A196" s="17" t="s">
        <v>642</v>
      </c>
      <c r="B196" s="18" t="s">
        <v>643</v>
      </c>
      <c r="C196" s="18" t="s">
        <v>89</v>
      </c>
      <c r="D196" s="18" t="s">
        <v>62</v>
      </c>
      <c r="E196" s="18" t="s">
        <v>133</v>
      </c>
      <c r="F196" s="18" t="s">
        <v>644</v>
      </c>
      <c r="G196" s="18" t="s">
        <v>38</v>
      </c>
      <c r="H196" s="18" t="s">
        <v>39</v>
      </c>
      <c r="I196" s="18">
        <v>5</v>
      </c>
      <c r="J196" s="19">
        <v>2891</v>
      </c>
      <c r="K196" s="19">
        <v>2862</v>
      </c>
      <c r="L196" s="20">
        <v>0.01</v>
      </c>
      <c r="M196" s="19">
        <v>1262</v>
      </c>
      <c r="N196" s="19">
        <f>(tbl_raw[[#This Row],[Selling_Price]]-tbl_raw[[#This Row],[Cost_Price]])*tbl_raw[[#This Row],[Units_Sold]]</f>
        <v>8000</v>
      </c>
      <c r="O196" s="20">
        <f>IFERROR((tbl_raw[[#This Row],[Selling_Price]]-tbl_raw[[#This Row],[Cost_Price]]) / tbl_raw[[#This Row],[Selling_Price]],0)</f>
        <v>0.55904961565338929</v>
      </c>
      <c r="P196" s="19">
        <v>92</v>
      </c>
      <c r="Q196" s="19">
        <f>tbl_raw[[#This Row],[Gross_Profit]]-(tbl_raw[[#This Row],[Shipping_Cost]]*tbl_raw[[#This Row],[Units_Sold]])</f>
        <v>7540</v>
      </c>
      <c r="R196" s="20">
        <f>IFERROR(tbl_raw[[#This Row],[Net_Profit]]/(tbl_raw[[#This Row],[Selling_Price]]*tbl_raw[[#This Row],[Units_Sold]]),0)</f>
        <v>0.52690426275331936</v>
      </c>
      <c r="S196" s="18" t="s">
        <v>58</v>
      </c>
      <c r="T196" s="18" t="s">
        <v>49</v>
      </c>
      <c r="U196" s="18">
        <f>IF(tbl_raw[[#This Row],[Order_Status]]="Returned",1,0)</f>
        <v>0</v>
      </c>
      <c r="V196" s="18">
        <f>IF(tbl_raw[[#This Row],[Payment_Method]]="COD",1,0)</f>
        <v>0</v>
      </c>
      <c r="W196" s="21">
        <f>MIN(1,(tbl_raw[[#This Row],[Discount_Pct]]*1.4)+(tbl_raw[[#This Row],[COD_Flag]]*0.35))</f>
        <v>1.3999999999999999E-2</v>
      </c>
    </row>
    <row r="197" spans="1:23" ht="22.8" x14ac:dyDescent="0.3">
      <c r="A197" s="22" t="s">
        <v>645</v>
      </c>
      <c r="B197" s="23" t="s">
        <v>646</v>
      </c>
      <c r="C197" s="23" t="s">
        <v>43</v>
      </c>
      <c r="D197" s="23" t="s">
        <v>53</v>
      </c>
      <c r="E197" s="23" t="s">
        <v>160</v>
      </c>
      <c r="F197" s="23" t="s">
        <v>647</v>
      </c>
      <c r="G197" s="23" t="s">
        <v>29</v>
      </c>
      <c r="H197" s="23" t="s">
        <v>30</v>
      </c>
      <c r="I197" s="23">
        <v>17</v>
      </c>
      <c r="J197" s="24">
        <v>3967</v>
      </c>
      <c r="K197" s="24">
        <v>3134</v>
      </c>
      <c r="L197" s="25">
        <v>0.21</v>
      </c>
      <c r="M197" s="24">
        <v>2195</v>
      </c>
      <c r="N197" s="24">
        <f>(tbl_raw[[#This Row],[Selling_Price]]-tbl_raw[[#This Row],[Cost_Price]])*tbl_raw[[#This Row],[Units_Sold]]</f>
        <v>15963</v>
      </c>
      <c r="O197" s="25">
        <f>IFERROR((tbl_raw[[#This Row],[Selling_Price]]-tbl_raw[[#This Row],[Cost_Price]]) / tbl_raw[[#This Row],[Selling_Price]],0)</f>
        <v>0.29961710274409697</v>
      </c>
      <c r="P197" s="24">
        <v>135</v>
      </c>
      <c r="Q197" s="24">
        <f>tbl_raw[[#This Row],[Gross_Profit]]-(tbl_raw[[#This Row],[Shipping_Cost]]*tbl_raw[[#This Row],[Units_Sold]])</f>
        <v>13668</v>
      </c>
      <c r="R197" s="25">
        <f>IFERROR(tbl_raw[[#This Row],[Net_Profit]]/(tbl_raw[[#This Row],[Selling_Price]]*tbl_raw[[#This Row],[Units_Sold]]),0)</f>
        <v>0.25654116145500955</v>
      </c>
      <c r="S197" s="23" t="s">
        <v>107</v>
      </c>
      <c r="T197" s="23" t="s">
        <v>32</v>
      </c>
      <c r="U197" s="23">
        <f>IF(tbl_raw[[#This Row],[Order_Status]]="Returned",1,0)</f>
        <v>0</v>
      </c>
      <c r="V197" s="23">
        <f>IF(tbl_raw[[#This Row],[Payment_Method]]="COD",1,0)</f>
        <v>0</v>
      </c>
      <c r="W197" s="26">
        <f>MIN(1,(tbl_raw[[#This Row],[Discount_Pct]]*1.4)+(tbl_raw[[#This Row],[COD_Flag]]*0.35))</f>
        <v>0.29399999999999998</v>
      </c>
    </row>
    <row r="198" spans="1:23" ht="22.8" x14ac:dyDescent="0.3">
      <c r="A198" s="17" t="s">
        <v>648</v>
      </c>
      <c r="B198" s="18" t="s">
        <v>360</v>
      </c>
      <c r="C198" s="18" t="s">
        <v>156</v>
      </c>
      <c r="D198" s="18" t="s">
        <v>26</v>
      </c>
      <c r="E198" s="18" t="s">
        <v>27</v>
      </c>
      <c r="F198" s="18" t="s">
        <v>649</v>
      </c>
      <c r="G198" s="18" t="s">
        <v>120</v>
      </c>
      <c r="H198" s="18" t="s">
        <v>39</v>
      </c>
      <c r="I198" s="18">
        <v>6</v>
      </c>
      <c r="J198" s="19">
        <v>7453</v>
      </c>
      <c r="K198" s="19">
        <v>4994</v>
      </c>
      <c r="L198" s="20">
        <v>0.33</v>
      </c>
      <c r="M198" s="19">
        <v>4327</v>
      </c>
      <c r="N198" s="19">
        <f>(tbl_raw[[#This Row],[Selling_Price]]-tbl_raw[[#This Row],[Cost_Price]])*tbl_raw[[#This Row],[Units_Sold]]</f>
        <v>4002</v>
      </c>
      <c r="O198" s="20">
        <f>IFERROR((tbl_raw[[#This Row],[Selling_Price]]-tbl_raw[[#This Row],[Cost_Price]]) / tbl_raw[[#This Row],[Selling_Price]],0)</f>
        <v>0.13356027232679216</v>
      </c>
      <c r="P198" s="19">
        <v>113</v>
      </c>
      <c r="Q198" s="19">
        <f>tbl_raw[[#This Row],[Gross_Profit]]-(tbl_raw[[#This Row],[Shipping_Cost]]*tbl_raw[[#This Row],[Units_Sold]])</f>
        <v>3324</v>
      </c>
      <c r="R198" s="20">
        <f>IFERROR(tbl_raw[[#This Row],[Net_Profit]]/(tbl_raw[[#This Row],[Selling_Price]]*tbl_raw[[#This Row],[Units_Sold]]),0)</f>
        <v>0.11093311974369244</v>
      </c>
      <c r="S198" s="18" t="s">
        <v>107</v>
      </c>
      <c r="T198" s="18" t="s">
        <v>49</v>
      </c>
      <c r="U198" s="18">
        <f>IF(tbl_raw[[#This Row],[Order_Status]]="Returned",1,0)</f>
        <v>0</v>
      </c>
      <c r="V198" s="18">
        <f>IF(tbl_raw[[#This Row],[Payment_Method]]="COD",1,0)</f>
        <v>0</v>
      </c>
      <c r="W198" s="21">
        <f>MIN(1,(tbl_raw[[#This Row],[Discount_Pct]]*1.4)+(tbl_raw[[#This Row],[COD_Flag]]*0.35))</f>
        <v>0.46199999999999997</v>
      </c>
    </row>
    <row r="199" spans="1:23" ht="22.8" x14ac:dyDescent="0.3">
      <c r="A199" s="22" t="s">
        <v>650</v>
      </c>
      <c r="B199" s="23" t="s">
        <v>651</v>
      </c>
      <c r="C199" s="23" t="s">
        <v>35</v>
      </c>
      <c r="D199" s="23" t="s">
        <v>78</v>
      </c>
      <c r="E199" s="23" t="s">
        <v>118</v>
      </c>
      <c r="F199" s="23" t="s">
        <v>652</v>
      </c>
      <c r="G199" s="23" t="s">
        <v>47</v>
      </c>
      <c r="H199" s="23" t="s">
        <v>48</v>
      </c>
      <c r="I199" s="23">
        <v>13</v>
      </c>
      <c r="J199" s="24">
        <v>428</v>
      </c>
      <c r="K199" s="24">
        <v>308</v>
      </c>
      <c r="L199" s="25">
        <v>0.28000000000000003</v>
      </c>
      <c r="M199" s="24">
        <v>201</v>
      </c>
      <c r="N199" s="24">
        <f>(tbl_raw[[#This Row],[Selling_Price]]-tbl_raw[[#This Row],[Cost_Price]])*tbl_raw[[#This Row],[Units_Sold]]</f>
        <v>1391</v>
      </c>
      <c r="O199" s="25">
        <f>IFERROR((tbl_raw[[#This Row],[Selling_Price]]-tbl_raw[[#This Row],[Cost_Price]]) / tbl_raw[[#This Row],[Selling_Price]],0)</f>
        <v>0.34740259740259738</v>
      </c>
      <c r="P199" s="24">
        <v>119</v>
      </c>
      <c r="Q199" s="24">
        <f>tbl_raw[[#This Row],[Gross_Profit]]-(tbl_raw[[#This Row],[Shipping_Cost]]*tbl_raw[[#This Row],[Units_Sold]])</f>
        <v>-156</v>
      </c>
      <c r="R199" s="25">
        <f>IFERROR(tbl_raw[[#This Row],[Net_Profit]]/(tbl_raw[[#This Row],[Selling_Price]]*tbl_raw[[#This Row],[Units_Sold]]),0)</f>
        <v>-3.896103896103896E-2</v>
      </c>
      <c r="S199" s="23" t="s">
        <v>31</v>
      </c>
      <c r="T199" s="23" t="s">
        <v>32</v>
      </c>
      <c r="U199" s="23">
        <f>IF(tbl_raw[[#This Row],[Order_Status]]="Returned",1,0)</f>
        <v>0</v>
      </c>
      <c r="V199" s="23">
        <f>IF(tbl_raw[[#This Row],[Payment_Method]]="COD",1,0)</f>
        <v>0</v>
      </c>
      <c r="W199" s="26">
        <f>MIN(1,(tbl_raw[[#This Row],[Discount_Pct]]*1.4)+(tbl_raw[[#This Row],[COD_Flag]]*0.35))</f>
        <v>0.39200000000000002</v>
      </c>
    </row>
    <row r="200" spans="1:23" ht="22.8" x14ac:dyDescent="0.3">
      <c r="A200" s="17" t="s">
        <v>653</v>
      </c>
      <c r="B200" s="18" t="s">
        <v>319</v>
      </c>
      <c r="C200" s="18" t="s">
        <v>99</v>
      </c>
      <c r="D200" s="18" t="s">
        <v>175</v>
      </c>
      <c r="E200" s="18" t="s">
        <v>176</v>
      </c>
      <c r="F200" s="18" t="s">
        <v>654</v>
      </c>
      <c r="G200" s="18" t="s">
        <v>38</v>
      </c>
      <c r="H200" s="18" t="s">
        <v>39</v>
      </c>
      <c r="I200" s="18">
        <v>6</v>
      </c>
      <c r="J200" s="19">
        <v>3053</v>
      </c>
      <c r="K200" s="19">
        <v>2778</v>
      </c>
      <c r="L200" s="20">
        <v>0.09</v>
      </c>
      <c r="M200" s="19">
        <v>1343</v>
      </c>
      <c r="N200" s="19">
        <f>(tbl_raw[[#This Row],[Selling_Price]]-tbl_raw[[#This Row],[Cost_Price]])*tbl_raw[[#This Row],[Units_Sold]]</f>
        <v>8610</v>
      </c>
      <c r="O200" s="20">
        <f>IFERROR((tbl_raw[[#This Row],[Selling_Price]]-tbl_raw[[#This Row],[Cost_Price]]) / tbl_raw[[#This Row],[Selling_Price]],0)</f>
        <v>0.51655867530597555</v>
      </c>
      <c r="P200" s="19">
        <v>131</v>
      </c>
      <c r="Q200" s="19">
        <f>tbl_raw[[#This Row],[Gross_Profit]]-(tbl_raw[[#This Row],[Shipping_Cost]]*tbl_raw[[#This Row],[Units_Sold]])</f>
        <v>7824</v>
      </c>
      <c r="R200" s="20">
        <f>IFERROR(tbl_raw[[#This Row],[Net_Profit]]/(tbl_raw[[#This Row],[Selling_Price]]*tbl_raw[[#This Row],[Units_Sold]]),0)</f>
        <v>0.46940244780417567</v>
      </c>
      <c r="S200" s="18" t="s">
        <v>31</v>
      </c>
      <c r="T200" s="18" t="s">
        <v>32</v>
      </c>
      <c r="U200" s="18">
        <f>IF(tbl_raw[[#This Row],[Order_Status]]="Returned",1,0)</f>
        <v>0</v>
      </c>
      <c r="V200" s="18">
        <f>IF(tbl_raw[[#This Row],[Payment_Method]]="COD",1,0)</f>
        <v>0</v>
      </c>
      <c r="W200" s="21">
        <f>MIN(1,(tbl_raw[[#This Row],[Discount_Pct]]*1.4)+(tbl_raw[[#This Row],[COD_Flag]]*0.35))</f>
        <v>0.126</v>
      </c>
    </row>
    <row r="201" spans="1:23" ht="22.8" x14ac:dyDescent="0.3">
      <c r="A201" s="22" t="s">
        <v>655</v>
      </c>
      <c r="B201" s="23" t="s">
        <v>210</v>
      </c>
      <c r="C201" s="23" t="s">
        <v>199</v>
      </c>
      <c r="D201" s="23" t="s">
        <v>78</v>
      </c>
      <c r="E201" s="23" t="s">
        <v>84</v>
      </c>
      <c r="F201" s="23" t="s">
        <v>656</v>
      </c>
      <c r="G201" s="23" t="s">
        <v>56</v>
      </c>
      <c r="H201" s="23" t="s">
        <v>57</v>
      </c>
      <c r="I201" s="23">
        <v>12</v>
      </c>
      <c r="J201" s="24">
        <v>6795</v>
      </c>
      <c r="K201" s="24">
        <v>4892</v>
      </c>
      <c r="L201" s="25">
        <v>0.28000000000000003</v>
      </c>
      <c r="M201" s="24">
        <v>4653</v>
      </c>
      <c r="N201" s="24">
        <f>(tbl_raw[[#This Row],[Selling_Price]]-tbl_raw[[#This Row],[Cost_Price]])*tbl_raw[[#This Row],[Units_Sold]]</f>
        <v>2868</v>
      </c>
      <c r="O201" s="25">
        <f>IFERROR((tbl_raw[[#This Row],[Selling_Price]]-tbl_raw[[#This Row],[Cost_Price]]) / tbl_raw[[#This Row],[Selling_Price]],0)</f>
        <v>4.8855273916598531E-2</v>
      </c>
      <c r="P201" s="24">
        <v>136</v>
      </c>
      <c r="Q201" s="24">
        <f>tbl_raw[[#This Row],[Gross_Profit]]-(tbl_raw[[#This Row],[Shipping_Cost]]*tbl_raw[[#This Row],[Units_Sold]])</f>
        <v>1236</v>
      </c>
      <c r="R201" s="25">
        <f>IFERROR(tbl_raw[[#This Row],[Net_Profit]]/(tbl_raw[[#This Row],[Selling_Price]]*tbl_raw[[#This Row],[Units_Sold]]),0)</f>
        <v>2.1054783319705641E-2</v>
      </c>
      <c r="S201" s="23" t="s">
        <v>107</v>
      </c>
      <c r="T201" s="23" t="s">
        <v>32</v>
      </c>
      <c r="U201" s="23">
        <f>IF(tbl_raw[[#This Row],[Order_Status]]="Returned",1,0)</f>
        <v>0</v>
      </c>
      <c r="V201" s="23">
        <f>IF(tbl_raw[[#This Row],[Payment_Method]]="COD",1,0)</f>
        <v>0</v>
      </c>
      <c r="W201" s="26">
        <f>MIN(1,(tbl_raw[[#This Row],[Discount_Pct]]*1.4)+(tbl_raw[[#This Row],[COD_Flag]]*0.35))</f>
        <v>0.39200000000000002</v>
      </c>
    </row>
    <row r="202" spans="1:23" ht="22.8" x14ac:dyDescent="0.3">
      <c r="A202" s="17" t="s">
        <v>657</v>
      </c>
      <c r="B202" s="18" t="s">
        <v>658</v>
      </c>
      <c r="C202" s="18" t="s">
        <v>25</v>
      </c>
      <c r="D202" s="18" t="s">
        <v>44</v>
      </c>
      <c r="E202" s="18" t="s">
        <v>45</v>
      </c>
      <c r="F202" s="18" t="s">
        <v>659</v>
      </c>
      <c r="G202" s="18" t="s">
        <v>143</v>
      </c>
      <c r="H202" s="18" t="s">
        <v>30</v>
      </c>
      <c r="I202" s="18">
        <v>4</v>
      </c>
      <c r="J202" s="19">
        <v>1628</v>
      </c>
      <c r="K202" s="19">
        <v>1123</v>
      </c>
      <c r="L202" s="20">
        <v>0.31</v>
      </c>
      <c r="M202" s="19">
        <v>942</v>
      </c>
      <c r="N202" s="19">
        <f>(tbl_raw[[#This Row],[Selling_Price]]-tbl_raw[[#This Row],[Cost_Price]])*tbl_raw[[#This Row],[Units_Sold]]</f>
        <v>724</v>
      </c>
      <c r="O202" s="20">
        <f>IFERROR((tbl_raw[[#This Row],[Selling_Price]]-tbl_raw[[#This Row],[Cost_Price]]) / tbl_raw[[#This Row],[Selling_Price]],0)</f>
        <v>0.16117542297417631</v>
      </c>
      <c r="P202" s="19">
        <v>93</v>
      </c>
      <c r="Q202" s="19">
        <f>tbl_raw[[#This Row],[Gross_Profit]]-(tbl_raw[[#This Row],[Shipping_Cost]]*tbl_raw[[#This Row],[Units_Sold]])</f>
        <v>352</v>
      </c>
      <c r="R202" s="20">
        <f>IFERROR(tbl_raw[[#This Row],[Net_Profit]]/(tbl_raw[[#This Row],[Selling_Price]]*tbl_raw[[#This Row],[Units_Sold]]),0)</f>
        <v>7.8361531611754229E-2</v>
      </c>
      <c r="S202" s="18" t="s">
        <v>40</v>
      </c>
      <c r="T202" s="18" t="s">
        <v>32</v>
      </c>
      <c r="U202" s="18">
        <f>IF(tbl_raw[[#This Row],[Order_Status]]="Returned",1,0)</f>
        <v>0</v>
      </c>
      <c r="V202" s="18">
        <f>IF(tbl_raw[[#This Row],[Payment_Method]]="COD",1,0)</f>
        <v>1</v>
      </c>
      <c r="W202" s="21">
        <f>MIN(1,(tbl_raw[[#This Row],[Discount_Pct]]*1.4)+(tbl_raw[[#This Row],[COD_Flag]]*0.35))</f>
        <v>0.78400000000000003</v>
      </c>
    </row>
    <row r="203" spans="1:23" ht="22.8" x14ac:dyDescent="0.3">
      <c r="A203" s="22" t="s">
        <v>660</v>
      </c>
      <c r="B203" s="23" t="s">
        <v>661</v>
      </c>
      <c r="C203" s="23" t="s">
        <v>117</v>
      </c>
      <c r="D203" s="23" t="s">
        <v>164</v>
      </c>
      <c r="E203" s="23" t="s">
        <v>345</v>
      </c>
      <c r="F203" s="23" t="s">
        <v>662</v>
      </c>
      <c r="G203" s="23" t="s">
        <v>75</v>
      </c>
      <c r="H203" s="23" t="s">
        <v>48</v>
      </c>
      <c r="I203" s="23">
        <v>10</v>
      </c>
      <c r="J203" s="24">
        <v>1294</v>
      </c>
      <c r="K203" s="24">
        <v>1113</v>
      </c>
      <c r="L203" s="25">
        <v>0.14000000000000001</v>
      </c>
      <c r="M203" s="24">
        <v>722</v>
      </c>
      <c r="N203" s="24">
        <f>(tbl_raw[[#This Row],[Selling_Price]]-tbl_raw[[#This Row],[Cost_Price]])*tbl_raw[[#This Row],[Units_Sold]]</f>
        <v>3910</v>
      </c>
      <c r="O203" s="25">
        <f>IFERROR((tbl_raw[[#This Row],[Selling_Price]]-tbl_raw[[#This Row],[Cost_Price]]) / tbl_raw[[#This Row],[Selling_Price]],0)</f>
        <v>0.35130278526504943</v>
      </c>
      <c r="P203" s="24">
        <v>38</v>
      </c>
      <c r="Q203" s="24">
        <f>tbl_raw[[#This Row],[Gross_Profit]]-(tbl_raw[[#This Row],[Shipping_Cost]]*tbl_raw[[#This Row],[Units_Sold]])</f>
        <v>3530</v>
      </c>
      <c r="R203" s="25">
        <f>IFERROR(tbl_raw[[#This Row],[Net_Profit]]/(tbl_raw[[#This Row],[Selling_Price]]*tbl_raw[[#This Row],[Units_Sold]]),0)</f>
        <v>0.31716082659478884</v>
      </c>
      <c r="S203" s="23" t="s">
        <v>107</v>
      </c>
      <c r="T203" s="23" t="s">
        <v>32</v>
      </c>
      <c r="U203" s="23">
        <f>IF(tbl_raw[[#This Row],[Order_Status]]="Returned",1,0)</f>
        <v>0</v>
      </c>
      <c r="V203" s="23">
        <f>IF(tbl_raw[[#This Row],[Payment_Method]]="COD",1,0)</f>
        <v>0</v>
      </c>
      <c r="W203" s="26">
        <f>MIN(1,(tbl_raw[[#This Row],[Discount_Pct]]*1.4)+(tbl_raw[[#This Row],[COD_Flag]]*0.35))</f>
        <v>0.19600000000000001</v>
      </c>
    </row>
    <row r="204" spans="1:23" ht="22.8" x14ac:dyDescent="0.3">
      <c r="A204" s="17" t="s">
        <v>663</v>
      </c>
      <c r="B204" s="18" t="s">
        <v>664</v>
      </c>
      <c r="C204" s="18" t="s">
        <v>35</v>
      </c>
      <c r="D204" s="18" t="s">
        <v>78</v>
      </c>
      <c r="E204" s="18" t="s">
        <v>84</v>
      </c>
      <c r="F204" s="18" t="s">
        <v>665</v>
      </c>
      <c r="G204" s="18" t="s">
        <v>75</v>
      </c>
      <c r="H204" s="18" t="s">
        <v>48</v>
      </c>
      <c r="I204" s="18">
        <v>14</v>
      </c>
      <c r="J204" s="19">
        <v>5541</v>
      </c>
      <c r="K204" s="19">
        <v>4488</v>
      </c>
      <c r="L204" s="20">
        <v>0.19</v>
      </c>
      <c r="M204" s="19">
        <v>3845</v>
      </c>
      <c r="N204" s="19">
        <f>(tbl_raw[[#This Row],[Selling_Price]]-tbl_raw[[#This Row],[Cost_Price]])*tbl_raw[[#This Row],[Units_Sold]]</f>
        <v>9002</v>
      </c>
      <c r="O204" s="20">
        <f>IFERROR((tbl_raw[[#This Row],[Selling_Price]]-tbl_raw[[#This Row],[Cost_Price]]) / tbl_raw[[#This Row],[Selling_Price]],0)</f>
        <v>0.14327094474153299</v>
      </c>
      <c r="P204" s="19">
        <v>103</v>
      </c>
      <c r="Q204" s="19">
        <f>tbl_raw[[#This Row],[Gross_Profit]]-(tbl_raw[[#This Row],[Shipping_Cost]]*tbl_raw[[#This Row],[Units_Sold]])</f>
        <v>7560</v>
      </c>
      <c r="R204" s="20">
        <f>IFERROR(tbl_raw[[#This Row],[Net_Profit]]/(tbl_raw[[#This Row],[Selling_Price]]*tbl_raw[[#This Row],[Units_Sold]]),0)</f>
        <v>0.12032085561497326</v>
      </c>
      <c r="S204" s="18" t="s">
        <v>58</v>
      </c>
      <c r="T204" s="18" t="s">
        <v>86</v>
      </c>
      <c r="U204" s="18">
        <f>IF(tbl_raw[[#This Row],[Order_Status]]="Returned",1,0)</f>
        <v>1</v>
      </c>
      <c r="V204" s="18">
        <f>IF(tbl_raw[[#This Row],[Payment_Method]]="COD",1,0)</f>
        <v>0</v>
      </c>
      <c r="W204" s="21">
        <f>MIN(1,(tbl_raw[[#This Row],[Discount_Pct]]*1.4)+(tbl_raw[[#This Row],[COD_Flag]]*0.35))</f>
        <v>0.26599999999999996</v>
      </c>
    </row>
    <row r="205" spans="1:23" ht="22.8" x14ac:dyDescent="0.3">
      <c r="A205" s="22" t="s">
        <v>666</v>
      </c>
      <c r="B205" s="23" t="s">
        <v>667</v>
      </c>
      <c r="C205" s="23" t="s">
        <v>35</v>
      </c>
      <c r="D205" s="23" t="s">
        <v>26</v>
      </c>
      <c r="E205" s="23" t="s">
        <v>27</v>
      </c>
      <c r="F205" s="23" t="s">
        <v>668</v>
      </c>
      <c r="G205" s="23" t="s">
        <v>38</v>
      </c>
      <c r="H205" s="23" t="s">
        <v>39</v>
      </c>
      <c r="I205" s="23">
        <v>10</v>
      </c>
      <c r="J205" s="24">
        <v>1512</v>
      </c>
      <c r="K205" s="24">
        <v>1194</v>
      </c>
      <c r="L205" s="25">
        <v>0.21</v>
      </c>
      <c r="M205" s="24">
        <v>998</v>
      </c>
      <c r="N205" s="24">
        <f>(tbl_raw[[#This Row],[Selling_Price]]-tbl_raw[[#This Row],[Cost_Price]])*tbl_raw[[#This Row],[Units_Sold]]</f>
        <v>1960</v>
      </c>
      <c r="O205" s="25">
        <f>IFERROR((tbl_raw[[#This Row],[Selling_Price]]-tbl_raw[[#This Row],[Cost_Price]]) / tbl_raw[[#This Row],[Selling_Price]],0)</f>
        <v>0.16415410385259632</v>
      </c>
      <c r="P205" s="24">
        <v>145</v>
      </c>
      <c r="Q205" s="24">
        <f>tbl_raw[[#This Row],[Gross_Profit]]-(tbl_raw[[#This Row],[Shipping_Cost]]*tbl_raw[[#This Row],[Units_Sold]])</f>
        <v>510</v>
      </c>
      <c r="R205" s="25">
        <f>IFERROR(tbl_raw[[#This Row],[Net_Profit]]/(tbl_raw[[#This Row],[Selling_Price]]*tbl_raw[[#This Row],[Units_Sold]]),0)</f>
        <v>4.2713567839195977E-2</v>
      </c>
      <c r="S205" s="23" t="s">
        <v>65</v>
      </c>
      <c r="T205" s="23" t="s">
        <v>32</v>
      </c>
      <c r="U205" s="23">
        <f>IF(tbl_raw[[#This Row],[Order_Status]]="Returned",1,0)</f>
        <v>0</v>
      </c>
      <c r="V205" s="23">
        <f>IF(tbl_raw[[#This Row],[Payment_Method]]="COD",1,0)</f>
        <v>0</v>
      </c>
      <c r="W205" s="26">
        <f>MIN(1,(tbl_raw[[#This Row],[Discount_Pct]]*1.4)+(tbl_raw[[#This Row],[COD_Flag]]*0.35))</f>
        <v>0.29399999999999998</v>
      </c>
    </row>
    <row r="206" spans="1:23" ht="22.8" x14ac:dyDescent="0.3">
      <c r="A206" s="17" t="s">
        <v>669</v>
      </c>
      <c r="B206" s="18" t="s">
        <v>319</v>
      </c>
      <c r="C206" s="18" t="s">
        <v>99</v>
      </c>
      <c r="D206" s="18" t="s">
        <v>44</v>
      </c>
      <c r="E206" s="18" t="s">
        <v>338</v>
      </c>
      <c r="F206" s="18" t="s">
        <v>670</v>
      </c>
      <c r="G206" s="18" t="s">
        <v>139</v>
      </c>
      <c r="H206" s="18" t="s">
        <v>48</v>
      </c>
      <c r="I206" s="18">
        <v>15</v>
      </c>
      <c r="J206" s="19">
        <v>4462</v>
      </c>
      <c r="K206" s="19">
        <v>2454</v>
      </c>
      <c r="L206" s="20">
        <v>0.45</v>
      </c>
      <c r="M206" s="19">
        <v>1945</v>
      </c>
      <c r="N206" s="19">
        <f>(tbl_raw[[#This Row],[Selling_Price]]-tbl_raw[[#This Row],[Cost_Price]])*tbl_raw[[#This Row],[Units_Sold]]</f>
        <v>7635</v>
      </c>
      <c r="O206" s="20">
        <f>IFERROR((tbl_raw[[#This Row],[Selling_Price]]-tbl_raw[[#This Row],[Cost_Price]]) / tbl_raw[[#This Row],[Selling_Price]],0)</f>
        <v>0.20741646291768542</v>
      </c>
      <c r="P206" s="19">
        <v>155</v>
      </c>
      <c r="Q206" s="19">
        <f>tbl_raw[[#This Row],[Gross_Profit]]-(tbl_raw[[#This Row],[Shipping_Cost]]*tbl_raw[[#This Row],[Units_Sold]])</f>
        <v>5310</v>
      </c>
      <c r="R206" s="20">
        <f>IFERROR(tbl_raw[[#This Row],[Net_Profit]]/(tbl_raw[[#This Row],[Selling_Price]]*tbl_raw[[#This Row],[Units_Sold]]),0)</f>
        <v>0.14425427872860636</v>
      </c>
      <c r="S206" s="18" t="s">
        <v>40</v>
      </c>
      <c r="T206" s="18" t="s">
        <v>49</v>
      </c>
      <c r="U206" s="18">
        <f>IF(tbl_raw[[#This Row],[Order_Status]]="Returned",1,0)</f>
        <v>0</v>
      </c>
      <c r="V206" s="18">
        <f>IF(tbl_raw[[#This Row],[Payment_Method]]="COD",1,0)</f>
        <v>1</v>
      </c>
      <c r="W206" s="21">
        <f>MIN(1,(tbl_raw[[#This Row],[Discount_Pct]]*1.4)+(tbl_raw[[#This Row],[COD_Flag]]*0.35))</f>
        <v>0.98</v>
      </c>
    </row>
    <row r="207" spans="1:23" ht="22.8" x14ac:dyDescent="0.3">
      <c r="A207" s="22" t="s">
        <v>671</v>
      </c>
      <c r="B207" s="23" t="s">
        <v>672</v>
      </c>
      <c r="C207" s="23" t="s">
        <v>117</v>
      </c>
      <c r="D207" s="23" t="s">
        <v>44</v>
      </c>
      <c r="E207" s="23" t="s">
        <v>45</v>
      </c>
      <c r="F207" s="23" t="s">
        <v>673</v>
      </c>
      <c r="G207" s="23" t="s">
        <v>120</v>
      </c>
      <c r="H207" s="23" t="s">
        <v>39</v>
      </c>
      <c r="I207" s="23">
        <v>8</v>
      </c>
      <c r="J207" s="24">
        <v>1837</v>
      </c>
      <c r="K207" s="24">
        <v>1231</v>
      </c>
      <c r="L207" s="25">
        <v>0.33</v>
      </c>
      <c r="M207" s="24">
        <v>1178</v>
      </c>
      <c r="N207" s="24">
        <f>(tbl_raw[[#This Row],[Selling_Price]]-tbl_raw[[#This Row],[Cost_Price]])*tbl_raw[[#This Row],[Units_Sold]]</f>
        <v>424</v>
      </c>
      <c r="O207" s="25">
        <f>IFERROR((tbl_raw[[#This Row],[Selling_Price]]-tbl_raw[[#This Row],[Cost_Price]]) / tbl_raw[[#This Row],[Selling_Price]],0)</f>
        <v>4.3054427294882208E-2</v>
      </c>
      <c r="P207" s="24">
        <v>159</v>
      </c>
      <c r="Q207" s="24">
        <f>tbl_raw[[#This Row],[Gross_Profit]]-(tbl_raw[[#This Row],[Shipping_Cost]]*tbl_raw[[#This Row],[Units_Sold]])</f>
        <v>-848</v>
      </c>
      <c r="R207" s="25">
        <f>IFERROR(tbl_raw[[#This Row],[Net_Profit]]/(tbl_raw[[#This Row],[Selling_Price]]*tbl_raw[[#This Row],[Units_Sold]]),0)</f>
        <v>-8.6108854589764416E-2</v>
      </c>
      <c r="S207" s="23" t="s">
        <v>65</v>
      </c>
      <c r="T207" s="23" t="s">
        <v>32</v>
      </c>
      <c r="U207" s="23">
        <f>IF(tbl_raw[[#This Row],[Order_Status]]="Returned",1,0)</f>
        <v>0</v>
      </c>
      <c r="V207" s="23">
        <f>IF(tbl_raw[[#This Row],[Payment_Method]]="COD",1,0)</f>
        <v>0</v>
      </c>
      <c r="W207" s="26">
        <f>MIN(1,(tbl_raw[[#This Row],[Discount_Pct]]*1.4)+(tbl_raw[[#This Row],[COD_Flag]]*0.35))</f>
        <v>0.46199999999999997</v>
      </c>
    </row>
    <row r="208" spans="1:23" ht="22.8" x14ac:dyDescent="0.3">
      <c r="A208" s="17" t="s">
        <v>674</v>
      </c>
      <c r="B208" s="18" t="s">
        <v>675</v>
      </c>
      <c r="C208" s="18" t="s">
        <v>43</v>
      </c>
      <c r="D208" s="18" t="s">
        <v>94</v>
      </c>
      <c r="E208" s="18" t="s">
        <v>95</v>
      </c>
      <c r="F208" s="18" t="s">
        <v>676</v>
      </c>
      <c r="G208" s="18" t="s">
        <v>139</v>
      </c>
      <c r="H208" s="18" t="s">
        <v>48</v>
      </c>
      <c r="I208" s="18">
        <v>19</v>
      </c>
      <c r="J208" s="19">
        <v>2936</v>
      </c>
      <c r="K208" s="19">
        <v>2554</v>
      </c>
      <c r="L208" s="20">
        <v>0.13</v>
      </c>
      <c r="M208" s="19">
        <v>1728</v>
      </c>
      <c r="N208" s="19">
        <f>(tbl_raw[[#This Row],[Selling_Price]]-tbl_raw[[#This Row],[Cost_Price]])*tbl_raw[[#This Row],[Units_Sold]]</f>
        <v>15694</v>
      </c>
      <c r="O208" s="20">
        <f>IFERROR((tbl_raw[[#This Row],[Selling_Price]]-tbl_raw[[#This Row],[Cost_Price]]) / tbl_raw[[#This Row],[Selling_Price]],0)</f>
        <v>0.32341425215348474</v>
      </c>
      <c r="P208" s="19">
        <v>79</v>
      </c>
      <c r="Q208" s="19">
        <f>tbl_raw[[#This Row],[Gross_Profit]]-(tbl_raw[[#This Row],[Shipping_Cost]]*tbl_raw[[#This Row],[Units_Sold]])</f>
        <v>14193</v>
      </c>
      <c r="R208" s="20">
        <f>IFERROR(tbl_raw[[#This Row],[Net_Profit]]/(tbl_raw[[#This Row],[Selling_Price]]*tbl_raw[[#This Row],[Units_Sold]]),0)</f>
        <v>0.29248238057948317</v>
      </c>
      <c r="S208" s="18" t="s">
        <v>107</v>
      </c>
      <c r="T208" s="18" t="s">
        <v>32</v>
      </c>
      <c r="U208" s="18">
        <f>IF(tbl_raw[[#This Row],[Order_Status]]="Returned",1,0)</f>
        <v>0</v>
      </c>
      <c r="V208" s="18">
        <f>IF(tbl_raw[[#This Row],[Payment_Method]]="COD",1,0)</f>
        <v>0</v>
      </c>
      <c r="W208" s="21">
        <f>MIN(1,(tbl_raw[[#This Row],[Discount_Pct]]*1.4)+(tbl_raw[[#This Row],[COD_Flag]]*0.35))</f>
        <v>0.182</v>
      </c>
    </row>
    <row r="209" spans="1:23" ht="22.8" x14ac:dyDescent="0.3">
      <c r="A209" s="22" t="s">
        <v>677</v>
      </c>
      <c r="B209" s="23" t="s">
        <v>678</v>
      </c>
      <c r="C209" s="23" t="s">
        <v>105</v>
      </c>
      <c r="D209" s="23" t="s">
        <v>175</v>
      </c>
      <c r="E209" s="23" t="s">
        <v>225</v>
      </c>
      <c r="F209" s="23" t="s">
        <v>679</v>
      </c>
      <c r="G209" s="23" t="s">
        <v>47</v>
      </c>
      <c r="H209" s="23" t="s">
        <v>48</v>
      </c>
      <c r="I209" s="23">
        <v>2</v>
      </c>
      <c r="J209" s="24">
        <v>7941</v>
      </c>
      <c r="K209" s="24">
        <v>4844</v>
      </c>
      <c r="L209" s="25">
        <v>0.39</v>
      </c>
      <c r="M209" s="24">
        <v>3529</v>
      </c>
      <c r="N209" s="24">
        <f>(tbl_raw[[#This Row],[Selling_Price]]-tbl_raw[[#This Row],[Cost_Price]])*tbl_raw[[#This Row],[Units_Sold]]</f>
        <v>2630</v>
      </c>
      <c r="O209" s="25">
        <f>IFERROR((tbl_raw[[#This Row],[Selling_Price]]-tbl_raw[[#This Row],[Cost_Price]]) / tbl_raw[[#This Row],[Selling_Price]],0)</f>
        <v>0.27146985962014863</v>
      </c>
      <c r="P209" s="24">
        <v>160</v>
      </c>
      <c r="Q209" s="24">
        <f>tbl_raw[[#This Row],[Gross_Profit]]-(tbl_raw[[#This Row],[Shipping_Cost]]*tbl_raw[[#This Row],[Units_Sold]])</f>
        <v>2310</v>
      </c>
      <c r="R209" s="25">
        <f>IFERROR(tbl_raw[[#This Row],[Net_Profit]]/(tbl_raw[[#This Row],[Selling_Price]]*tbl_raw[[#This Row],[Units_Sold]]),0)</f>
        <v>0.23843930635838151</v>
      </c>
      <c r="S209" s="23" t="s">
        <v>40</v>
      </c>
      <c r="T209" s="23" t="s">
        <v>32</v>
      </c>
      <c r="U209" s="23">
        <f>IF(tbl_raw[[#This Row],[Order_Status]]="Returned",1,0)</f>
        <v>0</v>
      </c>
      <c r="V209" s="23">
        <f>IF(tbl_raw[[#This Row],[Payment_Method]]="COD",1,0)</f>
        <v>1</v>
      </c>
      <c r="W209" s="26">
        <f>MIN(1,(tbl_raw[[#This Row],[Discount_Pct]]*1.4)+(tbl_raw[[#This Row],[COD_Flag]]*0.35))</f>
        <v>0.89599999999999991</v>
      </c>
    </row>
    <row r="210" spans="1:23" ht="22.8" x14ac:dyDescent="0.3">
      <c r="A210" s="17" t="s">
        <v>680</v>
      </c>
      <c r="B210" s="18" t="s">
        <v>681</v>
      </c>
      <c r="C210" s="18" t="s">
        <v>35</v>
      </c>
      <c r="D210" s="18" t="s">
        <v>78</v>
      </c>
      <c r="E210" s="18" t="s">
        <v>534</v>
      </c>
      <c r="F210" s="18" t="s">
        <v>682</v>
      </c>
      <c r="G210" s="18" t="s">
        <v>102</v>
      </c>
      <c r="H210" s="18" t="s">
        <v>39</v>
      </c>
      <c r="I210" s="18">
        <v>9</v>
      </c>
      <c r="J210" s="19">
        <v>5097</v>
      </c>
      <c r="K210" s="19">
        <v>4231</v>
      </c>
      <c r="L210" s="20">
        <v>0.17</v>
      </c>
      <c r="M210" s="19">
        <v>2174</v>
      </c>
      <c r="N210" s="19">
        <f>(tbl_raw[[#This Row],[Selling_Price]]-tbl_raw[[#This Row],[Cost_Price]])*tbl_raw[[#This Row],[Units_Sold]]</f>
        <v>18513</v>
      </c>
      <c r="O210" s="20">
        <f>IFERROR((tbl_raw[[#This Row],[Selling_Price]]-tbl_raw[[#This Row],[Cost_Price]]) / tbl_raw[[#This Row],[Selling_Price]],0)</f>
        <v>0.48617348144646655</v>
      </c>
      <c r="P210" s="19">
        <v>149</v>
      </c>
      <c r="Q210" s="19">
        <f>tbl_raw[[#This Row],[Gross_Profit]]-(tbl_raw[[#This Row],[Shipping_Cost]]*tbl_raw[[#This Row],[Units_Sold]])</f>
        <v>17172</v>
      </c>
      <c r="R210" s="20">
        <f>IFERROR(tbl_raw[[#This Row],[Net_Profit]]/(tbl_raw[[#This Row],[Selling_Price]]*tbl_raw[[#This Row],[Units_Sold]]),0)</f>
        <v>0.45095722051524462</v>
      </c>
      <c r="S210" s="18" t="s">
        <v>58</v>
      </c>
      <c r="T210" s="18" t="s">
        <v>32</v>
      </c>
      <c r="U210" s="18">
        <f>IF(tbl_raw[[#This Row],[Order_Status]]="Returned",1,0)</f>
        <v>0</v>
      </c>
      <c r="V210" s="18">
        <f>IF(tbl_raw[[#This Row],[Payment_Method]]="COD",1,0)</f>
        <v>0</v>
      </c>
      <c r="W210" s="21">
        <f>MIN(1,(tbl_raw[[#This Row],[Discount_Pct]]*1.4)+(tbl_raw[[#This Row],[COD_Flag]]*0.35))</f>
        <v>0.23799999999999999</v>
      </c>
    </row>
    <row r="211" spans="1:23" ht="22.8" x14ac:dyDescent="0.3">
      <c r="A211" s="22" t="s">
        <v>683</v>
      </c>
      <c r="B211" s="23" t="s">
        <v>363</v>
      </c>
      <c r="C211" s="23" t="s">
        <v>156</v>
      </c>
      <c r="D211" s="23" t="s">
        <v>62</v>
      </c>
      <c r="E211" s="23" t="s">
        <v>68</v>
      </c>
      <c r="F211" s="23" t="s">
        <v>684</v>
      </c>
      <c r="G211" s="23" t="s">
        <v>102</v>
      </c>
      <c r="H211" s="23" t="s">
        <v>39</v>
      </c>
      <c r="I211" s="23">
        <v>1</v>
      </c>
      <c r="J211" s="24">
        <v>6977</v>
      </c>
      <c r="K211" s="24">
        <v>4326</v>
      </c>
      <c r="L211" s="25">
        <v>0.38</v>
      </c>
      <c r="M211" s="24">
        <v>3018</v>
      </c>
      <c r="N211" s="24">
        <f>(tbl_raw[[#This Row],[Selling_Price]]-tbl_raw[[#This Row],[Cost_Price]])*tbl_raw[[#This Row],[Units_Sold]]</f>
        <v>1308</v>
      </c>
      <c r="O211" s="25">
        <f>IFERROR((tbl_raw[[#This Row],[Selling_Price]]-tbl_raw[[#This Row],[Cost_Price]]) / tbl_raw[[#This Row],[Selling_Price]],0)</f>
        <v>0.30235783633841884</v>
      </c>
      <c r="P211" s="24">
        <v>176</v>
      </c>
      <c r="Q211" s="24">
        <f>tbl_raw[[#This Row],[Gross_Profit]]-(tbl_raw[[#This Row],[Shipping_Cost]]*tbl_raw[[#This Row],[Units_Sold]])</f>
        <v>1132</v>
      </c>
      <c r="R211" s="25">
        <f>IFERROR(tbl_raw[[#This Row],[Net_Profit]]/(tbl_raw[[#This Row],[Selling_Price]]*tbl_raw[[#This Row],[Units_Sold]]),0)</f>
        <v>0.2616736014794267</v>
      </c>
      <c r="S211" s="23" t="s">
        <v>107</v>
      </c>
      <c r="T211" s="23" t="s">
        <v>86</v>
      </c>
      <c r="U211" s="23">
        <f>IF(tbl_raw[[#This Row],[Order_Status]]="Returned",1,0)</f>
        <v>1</v>
      </c>
      <c r="V211" s="23">
        <f>IF(tbl_raw[[#This Row],[Payment_Method]]="COD",1,0)</f>
        <v>0</v>
      </c>
      <c r="W211" s="26">
        <f>MIN(1,(tbl_raw[[#This Row],[Discount_Pct]]*1.4)+(tbl_raw[[#This Row],[COD_Flag]]*0.35))</f>
        <v>0.53199999999999992</v>
      </c>
    </row>
    <row r="212" spans="1:23" ht="22.8" x14ac:dyDescent="0.3">
      <c r="A212" s="17" t="s">
        <v>685</v>
      </c>
      <c r="B212" s="18" t="s">
        <v>686</v>
      </c>
      <c r="C212" s="18" t="s">
        <v>52</v>
      </c>
      <c r="D212" s="18" t="s">
        <v>78</v>
      </c>
      <c r="E212" s="18" t="s">
        <v>118</v>
      </c>
      <c r="F212" s="18" t="s">
        <v>687</v>
      </c>
      <c r="G212" s="18" t="s">
        <v>143</v>
      </c>
      <c r="H212" s="18" t="s">
        <v>30</v>
      </c>
      <c r="I212" s="18">
        <v>11</v>
      </c>
      <c r="J212" s="19">
        <v>6661</v>
      </c>
      <c r="K212" s="19">
        <v>5662</v>
      </c>
      <c r="L212" s="20">
        <v>0.15</v>
      </c>
      <c r="M212" s="19">
        <v>4012</v>
      </c>
      <c r="N212" s="19">
        <f>(tbl_raw[[#This Row],[Selling_Price]]-tbl_raw[[#This Row],[Cost_Price]])*tbl_raw[[#This Row],[Units_Sold]]</f>
        <v>18150</v>
      </c>
      <c r="O212" s="20">
        <f>IFERROR((tbl_raw[[#This Row],[Selling_Price]]-tbl_raw[[#This Row],[Cost_Price]]) / tbl_raw[[#This Row],[Selling_Price]],0)</f>
        <v>0.29141646061462378</v>
      </c>
      <c r="P212" s="19">
        <v>115</v>
      </c>
      <c r="Q212" s="19">
        <f>tbl_raw[[#This Row],[Gross_Profit]]-(tbl_raw[[#This Row],[Shipping_Cost]]*tbl_raw[[#This Row],[Units_Sold]])</f>
        <v>16885</v>
      </c>
      <c r="R212" s="20">
        <f>IFERROR(tbl_raw[[#This Row],[Net_Profit]]/(tbl_raw[[#This Row],[Selling_Price]]*tbl_raw[[#This Row],[Units_Sold]]),0)</f>
        <v>0.27110561638996822</v>
      </c>
      <c r="S212" s="18" t="s">
        <v>31</v>
      </c>
      <c r="T212" s="18" t="s">
        <v>49</v>
      </c>
      <c r="U212" s="18">
        <f>IF(tbl_raw[[#This Row],[Order_Status]]="Returned",1,0)</f>
        <v>0</v>
      </c>
      <c r="V212" s="18">
        <f>IF(tbl_raw[[#This Row],[Payment_Method]]="COD",1,0)</f>
        <v>0</v>
      </c>
      <c r="W212" s="21">
        <f>MIN(1,(tbl_raw[[#This Row],[Discount_Pct]]*1.4)+(tbl_raw[[#This Row],[COD_Flag]]*0.35))</f>
        <v>0.21</v>
      </c>
    </row>
    <row r="213" spans="1:23" ht="22.8" x14ac:dyDescent="0.3">
      <c r="A213" s="22" t="s">
        <v>688</v>
      </c>
      <c r="B213" s="23" t="s">
        <v>402</v>
      </c>
      <c r="C213" s="23" t="s">
        <v>132</v>
      </c>
      <c r="D213" s="23" t="s">
        <v>175</v>
      </c>
      <c r="E213" s="23" t="s">
        <v>149</v>
      </c>
      <c r="F213" s="23" t="s">
        <v>689</v>
      </c>
      <c r="G213" s="23" t="s">
        <v>120</v>
      </c>
      <c r="H213" s="23" t="s">
        <v>39</v>
      </c>
      <c r="I213" s="23">
        <v>6</v>
      </c>
      <c r="J213" s="24">
        <v>3642</v>
      </c>
      <c r="K213" s="24">
        <v>3642</v>
      </c>
      <c r="L213" s="25">
        <v>0</v>
      </c>
      <c r="M213" s="24">
        <v>2678</v>
      </c>
      <c r="N213" s="24">
        <f>(tbl_raw[[#This Row],[Selling_Price]]-tbl_raw[[#This Row],[Cost_Price]])*tbl_raw[[#This Row],[Units_Sold]]</f>
        <v>5784</v>
      </c>
      <c r="O213" s="25">
        <f>IFERROR((tbl_raw[[#This Row],[Selling_Price]]-tbl_raw[[#This Row],[Cost_Price]]) / tbl_raw[[#This Row],[Selling_Price]],0)</f>
        <v>0.26468973091707854</v>
      </c>
      <c r="P213" s="24">
        <v>60</v>
      </c>
      <c r="Q213" s="24">
        <f>tbl_raw[[#This Row],[Gross_Profit]]-(tbl_raw[[#This Row],[Shipping_Cost]]*tbl_raw[[#This Row],[Units_Sold]])</f>
        <v>5424</v>
      </c>
      <c r="R213" s="25">
        <f>IFERROR(tbl_raw[[#This Row],[Net_Profit]]/(tbl_raw[[#This Row],[Selling_Price]]*tbl_raw[[#This Row],[Units_Sold]]),0)</f>
        <v>0.24821526633717739</v>
      </c>
      <c r="S213" s="23" t="s">
        <v>40</v>
      </c>
      <c r="T213" s="23" t="s">
        <v>32</v>
      </c>
      <c r="U213" s="23">
        <f>IF(tbl_raw[[#This Row],[Order_Status]]="Returned",1,0)</f>
        <v>0</v>
      </c>
      <c r="V213" s="23">
        <f>IF(tbl_raw[[#This Row],[Payment_Method]]="COD",1,0)</f>
        <v>1</v>
      </c>
      <c r="W213" s="26">
        <f>MIN(1,(tbl_raw[[#This Row],[Discount_Pct]]*1.4)+(tbl_raw[[#This Row],[COD_Flag]]*0.35))</f>
        <v>0.35</v>
      </c>
    </row>
    <row r="214" spans="1:23" ht="22.8" x14ac:dyDescent="0.3">
      <c r="A214" s="17" t="s">
        <v>690</v>
      </c>
      <c r="B214" s="18" t="s">
        <v>691</v>
      </c>
      <c r="C214" s="18" t="s">
        <v>99</v>
      </c>
      <c r="D214" s="18" t="s">
        <v>44</v>
      </c>
      <c r="E214" s="18" t="s">
        <v>279</v>
      </c>
      <c r="F214" s="18" t="s">
        <v>692</v>
      </c>
      <c r="G214" s="18" t="s">
        <v>56</v>
      </c>
      <c r="H214" s="18" t="s">
        <v>57</v>
      </c>
      <c r="I214" s="18">
        <v>6</v>
      </c>
      <c r="J214" s="19">
        <v>604</v>
      </c>
      <c r="K214" s="19">
        <v>435</v>
      </c>
      <c r="L214" s="20">
        <v>0.28000000000000003</v>
      </c>
      <c r="M214" s="19">
        <v>395</v>
      </c>
      <c r="N214" s="19">
        <f>(tbl_raw[[#This Row],[Selling_Price]]-tbl_raw[[#This Row],[Cost_Price]])*tbl_raw[[#This Row],[Units_Sold]]</f>
        <v>240</v>
      </c>
      <c r="O214" s="20">
        <f>IFERROR((tbl_raw[[#This Row],[Selling_Price]]-tbl_raw[[#This Row],[Cost_Price]]) / tbl_raw[[#This Row],[Selling_Price]],0)</f>
        <v>9.1954022988505746E-2</v>
      </c>
      <c r="P214" s="19">
        <v>143</v>
      </c>
      <c r="Q214" s="19">
        <f>tbl_raw[[#This Row],[Gross_Profit]]-(tbl_raw[[#This Row],[Shipping_Cost]]*tbl_raw[[#This Row],[Units_Sold]])</f>
        <v>-618</v>
      </c>
      <c r="R214" s="20">
        <f>IFERROR(tbl_raw[[#This Row],[Net_Profit]]/(tbl_raw[[#This Row],[Selling_Price]]*tbl_raw[[#This Row],[Units_Sold]]),0)</f>
        <v>-0.23678160919540231</v>
      </c>
      <c r="S214" s="18" t="s">
        <v>31</v>
      </c>
      <c r="T214" s="18" t="s">
        <v>32</v>
      </c>
      <c r="U214" s="18">
        <f>IF(tbl_raw[[#This Row],[Order_Status]]="Returned",1,0)</f>
        <v>0</v>
      </c>
      <c r="V214" s="18">
        <f>IF(tbl_raw[[#This Row],[Payment_Method]]="COD",1,0)</f>
        <v>0</v>
      </c>
      <c r="W214" s="21">
        <f>MIN(1,(tbl_raw[[#This Row],[Discount_Pct]]*1.4)+(tbl_raw[[#This Row],[COD_Flag]]*0.35))</f>
        <v>0.39200000000000002</v>
      </c>
    </row>
    <row r="215" spans="1:23" ht="22.8" x14ac:dyDescent="0.3">
      <c r="A215" s="22" t="s">
        <v>693</v>
      </c>
      <c r="B215" s="23" t="s">
        <v>694</v>
      </c>
      <c r="C215" s="23" t="s">
        <v>132</v>
      </c>
      <c r="D215" s="23" t="s">
        <v>62</v>
      </c>
      <c r="E215" s="23" t="s">
        <v>110</v>
      </c>
      <c r="F215" s="23" t="s">
        <v>695</v>
      </c>
      <c r="G215" s="23" t="s">
        <v>102</v>
      </c>
      <c r="H215" s="23" t="s">
        <v>39</v>
      </c>
      <c r="I215" s="23">
        <v>8</v>
      </c>
      <c r="J215" s="24">
        <v>4252</v>
      </c>
      <c r="K215" s="24">
        <v>3402</v>
      </c>
      <c r="L215" s="25">
        <v>0.2</v>
      </c>
      <c r="M215" s="24">
        <v>1713</v>
      </c>
      <c r="N215" s="24">
        <f>(tbl_raw[[#This Row],[Selling_Price]]-tbl_raw[[#This Row],[Cost_Price]])*tbl_raw[[#This Row],[Units_Sold]]</f>
        <v>13512</v>
      </c>
      <c r="O215" s="25">
        <f>IFERROR((tbl_raw[[#This Row],[Selling_Price]]-tbl_raw[[#This Row],[Cost_Price]]) / tbl_raw[[#This Row],[Selling_Price]],0)</f>
        <v>0.49647266313932981</v>
      </c>
      <c r="P215" s="24">
        <v>82</v>
      </c>
      <c r="Q215" s="24">
        <f>tbl_raw[[#This Row],[Gross_Profit]]-(tbl_raw[[#This Row],[Shipping_Cost]]*tbl_raw[[#This Row],[Units_Sold]])</f>
        <v>12856</v>
      </c>
      <c r="R215" s="25">
        <f>IFERROR(tbl_raw[[#This Row],[Net_Profit]]/(tbl_raw[[#This Row],[Selling_Price]]*tbl_raw[[#This Row],[Units_Sold]]),0)</f>
        <v>0.4723691945914168</v>
      </c>
      <c r="S215" s="23" t="s">
        <v>58</v>
      </c>
      <c r="T215" s="23" t="s">
        <v>32</v>
      </c>
      <c r="U215" s="23">
        <f>IF(tbl_raw[[#This Row],[Order_Status]]="Returned",1,0)</f>
        <v>0</v>
      </c>
      <c r="V215" s="23">
        <f>IF(tbl_raw[[#This Row],[Payment_Method]]="COD",1,0)</f>
        <v>0</v>
      </c>
      <c r="W215" s="26">
        <f>MIN(1,(tbl_raw[[#This Row],[Discount_Pct]]*1.4)+(tbl_raw[[#This Row],[COD_Flag]]*0.35))</f>
        <v>0.27999999999999997</v>
      </c>
    </row>
    <row r="216" spans="1:23" ht="22.8" x14ac:dyDescent="0.3">
      <c r="A216" s="17" t="s">
        <v>696</v>
      </c>
      <c r="B216" s="18" t="s">
        <v>287</v>
      </c>
      <c r="C216" s="18" t="s">
        <v>43</v>
      </c>
      <c r="D216" s="18" t="s">
        <v>175</v>
      </c>
      <c r="E216" s="18" t="s">
        <v>225</v>
      </c>
      <c r="F216" s="18" t="s">
        <v>697</v>
      </c>
      <c r="G216" s="18" t="s">
        <v>120</v>
      </c>
      <c r="H216" s="18" t="s">
        <v>39</v>
      </c>
      <c r="I216" s="18">
        <v>4</v>
      </c>
      <c r="J216" s="19">
        <v>1005</v>
      </c>
      <c r="K216" s="19">
        <v>834</v>
      </c>
      <c r="L216" s="20">
        <v>0.17</v>
      </c>
      <c r="M216" s="19">
        <v>507</v>
      </c>
      <c r="N216" s="19">
        <f>(tbl_raw[[#This Row],[Selling_Price]]-tbl_raw[[#This Row],[Cost_Price]])*tbl_raw[[#This Row],[Units_Sold]]</f>
        <v>1308</v>
      </c>
      <c r="O216" s="20">
        <f>IFERROR((tbl_raw[[#This Row],[Selling_Price]]-tbl_raw[[#This Row],[Cost_Price]]) / tbl_raw[[#This Row],[Selling_Price]],0)</f>
        <v>0.3920863309352518</v>
      </c>
      <c r="P216" s="19">
        <v>87</v>
      </c>
      <c r="Q216" s="19">
        <f>tbl_raw[[#This Row],[Gross_Profit]]-(tbl_raw[[#This Row],[Shipping_Cost]]*tbl_raw[[#This Row],[Units_Sold]])</f>
        <v>960</v>
      </c>
      <c r="R216" s="20">
        <f>IFERROR(tbl_raw[[#This Row],[Net_Profit]]/(tbl_raw[[#This Row],[Selling_Price]]*tbl_raw[[#This Row],[Units_Sold]]),0)</f>
        <v>0.28776978417266186</v>
      </c>
      <c r="S216" s="18" t="s">
        <v>40</v>
      </c>
      <c r="T216" s="18" t="s">
        <v>86</v>
      </c>
      <c r="U216" s="18">
        <f>IF(tbl_raw[[#This Row],[Order_Status]]="Returned",1,0)</f>
        <v>1</v>
      </c>
      <c r="V216" s="18">
        <f>IF(tbl_raw[[#This Row],[Payment_Method]]="COD",1,0)</f>
        <v>1</v>
      </c>
      <c r="W216" s="21">
        <f>MIN(1,(tbl_raw[[#This Row],[Discount_Pct]]*1.4)+(tbl_raw[[#This Row],[COD_Flag]]*0.35))</f>
        <v>0.58799999999999997</v>
      </c>
    </row>
    <row r="217" spans="1:23" ht="22.8" x14ac:dyDescent="0.3">
      <c r="A217" s="22" t="s">
        <v>698</v>
      </c>
      <c r="B217" s="23" t="s">
        <v>393</v>
      </c>
      <c r="C217" s="23" t="s">
        <v>72</v>
      </c>
      <c r="D217" s="23" t="s">
        <v>26</v>
      </c>
      <c r="E217" s="23" t="s">
        <v>36</v>
      </c>
      <c r="F217" s="23" t="s">
        <v>699</v>
      </c>
      <c r="G217" s="23" t="s">
        <v>81</v>
      </c>
      <c r="H217" s="23" t="s">
        <v>30</v>
      </c>
      <c r="I217" s="23">
        <v>15</v>
      </c>
      <c r="J217" s="24">
        <v>2939</v>
      </c>
      <c r="K217" s="24">
        <v>2645</v>
      </c>
      <c r="L217" s="25">
        <v>0.1</v>
      </c>
      <c r="M217" s="24">
        <v>1945</v>
      </c>
      <c r="N217" s="24">
        <f>(tbl_raw[[#This Row],[Selling_Price]]-tbl_raw[[#This Row],[Cost_Price]])*tbl_raw[[#This Row],[Units_Sold]]</f>
        <v>10500</v>
      </c>
      <c r="O217" s="25">
        <f>IFERROR((tbl_raw[[#This Row],[Selling_Price]]-tbl_raw[[#This Row],[Cost_Price]]) / tbl_raw[[#This Row],[Selling_Price]],0)</f>
        <v>0.26465028355387521</v>
      </c>
      <c r="P217" s="24">
        <v>168</v>
      </c>
      <c r="Q217" s="24">
        <f>tbl_raw[[#This Row],[Gross_Profit]]-(tbl_raw[[#This Row],[Shipping_Cost]]*tbl_raw[[#This Row],[Units_Sold]])</f>
        <v>7980</v>
      </c>
      <c r="R217" s="25">
        <f>IFERROR(tbl_raw[[#This Row],[Net_Profit]]/(tbl_raw[[#This Row],[Selling_Price]]*tbl_raw[[#This Row],[Units_Sold]]),0)</f>
        <v>0.20113421550094518</v>
      </c>
      <c r="S217" s="23" t="s">
        <v>65</v>
      </c>
      <c r="T217" s="23" t="s">
        <v>59</v>
      </c>
      <c r="U217" s="23">
        <f>IF(tbl_raw[[#This Row],[Order_Status]]="Returned",1,0)</f>
        <v>0</v>
      </c>
      <c r="V217" s="23">
        <f>IF(tbl_raw[[#This Row],[Payment_Method]]="COD",1,0)</f>
        <v>0</v>
      </c>
      <c r="W217" s="26">
        <f>MIN(1,(tbl_raw[[#This Row],[Discount_Pct]]*1.4)+(tbl_raw[[#This Row],[COD_Flag]]*0.35))</f>
        <v>0.13999999999999999</v>
      </c>
    </row>
    <row r="218" spans="1:23" ht="22.8" x14ac:dyDescent="0.3">
      <c r="A218" s="17" t="s">
        <v>700</v>
      </c>
      <c r="B218" s="18" t="s">
        <v>701</v>
      </c>
      <c r="C218" s="18" t="s">
        <v>72</v>
      </c>
      <c r="D218" s="18" t="s">
        <v>164</v>
      </c>
      <c r="E218" s="18" t="s">
        <v>265</v>
      </c>
      <c r="F218" s="18" t="s">
        <v>702</v>
      </c>
      <c r="G218" s="18" t="s">
        <v>47</v>
      </c>
      <c r="H218" s="18" t="s">
        <v>48</v>
      </c>
      <c r="I218" s="18">
        <v>12</v>
      </c>
      <c r="J218" s="19">
        <v>7713</v>
      </c>
      <c r="K218" s="19">
        <v>6633</v>
      </c>
      <c r="L218" s="20">
        <v>0.14000000000000001</v>
      </c>
      <c r="M218" s="19">
        <v>3463</v>
      </c>
      <c r="N218" s="19">
        <f>(tbl_raw[[#This Row],[Selling_Price]]-tbl_raw[[#This Row],[Cost_Price]])*tbl_raw[[#This Row],[Units_Sold]]</f>
        <v>38040</v>
      </c>
      <c r="O218" s="20">
        <f>IFERROR((tbl_raw[[#This Row],[Selling_Price]]-tbl_raw[[#This Row],[Cost_Price]]) / tbl_raw[[#This Row],[Selling_Price]],0)</f>
        <v>0.47791346298808984</v>
      </c>
      <c r="P218" s="19">
        <v>72</v>
      </c>
      <c r="Q218" s="19">
        <f>tbl_raw[[#This Row],[Gross_Profit]]-(tbl_raw[[#This Row],[Shipping_Cost]]*tbl_raw[[#This Row],[Units_Sold]])</f>
        <v>37176</v>
      </c>
      <c r="R218" s="20">
        <f>IFERROR(tbl_raw[[#This Row],[Net_Profit]]/(tbl_raw[[#This Row],[Selling_Price]]*tbl_raw[[#This Row],[Units_Sold]]),0)</f>
        <v>0.46705864616312376</v>
      </c>
      <c r="S218" s="18" t="s">
        <v>58</v>
      </c>
      <c r="T218" s="18" t="s">
        <v>32</v>
      </c>
      <c r="U218" s="18">
        <f>IF(tbl_raw[[#This Row],[Order_Status]]="Returned",1,0)</f>
        <v>0</v>
      </c>
      <c r="V218" s="18">
        <f>IF(tbl_raw[[#This Row],[Payment_Method]]="COD",1,0)</f>
        <v>0</v>
      </c>
      <c r="W218" s="21">
        <f>MIN(1,(tbl_raw[[#This Row],[Discount_Pct]]*1.4)+(tbl_raw[[#This Row],[COD_Flag]]*0.35))</f>
        <v>0.19600000000000001</v>
      </c>
    </row>
    <row r="219" spans="1:23" ht="22.8" x14ac:dyDescent="0.3">
      <c r="A219" s="22" t="s">
        <v>703</v>
      </c>
      <c r="B219" s="23" t="s">
        <v>704</v>
      </c>
      <c r="C219" s="23" t="s">
        <v>156</v>
      </c>
      <c r="D219" s="23" t="s">
        <v>53</v>
      </c>
      <c r="E219" s="23" t="s">
        <v>149</v>
      </c>
      <c r="F219" s="23" t="s">
        <v>705</v>
      </c>
      <c r="G219" s="23" t="s">
        <v>143</v>
      </c>
      <c r="H219" s="23" t="s">
        <v>30</v>
      </c>
      <c r="I219" s="23">
        <v>7</v>
      </c>
      <c r="J219" s="24">
        <v>4238</v>
      </c>
      <c r="K219" s="24">
        <v>3263</v>
      </c>
      <c r="L219" s="25">
        <v>0.23</v>
      </c>
      <c r="M219" s="24">
        <v>2804</v>
      </c>
      <c r="N219" s="24">
        <f>(tbl_raw[[#This Row],[Selling_Price]]-tbl_raw[[#This Row],[Cost_Price]])*tbl_raw[[#This Row],[Units_Sold]]</f>
        <v>3213</v>
      </c>
      <c r="O219" s="25">
        <f>IFERROR((tbl_raw[[#This Row],[Selling_Price]]-tbl_raw[[#This Row],[Cost_Price]]) / tbl_raw[[#This Row],[Selling_Price]],0)</f>
        <v>0.14066809684339565</v>
      </c>
      <c r="P219" s="24">
        <v>74</v>
      </c>
      <c r="Q219" s="24">
        <f>tbl_raw[[#This Row],[Gross_Profit]]-(tbl_raw[[#This Row],[Shipping_Cost]]*tbl_raw[[#This Row],[Units_Sold]])</f>
        <v>2695</v>
      </c>
      <c r="R219" s="25">
        <f>IFERROR(tbl_raw[[#This Row],[Net_Profit]]/(tbl_raw[[#This Row],[Selling_Price]]*tbl_raw[[#This Row],[Units_Sold]]),0)</f>
        <v>0.11798958014097456</v>
      </c>
      <c r="S219" s="23" t="s">
        <v>58</v>
      </c>
      <c r="T219" s="23" t="s">
        <v>86</v>
      </c>
      <c r="U219" s="23">
        <f>IF(tbl_raw[[#This Row],[Order_Status]]="Returned",1,0)</f>
        <v>1</v>
      </c>
      <c r="V219" s="23">
        <f>IF(tbl_raw[[#This Row],[Payment_Method]]="COD",1,0)</f>
        <v>0</v>
      </c>
      <c r="W219" s="26">
        <f>MIN(1,(tbl_raw[[#This Row],[Discount_Pct]]*1.4)+(tbl_raw[[#This Row],[COD_Flag]]*0.35))</f>
        <v>0.32200000000000001</v>
      </c>
    </row>
    <row r="220" spans="1:23" ht="22.8" x14ac:dyDescent="0.3">
      <c r="A220" s="17" t="s">
        <v>706</v>
      </c>
      <c r="B220" s="18" t="s">
        <v>589</v>
      </c>
      <c r="C220" s="18" t="s">
        <v>35</v>
      </c>
      <c r="D220" s="18" t="s">
        <v>78</v>
      </c>
      <c r="E220" s="18" t="s">
        <v>296</v>
      </c>
      <c r="F220" s="18" t="s">
        <v>707</v>
      </c>
      <c r="G220" s="18" t="s">
        <v>75</v>
      </c>
      <c r="H220" s="18" t="s">
        <v>48</v>
      </c>
      <c r="I220" s="18">
        <v>20</v>
      </c>
      <c r="J220" s="19">
        <v>754</v>
      </c>
      <c r="K220" s="19">
        <v>452</v>
      </c>
      <c r="L220" s="20">
        <v>0.4</v>
      </c>
      <c r="M220" s="19">
        <v>305</v>
      </c>
      <c r="N220" s="19">
        <f>(tbl_raw[[#This Row],[Selling_Price]]-tbl_raw[[#This Row],[Cost_Price]])*tbl_raw[[#This Row],[Units_Sold]]</f>
        <v>2940</v>
      </c>
      <c r="O220" s="20">
        <f>IFERROR((tbl_raw[[#This Row],[Selling_Price]]-tbl_raw[[#This Row],[Cost_Price]]) / tbl_raw[[#This Row],[Selling_Price]],0)</f>
        <v>0.3252212389380531</v>
      </c>
      <c r="P220" s="19">
        <v>84</v>
      </c>
      <c r="Q220" s="19">
        <f>tbl_raw[[#This Row],[Gross_Profit]]-(tbl_raw[[#This Row],[Shipping_Cost]]*tbl_raw[[#This Row],[Units_Sold]])</f>
        <v>1260</v>
      </c>
      <c r="R220" s="20">
        <f>IFERROR(tbl_raw[[#This Row],[Net_Profit]]/(tbl_raw[[#This Row],[Selling_Price]]*tbl_raw[[#This Row],[Units_Sold]]),0)</f>
        <v>0.13938053097345132</v>
      </c>
      <c r="S220" s="18" t="s">
        <v>107</v>
      </c>
      <c r="T220" s="18" t="s">
        <v>59</v>
      </c>
      <c r="U220" s="18">
        <f>IF(tbl_raw[[#This Row],[Order_Status]]="Returned",1,0)</f>
        <v>0</v>
      </c>
      <c r="V220" s="18">
        <f>IF(tbl_raw[[#This Row],[Payment_Method]]="COD",1,0)</f>
        <v>0</v>
      </c>
      <c r="W220" s="21">
        <f>MIN(1,(tbl_raw[[#This Row],[Discount_Pct]]*1.4)+(tbl_raw[[#This Row],[COD_Flag]]*0.35))</f>
        <v>0.55999999999999994</v>
      </c>
    </row>
    <row r="221" spans="1:23" ht="22.8" x14ac:dyDescent="0.3">
      <c r="A221" s="22" t="s">
        <v>708</v>
      </c>
      <c r="B221" s="23" t="s">
        <v>709</v>
      </c>
      <c r="C221" s="23" t="s">
        <v>199</v>
      </c>
      <c r="D221" s="23" t="s">
        <v>44</v>
      </c>
      <c r="E221" s="23" t="s">
        <v>338</v>
      </c>
      <c r="F221" s="23" t="s">
        <v>710</v>
      </c>
      <c r="G221" s="23" t="s">
        <v>81</v>
      </c>
      <c r="H221" s="23" t="s">
        <v>30</v>
      </c>
      <c r="I221" s="23">
        <v>16</v>
      </c>
      <c r="J221" s="24">
        <v>7645</v>
      </c>
      <c r="K221" s="24">
        <v>4969</v>
      </c>
      <c r="L221" s="25">
        <v>0.35</v>
      </c>
      <c r="M221" s="24">
        <v>3103</v>
      </c>
      <c r="N221" s="24">
        <f>(tbl_raw[[#This Row],[Selling_Price]]-tbl_raw[[#This Row],[Cost_Price]])*tbl_raw[[#This Row],[Units_Sold]]</f>
        <v>29856</v>
      </c>
      <c r="O221" s="25">
        <f>IFERROR((tbl_raw[[#This Row],[Selling_Price]]-tbl_raw[[#This Row],[Cost_Price]]) / tbl_raw[[#This Row],[Selling_Price]],0)</f>
        <v>0.3755282753069028</v>
      </c>
      <c r="P221" s="24">
        <v>40</v>
      </c>
      <c r="Q221" s="24">
        <f>tbl_raw[[#This Row],[Gross_Profit]]-(tbl_raw[[#This Row],[Shipping_Cost]]*tbl_raw[[#This Row],[Units_Sold]])</f>
        <v>29216</v>
      </c>
      <c r="R221" s="25">
        <f>IFERROR(tbl_raw[[#This Row],[Net_Profit]]/(tbl_raw[[#This Row],[Selling_Price]]*tbl_raw[[#This Row],[Units_Sold]]),0)</f>
        <v>0.367478365868384</v>
      </c>
      <c r="S221" s="23" t="s">
        <v>107</v>
      </c>
      <c r="T221" s="23" t="s">
        <v>49</v>
      </c>
      <c r="U221" s="23">
        <f>IF(tbl_raw[[#This Row],[Order_Status]]="Returned",1,0)</f>
        <v>0</v>
      </c>
      <c r="V221" s="23">
        <f>IF(tbl_raw[[#This Row],[Payment_Method]]="COD",1,0)</f>
        <v>0</v>
      </c>
      <c r="W221" s="26">
        <f>MIN(1,(tbl_raw[[#This Row],[Discount_Pct]]*1.4)+(tbl_raw[[#This Row],[COD_Flag]]*0.35))</f>
        <v>0.48999999999999994</v>
      </c>
    </row>
    <row r="222" spans="1:23" ht="22.8" x14ac:dyDescent="0.3">
      <c r="A222" s="17" t="s">
        <v>711</v>
      </c>
      <c r="B222" s="18" t="s">
        <v>712</v>
      </c>
      <c r="C222" s="18" t="s">
        <v>52</v>
      </c>
      <c r="D222" s="18" t="s">
        <v>53</v>
      </c>
      <c r="E222" s="18" t="s">
        <v>54</v>
      </c>
      <c r="F222" s="18" t="s">
        <v>713</v>
      </c>
      <c r="G222" s="18" t="s">
        <v>47</v>
      </c>
      <c r="H222" s="18" t="s">
        <v>48</v>
      </c>
      <c r="I222" s="18">
        <v>14</v>
      </c>
      <c r="J222" s="19">
        <v>5674</v>
      </c>
      <c r="K222" s="19">
        <v>5447</v>
      </c>
      <c r="L222" s="20">
        <v>0.04</v>
      </c>
      <c r="M222" s="19">
        <v>3335</v>
      </c>
      <c r="N222" s="19">
        <f>(tbl_raw[[#This Row],[Selling_Price]]-tbl_raw[[#This Row],[Cost_Price]])*tbl_raw[[#This Row],[Units_Sold]]</f>
        <v>29568</v>
      </c>
      <c r="O222" s="20">
        <f>IFERROR((tbl_raw[[#This Row],[Selling_Price]]-tbl_raw[[#This Row],[Cost_Price]]) / tbl_raw[[#This Row],[Selling_Price]],0)</f>
        <v>0.38773636864328986</v>
      </c>
      <c r="P222" s="19">
        <v>122</v>
      </c>
      <c r="Q222" s="19">
        <f>tbl_raw[[#This Row],[Gross_Profit]]-(tbl_raw[[#This Row],[Shipping_Cost]]*tbl_raw[[#This Row],[Units_Sold]])</f>
        <v>27860</v>
      </c>
      <c r="R222" s="20">
        <f>IFERROR(tbl_raw[[#This Row],[Net_Profit]]/(tbl_raw[[#This Row],[Selling_Price]]*tbl_raw[[#This Row],[Units_Sold]]),0)</f>
        <v>0.36533871856067562</v>
      </c>
      <c r="S222" s="18" t="s">
        <v>107</v>
      </c>
      <c r="T222" s="18" t="s">
        <v>32</v>
      </c>
      <c r="U222" s="18">
        <f>IF(tbl_raw[[#This Row],[Order_Status]]="Returned",1,0)</f>
        <v>0</v>
      </c>
      <c r="V222" s="18">
        <f>IF(tbl_raw[[#This Row],[Payment_Method]]="COD",1,0)</f>
        <v>0</v>
      </c>
      <c r="W222" s="21">
        <f>MIN(1,(tbl_raw[[#This Row],[Discount_Pct]]*1.4)+(tbl_raw[[#This Row],[COD_Flag]]*0.35))</f>
        <v>5.5999999999999994E-2</v>
      </c>
    </row>
    <row r="223" spans="1:23" ht="22.8" x14ac:dyDescent="0.3">
      <c r="A223" s="22" t="s">
        <v>714</v>
      </c>
      <c r="B223" s="23" t="s">
        <v>651</v>
      </c>
      <c r="C223" s="23" t="s">
        <v>35</v>
      </c>
      <c r="D223" s="23" t="s">
        <v>164</v>
      </c>
      <c r="E223" s="23" t="s">
        <v>345</v>
      </c>
      <c r="F223" s="23" t="s">
        <v>715</v>
      </c>
      <c r="G223" s="23" t="s">
        <v>47</v>
      </c>
      <c r="H223" s="23" t="s">
        <v>48</v>
      </c>
      <c r="I223" s="23">
        <v>19</v>
      </c>
      <c r="J223" s="24">
        <v>5147</v>
      </c>
      <c r="K223" s="24">
        <v>3191</v>
      </c>
      <c r="L223" s="25">
        <v>0.38</v>
      </c>
      <c r="M223" s="24">
        <v>3286</v>
      </c>
      <c r="N223" s="24">
        <f>(tbl_raw[[#This Row],[Selling_Price]]-tbl_raw[[#This Row],[Cost_Price]])*tbl_raw[[#This Row],[Units_Sold]]</f>
        <v>-1805</v>
      </c>
      <c r="O223" s="25">
        <f>IFERROR((tbl_raw[[#This Row],[Selling_Price]]-tbl_raw[[#This Row],[Cost_Price]]) / tbl_raw[[#This Row],[Selling_Price]],0)</f>
        <v>-2.9771231588843622E-2</v>
      </c>
      <c r="P223" s="24">
        <v>40</v>
      </c>
      <c r="Q223" s="24">
        <f>tbl_raw[[#This Row],[Gross_Profit]]-(tbl_raw[[#This Row],[Shipping_Cost]]*tbl_raw[[#This Row],[Units_Sold]])</f>
        <v>-2565</v>
      </c>
      <c r="R223" s="25">
        <f>IFERROR(tbl_raw[[#This Row],[Net_Profit]]/(tbl_raw[[#This Row],[Selling_Price]]*tbl_raw[[#This Row],[Units_Sold]]),0)</f>
        <v>-4.2306486994672515E-2</v>
      </c>
      <c r="S223" s="23" t="s">
        <v>31</v>
      </c>
      <c r="T223" s="23" t="s">
        <v>59</v>
      </c>
      <c r="U223" s="23">
        <f>IF(tbl_raw[[#This Row],[Order_Status]]="Returned",1,0)</f>
        <v>0</v>
      </c>
      <c r="V223" s="23">
        <f>IF(tbl_raw[[#This Row],[Payment_Method]]="COD",1,0)</f>
        <v>0</v>
      </c>
      <c r="W223" s="26">
        <f>MIN(1,(tbl_raw[[#This Row],[Discount_Pct]]*1.4)+(tbl_raw[[#This Row],[COD_Flag]]*0.35))</f>
        <v>0.53199999999999992</v>
      </c>
    </row>
    <row r="224" spans="1:23" ht="22.8" x14ac:dyDescent="0.3">
      <c r="A224" s="17" t="s">
        <v>716</v>
      </c>
      <c r="B224" s="18" t="s">
        <v>717</v>
      </c>
      <c r="C224" s="18" t="s">
        <v>132</v>
      </c>
      <c r="D224" s="18" t="s">
        <v>175</v>
      </c>
      <c r="E224" s="18" t="s">
        <v>149</v>
      </c>
      <c r="F224" s="18" t="s">
        <v>718</v>
      </c>
      <c r="G224" s="18" t="s">
        <v>75</v>
      </c>
      <c r="H224" s="18" t="s">
        <v>48</v>
      </c>
      <c r="I224" s="18">
        <v>20</v>
      </c>
      <c r="J224" s="19">
        <v>4949</v>
      </c>
      <c r="K224" s="19">
        <v>4256</v>
      </c>
      <c r="L224" s="20">
        <v>0.14000000000000001</v>
      </c>
      <c r="M224" s="19">
        <v>3264</v>
      </c>
      <c r="N224" s="19">
        <f>(tbl_raw[[#This Row],[Selling_Price]]-tbl_raw[[#This Row],[Cost_Price]])*tbl_raw[[#This Row],[Units_Sold]]</f>
        <v>19840</v>
      </c>
      <c r="O224" s="20">
        <f>IFERROR((tbl_raw[[#This Row],[Selling_Price]]-tbl_raw[[#This Row],[Cost_Price]]) / tbl_raw[[#This Row],[Selling_Price]],0)</f>
        <v>0.23308270676691728</v>
      </c>
      <c r="P224" s="19">
        <v>141</v>
      </c>
      <c r="Q224" s="19">
        <f>tbl_raw[[#This Row],[Gross_Profit]]-(tbl_raw[[#This Row],[Shipping_Cost]]*tbl_raw[[#This Row],[Units_Sold]])</f>
        <v>17020</v>
      </c>
      <c r="R224" s="20">
        <f>IFERROR(tbl_raw[[#This Row],[Net_Profit]]/(tbl_raw[[#This Row],[Selling_Price]]*tbl_raw[[#This Row],[Units_Sold]]),0)</f>
        <v>0.19995300751879699</v>
      </c>
      <c r="S224" s="18" t="s">
        <v>58</v>
      </c>
      <c r="T224" s="18" t="s">
        <v>32</v>
      </c>
      <c r="U224" s="18">
        <f>IF(tbl_raw[[#This Row],[Order_Status]]="Returned",1,0)</f>
        <v>0</v>
      </c>
      <c r="V224" s="18">
        <f>IF(tbl_raw[[#This Row],[Payment_Method]]="COD",1,0)</f>
        <v>0</v>
      </c>
      <c r="W224" s="21">
        <f>MIN(1,(tbl_raw[[#This Row],[Discount_Pct]]*1.4)+(tbl_raw[[#This Row],[COD_Flag]]*0.35))</f>
        <v>0.19600000000000001</v>
      </c>
    </row>
    <row r="225" spans="1:23" ht="22.8" x14ac:dyDescent="0.3">
      <c r="A225" s="22" t="s">
        <v>719</v>
      </c>
      <c r="B225" s="23" t="s">
        <v>720</v>
      </c>
      <c r="C225" s="23" t="s">
        <v>132</v>
      </c>
      <c r="D225" s="23" t="s">
        <v>62</v>
      </c>
      <c r="E225" s="23" t="s">
        <v>63</v>
      </c>
      <c r="F225" s="23" t="s">
        <v>721</v>
      </c>
      <c r="G225" s="23" t="s">
        <v>38</v>
      </c>
      <c r="H225" s="23" t="s">
        <v>39</v>
      </c>
      <c r="I225" s="23">
        <v>9</v>
      </c>
      <c r="J225" s="24">
        <v>1502</v>
      </c>
      <c r="K225" s="24">
        <v>1412</v>
      </c>
      <c r="L225" s="25">
        <v>0.06</v>
      </c>
      <c r="M225" s="24">
        <v>1011</v>
      </c>
      <c r="N225" s="24">
        <f>(tbl_raw[[#This Row],[Selling_Price]]-tbl_raw[[#This Row],[Cost_Price]])*tbl_raw[[#This Row],[Units_Sold]]</f>
        <v>3609</v>
      </c>
      <c r="O225" s="25">
        <f>IFERROR((tbl_raw[[#This Row],[Selling_Price]]-tbl_raw[[#This Row],[Cost_Price]]) / tbl_raw[[#This Row],[Selling_Price]],0)</f>
        <v>0.28399433427762039</v>
      </c>
      <c r="P225" s="24">
        <v>70</v>
      </c>
      <c r="Q225" s="24">
        <f>tbl_raw[[#This Row],[Gross_Profit]]-(tbl_raw[[#This Row],[Shipping_Cost]]*tbl_raw[[#This Row],[Units_Sold]])</f>
        <v>2979</v>
      </c>
      <c r="R225" s="25">
        <f>IFERROR(tbl_raw[[#This Row],[Net_Profit]]/(tbl_raw[[#This Row],[Selling_Price]]*tbl_raw[[#This Row],[Units_Sold]]),0)</f>
        <v>0.23441926345609065</v>
      </c>
      <c r="S225" s="23" t="s">
        <v>58</v>
      </c>
      <c r="T225" s="23" t="s">
        <v>32</v>
      </c>
      <c r="U225" s="23">
        <f>IF(tbl_raw[[#This Row],[Order_Status]]="Returned",1,0)</f>
        <v>0</v>
      </c>
      <c r="V225" s="23">
        <f>IF(tbl_raw[[#This Row],[Payment_Method]]="COD",1,0)</f>
        <v>0</v>
      </c>
      <c r="W225" s="26">
        <f>MIN(1,(tbl_raw[[#This Row],[Discount_Pct]]*1.4)+(tbl_raw[[#This Row],[COD_Flag]]*0.35))</f>
        <v>8.3999999999999991E-2</v>
      </c>
    </row>
    <row r="226" spans="1:23" ht="22.8" x14ac:dyDescent="0.3">
      <c r="A226" s="17" t="s">
        <v>722</v>
      </c>
      <c r="B226" s="18" t="s">
        <v>61</v>
      </c>
      <c r="C226" s="18" t="s">
        <v>52</v>
      </c>
      <c r="D226" s="18" t="s">
        <v>175</v>
      </c>
      <c r="E226" s="18" t="s">
        <v>190</v>
      </c>
      <c r="F226" s="18" t="s">
        <v>723</v>
      </c>
      <c r="G226" s="18" t="s">
        <v>102</v>
      </c>
      <c r="H226" s="18" t="s">
        <v>39</v>
      </c>
      <c r="I226" s="18">
        <v>3</v>
      </c>
      <c r="J226" s="19">
        <v>4070</v>
      </c>
      <c r="K226" s="19">
        <v>3134</v>
      </c>
      <c r="L226" s="20">
        <v>0.23</v>
      </c>
      <c r="M226" s="19">
        <v>1707</v>
      </c>
      <c r="N226" s="19">
        <f>(tbl_raw[[#This Row],[Selling_Price]]-tbl_raw[[#This Row],[Cost_Price]])*tbl_raw[[#This Row],[Units_Sold]]</f>
        <v>4281</v>
      </c>
      <c r="O226" s="20">
        <f>IFERROR((tbl_raw[[#This Row],[Selling_Price]]-tbl_raw[[#This Row],[Cost_Price]]) / tbl_raw[[#This Row],[Selling_Price]],0)</f>
        <v>0.4553286534779834</v>
      </c>
      <c r="P226" s="19">
        <v>159</v>
      </c>
      <c r="Q226" s="19">
        <f>tbl_raw[[#This Row],[Gross_Profit]]-(tbl_raw[[#This Row],[Shipping_Cost]]*tbl_raw[[#This Row],[Units_Sold]])</f>
        <v>3804</v>
      </c>
      <c r="R226" s="20">
        <f>IFERROR(tbl_raw[[#This Row],[Net_Profit]]/(tbl_raw[[#This Row],[Selling_Price]]*tbl_raw[[#This Row],[Units_Sold]]),0)</f>
        <v>0.40459476707083597</v>
      </c>
      <c r="S226" s="18" t="s">
        <v>40</v>
      </c>
      <c r="T226" s="18" t="s">
        <v>32</v>
      </c>
      <c r="U226" s="18">
        <f>IF(tbl_raw[[#This Row],[Order_Status]]="Returned",1,0)</f>
        <v>0</v>
      </c>
      <c r="V226" s="18">
        <f>IF(tbl_raw[[#This Row],[Payment_Method]]="COD",1,0)</f>
        <v>1</v>
      </c>
      <c r="W226" s="21">
        <f>MIN(1,(tbl_raw[[#This Row],[Discount_Pct]]*1.4)+(tbl_raw[[#This Row],[COD_Flag]]*0.35))</f>
        <v>0.67199999999999993</v>
      </c>
    </row>
    <row r="227" spans="1:23" ht="22.8" x14ac:dyDescent="0.3">
      <c r="A227" s="22" t="s">
        <v>724</v>
      </c>
      <c r="B227" s="23" t="s">
        <v>136</v>
      </c>
      <c r="C227" s="23" t="s">
        <v>72</v>
      </c>
      <c r="D227" s="23" t="s">
        <v>175</v>
      </c>
      <c r="E227" s="23" t="s">
        <v>225</v>
      </c>
      <c r="F227" s="23" t="s">
        <v>725</v>
      </c>
      <c r="G227" s="23" t="s">
        <v>38</v>
      </c>
      <c r="H227" s="23" t="s">
        <v>39</v>
      </c>
      <c r="I227" s="23">
        <v>1</v>
      </c>
      <c r="J227" s="24">
        <v>543</v>
      </c>
      <c r="K227" s="24">
        <v>331</v>
      </c>
      <c r="L227" s="25">
        <v>0.39</v>
      </c>
      <c r="M227" s="24">
        <v>264</v>
      </c>
      <c r="N227" s="24">
        <f>(tbl_raw[[#This Row],[Selling_Price]]-tbl_raw[[#This Row],[Cost_Price]])*tbl_raw[[#This Row],[Units_Sold]]</f>
        <v>67</v>
      </c>
      <c r="O227" s="25">
        <f>IFERROR((tbl_raw[[#This Row],[Selling_Price]]-tbl_raw[[#This Row],[Cost_Price]]) / tbl_raw[[#This Row],[Selling_Price]],0)</f>
        <v>0.20241691842900303</v>
      </c>
      <c r="P227" s="24">
        <v>101</v>
      </c>
      <c r="Q227" s="24">
        <f>tbl_raw[[#This Row],[Gross_Profit]]-(tbl_raw[[#This Row],[Shipping_Cost]]*tbl_raw[[#This Row],[Units_Sold]])</f>
        <v>-34</v>
      </c>
      <c r="R227" s="25">
        <f>IFERROR(tbl_raw[[#This Row],[Net_Profit]]/(tbl_raw[[#This Row],[Selling_Price]]*tbl_raw[[#This Row],[Units_Sold]]),0)</f>
        <v>-0.1027190332326284</v>
      </c>
      <c r="S227" s="23" t="s">
        <v>31</v>
      </c>
      <c r="T227" s="23" t="s">
        <v>32</v>
      </c>
      <c r="U227" s="23">
        <f>IF(tbl_raw[[#This Row],[Order_Status]]="Returned",1,0)</f>
        <v>0</v>
      </c>
      <c r="V227" s="23">
        <f>IF(tbl_raw[[#This Row],[Payment_Method]]="COD",1,0)</f>
        <v>0</v>
      </c>
      <c r="W227" s="26">
        <f>MIN(1,(tbl_raw[[#This Row],[Discount_Pct]]*1.4)+(tbl_raw[[#This Row],[COD_Flag]]*0.35))</f>
        <v>0.54599999999999993</v>
      </c>
    </row>
    <row r="228" spans="1:23" ht="22.8" x14ac:dyDescent="0.3">
      <c r="A228" s="17" t="s">
        <v>726</v>
      </c>
      <c r="B228" s="18" t="s">
        <v>727</v>
      </c>
      <c r="C228" s="18" t="s">
        <v>132</v>
      </c>
      <c r="D228" s="18" t="s">
        <v>78</v>
      </c>
      <c r="E228" s="18" t="s">
        <v>118</v>
      </c>
      <c r="F228" s="18" t="s">
        <v>728</v>
      </c>
      <c r="G228" s="18" t="s">
        <v>29</v>
      </c>
      <c r="H228" s="18" t="s">
        <v>30</v>
      </c>
      <c r="I228" s="18">
        <v>14</v>
      </c>
      <c r="J228" s="19">
        <v>7344</v>
      </c>
      <c r="K228" s="19">
        <v>6316</v>
      </c>
      <c r="L228" s="20">
        <v>0.14000000000000001</v>
      </c>
      <c r="M228" s="19">
        <v>5061</v>
      </c>
      <c r="N228" s="19">
        <f>(tbl_raw[[#This Row],[Selling_Price]]-tbl_raw[[#This Row],[Cost_Price]])*tbl_raw[[#This Row],[Units_Sold]]</f>
        <v>17570</v>
      </c>
      <c r="O228" s="20">
        <f>IFERROR((tbl_raw[[#This Row],[Selling_Price]]-tbl_raw[[#This Row],[Cost_Price]]) / tbl_raw[[#This Row],[Selling_Price]],0)</f>
        <v>0.1987017099430019</v>
      </c>
      <c r="P228" s="19">
        <v>116</v>
      </c>
      <c r="Q228" s="19">
        <f>tbl_raw[[#This Row],[Gross_Profit]]-(tbl_raw[[#This Row],[Shipping_Cost]]*tbl_raw[[#This Row],[Units_Sold]])</f>
        <v>15946</v>
      </c>
      <c r="R228" s="20">
        <f>IFERROR(tbl_raw[[#This Row],[Net_Profit]]/(tbl_raw[[#This Row],[Selling_Price]]*tbl_raw[[#This Row],[Units_Sold]]),0)</f>
        <v>0.18033565547815072</v>
      </c>
      <c r="S228" s="18" t="s">
        <v>58</v>
      </c>
      <c r="T228" s="18" t="s">
        <v>49</v>
      </c>
      <c r="U228" s="18">
        <f>IF(tbl_raw[[#This Row],[Order_Status]]="Returned",1,0)</f>
        <v>0</v>
      </c>
      <c r="V228" s="18">
        <f>IF(tbl_raw[[#This Row],[Payment_Method]]="COD",1,0)</f>
        <v>0</v>
      </c>
      <c r="W228" s="21">
        <f>MIN(1,(tbl_raw[[#This Row],[Discount_Pct]]*1.4)+(tbl_raw[[#This Row],[COD_Flag]]*0.35))</f>
        <v>0.19600000000000001</v>
      </c>
    </row>
    <row r="229" spans="1:23" ht="22.8" x14ac:dyDescent="0.3">
      <c r="A229" s="22" t="s">
        <v>729</v>
      </c>
      <c r="B229" s="23" t="s">
        <v>730</v>
      </c>
      <c r="C229" s="23" t="s">
        <v>43</v>
      </c>
      <c r="D229" s="23" t="s">
        <v>26</v>
      </c>
      <c r="E229" s="23" t="s">
        <v>168</v>
      </c>
      <c r="F229" s="23" t="s">
        <v>731</v>
      </c>
      <c r="G229" s="23" t="s">
        <v>75</v>
      </c>
      <c r="H229" s="23" t="s">
        <v>48</v>
      </c>
      <c r="I229" s="23">
        <v>10</v>
      </c>
      <c r="J229" s="24">
        <v>6234</v>
      </c>
      <c r="K229" s="24">
        <v>5361</v>
      </c>
      <c r="L229" s="25">
        <v>0.14000000000000001</v>
      </c>
      <c r="M229" s="24">
        <v>2682</v>
      </c>
      <c r="N229" s="24">
        <f>(tbl_raw[[#This Row],[Selling_Price]]-tbl_raw[[#This Row],[Cost_Price]])*tbl_raw[[#This Row],[Units_Sold]]</f>
        <v>26790</v>
      </c>
      <c r="O229" s="25">
        <f>IFERROR((tbl_raw[[#This Row],[Selling_Price]]-tbl_raw[[#This Row],[Cost_Price]]) / tbl_raw[[#This Row],[Selling_Price]],0)</f>
        <v>0.49972020145495244</v>
      </c>
      <c r="P229" s="24">
        <v>99</v>
      </c>
      <c r="Q229" s="24">
        <f>tbl_raw[[#This Row],[Gross_Profit]]-(tbl_raw[[#This Row],[Shipping_Cost]]*tbl_raw[[#This Row],[Units_Sold]])</f>
        <v>25800</v>
      </c>
      <c r="R229" s="25">
        <f>IFERROR(tbl_raw[[#This Row],[Net_Profit]]/(tbl_raw[[#This Row],[Selling_Price]]*tbl_raw[[#This Row],[Units_Sold]]),0)</f>
        <v>0.48125349748181312</v>
      </c>
      <c r="S229" s="23" t="s">
        <v>107</v>
      </c>
      <c r="T229" s="23" t="s">
        <v>32</v>
      </c>
      <c r="U229" s="23">
        <f>IF(tbl_raw[[#This Row],[Order_Status]]="Returned",1,0)</f>
        <v>0</v>
      </c>
      <c r="V229" s="23">
        <f>IF(tbl_raw[[#This Row],[Payment_Method]]="COD",1,0)</f>
        <v>0</v>
      </c>
      <c r="W229" s="26">
        <f>MIN(1,(tbl_raw[[#This Row],[Discount_Pct]]*1.4)+(tbl_raw[[#This Row],[COD_Flag]]*0.35))</f>
        <v>0.19600000000000001</v>
      </c>
    </row>
    <row r="230" spans="1:23" ht="22.8" x14ac:dyDescent="0.3">
      <c r="A230" s="17" t="s">
        <v>732</v>
      </c>
      <c r="B230" s="18" t="s">
        <v>733</v>
      </c>
      <c r="C230" s="18" t="s">
        <v>99</v>
      </c>
      <c r="D230" s="18" t="s">
        <v>94</v>
      </c>
      <c r="E230" s="18" t="s">
        <v>310</v>
      </c>
      <c r="F230" s="18" t="s">
        <v>734</v>
      </c>
      <c r="G230" s="18" t="s">
        <v>102</v>
      </c>
      <c r="H230" s="18" t="s">
        <v>39</v>
      </c>
      <c r="I230" s="18">
        <v>16</v>
      </c>
      <c r="J230" s="19">
        <v>7983</v>
      </c>
      <c r="K230" s="19">
        <v>5189</v>
      </c>
      <c r="L230" s="20">
        <v>0.35</v>
      </c>
      <c r="M230" s="19">
        <v>5240</v>
      </c>
      <c r="N230" s="19">
        <f>(tbl_raw[[#This Row],[Selling_Price]]-tbl_raw[[#This Row],[Cost_Price]])*tbl_raw[[#This Row],[Units_Sold]]</f>
        <v>-816</v>
      </c>
      <c r="O230" s="20">
        <f>IFERROR((tbl_raw[[#This Row],[Selling_Price]]-tbl_raw[[#This Row],[Cost_Price]]) / tbl_raw[[#This Row],[Selling_Price]],0)</f>
        <v>-9.8284833301214101E-3</v>
      </c>
      <c r="P230" s="19">
        <v>112</v>
      </c>
      <c r="Q230" s="19">
        <f>tbl_raw[[#This Row],[Gross_Profit]]-(tbl_raw[[#This Row],[Shipping_Cost]]*tbl_raw[[#This Row],[Units_Sold]])</f>
        <v>-2608</v>
      </c>
      <c r="R230" s="20">
        <f>IFERROR(tbl_raw[[#This Row],[Net_Profit]]/(tbl_raw[[#This Row],[Selling_Price]]*tbl_raw[[#This Row],[Units_Sold]]),0)</f>
        <v>-3.1412603584505684E-2</v>
      </c>
      <c r="S230" s="18" t="s">
        <v>40</v>
      </c>
      <c r="T230" s="18" t="s">
        <v>49</v>
      </c>
      <c r="U230" s="18">
        <f>IF(tbl_raw[[#This Row],[Order_Status]]="Returned",1,0)</f>
        <v>0</v>
      </c>
      <c r="V230" s="18">
        <f>IF(tbl_raw[[#This Row],[Payment_Method]]="COD",1,0)</f>
        <v>1</v>
      </c>
      <c r="W230" s="21">
        <f>MIN(1,(tbl_raw[[#This Row],[Discount_Pct]]*1.4)+(tbl_raw[[#This Row],[COD_Flag]]*0.35))</f>
        <v>0.83999999999999986</v>
      </c>
    </row>
    <row r="231" spans="1:23" ht="22.8" x14ac:dyDescent="0.3">
      <c r="A231" s="22" t="s">
        <v>735</v>
      </c>
      <c r="B231" s="23" t="s">
        <v>717</v>
      </c>
      <c r="C231" s="23" t="s">
        <v>132</v>
      </c>
      <c r="D231" s="23" t="s">
        <v>44</v>
      </c>
      <c r="E231" s="23" t="s">
        <v>45</v>
      </c>
      <c r="F231" s="23" t="s">
        <v>736</v>
      </c>
      <c r="G231" s="23" t="s">
        <v>139</v>
      </c>
      <c r="H231" s="23" t="s">
        <v>48</v>
      </c>
      <c r="I231" s="23">
        <v>13</v>
      </c>
      <c r="J231" s="24">
        <v>6822</v>
      </c>
      <c r="K231" s="24">
        <v>4571</v>
      </c>
      <c r="L231" s="25">
        <v>0.33</v>
      </c>
      <c r="M231" s="24">
        <v>2977</v>
      </c>
      <c r="N231" s="24">
        <f>(tbl_raw[[#This Row],[Selling_Price]]-tbl_raw[[#This Row],[Cost_Price]])*tbl_raw[[#This Row],[Units_Sold]]</f>
        <v>20722</v>
      </c>
      <c r="O231" s="25">
        <f>IFERROR((tbl_raw[[#This Row],[Selling_Price]]-tbl_raw[[#This Row],[Cost_Price]]) / tbl_raw[[#This Row],[Selling_Price]],0)</f>
        <v>0.34872019251804859</v>
      </c>
      <c r="P231" s="24">
        <v>109</v>
      </c>
      <c r="Q231" s="24">
        <f>tbl_raw[[#This Row],[Gross_Profit]]-(tbl_raw[[#This Row],[Shipping_Cost]]*tbl_raw[[#This Row],[Units_Sold]])</f>
        <v>19305</v>
      </c>
      <c r="R231" s="25">
        <f>IFERROR(tbl_raw[[#This Row],[Net_Profit]]/(tbl_raw[[#This Row],[Selling_Price]]*tbl_raw[[#This Row],[Units_Sold]]),0)</f>
        <v>0.32487420695690222</v>
      </c>
      <c r="S231" s="23" t="s">
        <v>40</v>
      </c>
      <c r="T231" s="23" t="s">
        <v>49</v>
      </c>
      <c r="U231" s="23">
        <f>IF(tbl_raw[[#This Row],[Order_Status]]="Returned",1,0)</f>
        <v>0</v>
      </c>
      <c r="V231" s="23">
        <f>IF(tbl_raw[[#This Row],[Payment_Method]]="COD",1,0)</f>
        <v>1</v>
      </c>
      <c r="W231" s="26">
        <f>MIN(1,(tbl_raw[[#This Row],[Discount_Pct]]*1.4)+(tbl_raw[[#This Row],[COD_Flag]]*0.35))</f>
        <v>0.81199999999999994</v>
      </c>
    </row>
    <row r="232" spans="1:23" ht="22.8" x14ac:dyDescent="0.3">
      <c r="A232" s="17" t="s">
        <v>737</v>
      </c>
      <c r="B232" s="18" t="s">
        <v>738</v>
      </c>
      <c r="C232" s="18" t="s">
        <v>43</v>
      </c>
      <c r="D232" s="18" t="s">
        <v>53</v>
      </c>
      <c r="E232" s="18" t="s">
        <v>149</v>
      </c>
      <c r="F232" s="18" t="s">
        <v>739</v>
      </c>
      <c r="G232" s="18" t="s">
        <v>29</v>
      </c>
      <c r="H232" s="18" t="s">
        <v>30</v>
      </c>
      <c r="I232" s="18">
        <v>17</v>
      </c>
      <c r="J232" s="19">
        <v>3422</v>
      </c>
      <c r="K232" s="19">
        <v>2053</v>
      </c>
      <c r="L232" s="20">
        <v>0.4</v>
      </c>
      <c r="M232" s="19">
        <v>1918</v>
      </c>
      <c r="N232" s="19">
        <f>(tbl_raw[[#This Row],[Selling_Price]]-tbl_raw[[#This Row],[Cost_Price]])*tbl_raw[[#This Row],[Units_Sold]]</f>
        <v>2295</v>
      </c>
      <c r="O232" s="20">
        <f>IFERROR((tbl_raw[[#This Row],[Selling_Price]]-tbl_raw[[#This Row],[Cost_Price]]) / tbl_raw[[#This Row],[Selling_Price]],0)</f>
        <v>6.5757428153921091E-2</v>
      </c>
      <c r="P232" s="19">
        <v>142</v>
      </c>
      <c r="Q232" s="19">
        <f>tbl_raw[[#This Row],[Gross_Profit]]-(tbl_raw[[#This Row],[Shipping_Cost]]*tbl_raw[[#This Row],[Units_Sold]])</f>
        <v>-119</v>
      </c>
      <c r="R232" s="20">
        <f>IFERROR(tbl_raw[[#This Row],[Net_Profit]]/(tbl_raw[[#This Row],[Selling_Price]]*tbl_raw[[#This Row],[Units_Sold]]),0)</f>
        <v>-3.4096444227959084E-3</v>
      </c>
      <c r="S232" s="18" t="s">
        <v>65</v>
      </c>
      <c r="T232" s="18" t="s">
        <v>32</v>
      </c>
      <c r="U232" s="18">
        <f>IF(tbl_raw[[#This Row],[Order_Status]]="Returned",1,0)</f>
        <v>0</v>
      </c>
      <c r="V232" s="18">
        <f>IF(tbl_raw[[#This Row],[Payment_Method]]="COD",1,0)</f>
        <v>0</v>
      </c>
      <c r="W232" s="21">
        <f>MIN(1,(tbl_raw[[#This Row],[Discount_Pct]]*1.4)+(tbl_raw[[#This Row],[COD_Flag]]*0.35))</f>
        <v>0.55999999999999994</v>
      </c>
    </row>
    <row r="233" spans="1:23" ht="22.8" x14ac:dyDescent="0.3">
      <c r="A233" s="22" t="s">
        <v>740</v>
      </c>
      <c r="B233" s="23" t="s">
        <v>51</v>
      </c>
      <c r="C233" s="23" t="s">
        <v>52</v>
      </c>
      <c r="D233" s="23" t="s">
        <v>26</v>
      </c>
      <c r="E233" s="23" t="s">
        <v>168</v>
      </c>
      <c r="F233" s="23" t="s">
        <v>741</v>
      </c>
      <c r="G233" s="23" t="s">
        <v>81</v>
      </c>
      <c r="H233" s="23" t="s">
        <v>30</v>
      </c>
      <c r="I233" s="23">
        <v>8</v>
      </c>
      <c r="J233" s="24">
        <v>2475</v>
      </c>
      <c r="K233" s="24">
        <v>1534</v>
      </c>
      <c r="L233" s="25">
        <v>0.38</v>
      </c>
      <c r="M233" s="24">
        <v>1792</v>
      </c>
      <c r="N233" s="24">
        <f>(tbl_raw[[#This Row],[Selling_Price]]-tbl_raw[[#This Row],[Cost_Price]])*tbl_raw[[#This Row],[Units_Sold]]</f>
        <v>-2064</v>
      </c>
      <c r="O233" s="25">
        <f>IFERROR((tbl_raw[[#This Row],[Selling_Price]]-tbl_raw[[#This Row],[Cost_Price]]) / tbl_raw[[#This Row],[Selling_Price]],0)</f>
        <v>-0.16818774445893089</v>
      </c>
      <c r="P233" s="24">
        <v>89</v>
      </c>
      <c r="Q233" s="24">
        <f>tbl_raw[[#This Row],[Gross_Profit]]-(tbl_raw[[#This Row],[Shipping_Cost]]*tbl_raw[[#This Row],[Units_Sold]])</f>
        <v>-2776</v>
      </c>
      <c r="R233" s="25">
        <f>IFERROR(tbl_raw[[#This Row],[Net_Profit]]/(tbl_raw[[#This Row],[Selling_Price]]*tbl_raw[[#This Row],[Units_Sold]]),0)</f>
        <v>-0.22620599739243807</v>
      </c>
      <c r="S233" s="23" t="s">
        <v>107</v>
      </c>
      <c r="T233" s="23" t="s">
        <v>32</v>
      </c>
      <c r="U233" s="23">
        <f>IF(tbl_raw[[#This Row],[Order_Status]]="Returned",1,0)</f>
        <v>0</v>
      </c>
      <c r="V233" s="23">
        <f>IF(tbl_raw[[#This Row],[Payment_Method]]="COD",1,0)</f>
        <v>0</v>
      </c>
      <c r="W233" s="26">
        <f>MIN(1,(tbl_raw[[#This Row],[Discount_Pct]]*1.4)+(tbl_raw[[#This Row],[COD_Flag]]*0.35))</f>
        <v>0.53199999999999992</v>
      </c>
    </row>
    <row r="234" spans="1:23" ht="22.8" x14ac:dyDescent="0.3">
      <c r="A234" s="17" t="s">
        <v>742</v>
      </c>
      <c r="B234" s="18" t="s">
        <v>71</v>
      </c>
      <c r="C234" s="18" t="s">
        <v>72</v>
      </c>
      <c r="D234" s="18" t="s">
        <v>164</v>
      </c>
      <c r="E234" s="18" t="s">
        <v>345</v>
      </c>
      <c r="F234" s="18" t="s">
        <v>743</v>
      </c>
      <c r="G234" s="18" t="s">
        <v>81</v>
      </c>
      <c r="H234" s="18" t="s">
        <v>30</v>
      </c>
      <c r="I234" s="18">
        <v>4</v>
      </c>
      <c r="J234" s="19">
        <v>1482</v>
      </c>
      <c r="K234" s="19">
        <v>1171</v>
      </c>
      <c r="L234" s="20">
        <v>0.21</v>
      </c>
      <c r="M234" s="19">
        <v>804</v>
      </c>
      <c r="N234" s="19">
        <f>(tbl_raw[[#This Row],[Selling_Price]]-tbl_raw[[#This Row],[Cost_Price]])*tbl_raw[[#This Row],[Units_Sold]]</f>
        <v>1468</v>
      </c>
      <c r="O234" s="20">
        <f>IFERROR((tbl_raw[[#This Row],[Selling_Price]]-tbl_raw[[#This Row],[Cost_Price]]) / tbl_raw[[#This Row],[Selling_Price]],0)</f>
        <v>0.31340734415029892</v>
      </c>
      <c r="P234" s="19">
        <v>110</v>
      </c>
      <c r="Q234" s="19">
        <f>tbl_raw[[#This Row],[Gross_Profit]]-(tbl_raw[[#This Row],[Shipping_Cost]]*tbl_raw[[#This Row],[Units_Sold]])</f>
        <v>1028</v>
      </c>
      <c r="R234" s="20">
        <f>IFERROR(tbl_raw[[#This Row],[Net_Profit]]/(tbl_raw[[#This Row],[Selling_Price]]*tbl_raw[[#This Row],[Units_Sold]]),0)</f>
        <v>0.21947053800170793</v>
      </c>
      <c r="S234" s="18" t="s">
        <v>40</v>
      </c>
      <c r="T234" s="18" t="s">
        <v>32</v>
      </c>
      <c r="U234" s="18">
        <f>IF(tbl_raw[[#This Row],[Order_Status]]="Returned",1,0)</f>
        <v>0</v>
      </c>
      <c r="V234" s="18">
        <f>IF(tbl_raw[[#This Row],[Payment_Method]]="COD",1,0)</f>
        <v>1</v>
      </c>
      <c r="W234" s="21">
        <f>MIN(1,(tbl_raw[[#This Row],[Discount_Pct]]*1.4)+(tbl_raw[[#This Row],[COD_Flag]]*0.35))</f>
        <v>0.64399999999999991</v>
      </c>
    </row>
    <row r="235" spans="1:23" ht="22.8" x14ac:dyDescent="0.3">
      <c r="A235" s="22" t="s">
        <v>744</v>
      </c>
      <c r="B235" s="23" t="s">
        <v>745</v>
      </c>
      <c r="C235" s="23" t="s">
        <v>72</v>
      </c>
      <c r="D235" s="23" t="s">
        <v>164</v>
      </c>
      <c r="E235" s="23" t="s">
        <v>413</v>
      </c>
      <c r="F235" s="23" t="s">
        <v>746</v>
      </c>
      <c r="G235" s="23" t="s">
        <v>102</v>
      </c>
      <c r="H235" s="23" t="s">
        <v>39</v>
      </c>
      <c r="I235" s="23">
        <v>2</v>
      </c>
      <c r="J235" s="24">
        <v>1877</v>
      </c>
      <c r="K235" s="24">
        <v>1145</v>
      </c>
      <c r="L235" s="25">
        <v>0.39</v>
      </c>
      <c r="M235" s="24">
        <v>848</v>
      </c>
      <c r="N235" s="24">
        <f>(tbl_raw[[#This Row],[Selling_Price]]-tbl_raw[[#This Row],[Cost_Price]])*tbl_raw[[#This Row],[Units_Sold]]</f>
        <v>594</v>
      </c>
      <c r="O235" s="25">
        <f>IFERROR((tbl_raw[[#This Row],[Selling_Price]]-tbl_raw[[#This Row],[Cost_Price]]) / tbl_raw[[#This Row],[Selling_Price]],0)</f>
        <v>0.25938864628820962</v>
      </c>
      <c r="P235" s="24">
        <v>137</v>
      </c>
      <c r="Q235" s="24">
        <f>tbl_raw[[#This Row],[Gross_Profit]]-(tbl_raw[[#This Row],[Shipping_Cost]]*tbl_raw[[#This Row],[Units_Sold]])</f>
        <v>320</v>
      </c>
      <c r="R235" s="25">
        <f>IFERROR(tbl_raw[[#This Row],[Net_Profit]]/(tbl_raw[[#This Row],[Selling_Price]]*tbl_raw[[#This Row],[Units_Sold]]),0)</f>
        <v>0.13973799126637554</v>
      </c>
      <c r="S235" s="23" t="s">
        <v>107</v>
      </c>
      <c r="T235" s="23" t="s">
        <v>32</v>
      </c>
      <c r="U235" s="23">
        <f>IF(tbl_raw[[#This Row],[Order_Status]]="Returned",1,0)</f>
        <v>0</v>
      </c>
      <c r="V235" s="23">
        <f>IF(tbl_raw[[#This Row],[Payment_Method]]="COD",1,0)</f>
        <v>0</v>
      </c>
      <c r="W235" s="26">
        <f>MIN(1,(tbl_raw[[#This Row],[Discount_Pct]]*1.4)+(tbl_raw[[#This Row],[COD_Flag]]*0.35))</f>
        <v>0.54599999999999993</v>
      </c>
    </row>
    <row r="236" spans="1:23" ht="22.8" x14ac:dyDescent="0.3">
      <c r="A236" s="17" t="s">
        <v>747</v>
      </c>
      <c r="B236" s="18" t="s">
        <v>244</v>
      </c>
      <c r="C236" s="18" t="s">
        <v>99</v>
      </c>
      <c r="D236" s="18" t="s">
        <v>164</v>
      </c>
      <c r="E236" s="18" t="s">
        <v>265</v>
      </c>
      <c r="F236" s="18" t="s">
        <v>748</v>
      </c>
      <c r="G236" s="18" t="s">
        <v>75</v>
      </c>
      <c r="H236" s="18" t="s">
        <v>48</v>
      </c>
      <c r="I236" s="18">
        <v>18</v>
      </c>
      <c r="J236" s="19">
        <v>6035</v>
      </c>
      <c r="K236" s="19">
        <v>5371</v>
      </c>
      <c r="L236" s="20">
        <v>0.11</v>
      </c>
      <c r="M236" s="19">
        <v>3390</v>
      </c>
      <c r="N236" s="19">
        <f>(tbl_raw[[#This Row],[Selling_Price]]-tbl_raw[[#This Row],[Cost_Price]])*tbl_raw[[#This Row],[Units_Sold]]</f>
        <v>35658</v>
      </c>
      <c r="O236" s="20">
        <f>IFERROR((tbl_raw[[#This Row],[Selling_Price]]-tbl_raw[[#This Row],[Cost_Price]]) / tbl_raw[[#This Row],[Selling_Price]],0)</f>
        <v>0.36883261962390618</v>
      </c>
      <c r="P236" s="19">
        <v>151</v>
      </c>
      <c r="Q236" s="19">
        <f>tbl_raw[[#This Row],[Gross_Profit]]-(tbl_raw[[#This Row],[Shipping_Cost]]*tbl_raw[[#This Row],[Units_Sold]])</f>
        <v>32940</v>
      </c>
      <c r="R236" s="20">
        <f>IFERROR(tbl_raw[[#This Row],[Net_Profit]]/(tbl_raw[[#This Row],[Selling_Price]]*tbl_raw[[#This Row],[Units_Sold]]),0)</f>
        <v>0.34071867436231612</v>
      </c>
      <c r="S236" s="18" t="s">
        <v>40</v>
      </c>
      <c r="T236" s="18" t="s">
        <v>32</v>
      </c>
      <c r="U236" s="18">
        <f>IF(tbl_raw[[#This Row],[Order_Status]]="Returned",1,0)</f>
        <v>0</v>
      </c>
      <c r="V236" s="18">
        <f>IF(tbl_raw[[#This Row],[Payment_Method]]="COD",1,0)</f>
        <v>1</v>
      </c>
      <c r="W236" s="21">
        <f>MIN(1,(tbl_raw[[#This Row],[Discount_Pct]]*1.4)+(tbl_raw[[#This Row],[COD_Flag]]*0.35))</f>
        <v>0.504</v>
      </c>
    </row>
    <row r="237" spans="1:23" ht="22.8" x14ac:dyDescent="0.3">
      <c r="A237" s="22" t="s">
        <v>749</v>
      </c>
      <c r="B237" s="23" t="s">
        <v>750</v>
      </c>
      <c r="C237" s="23" t="s">
        <v>35</v>
      </c>
      <c r="D237" s="23" t="s">
        <v>94</v>
      </c>
      <c r="E237" s="23" t="s">
        <v>310</v>
      </c>
      <c r="F237" s="23" t="s">
        <v>751</v>
      </c>
      <c r="G237" s="23" t="s">
        <v>120</v>
      </c>
      <c r="H237" s="23" t="s">
        <v>39</v>
      </c>
      <c r="I237" s="23">
        <v>19</v>
      </c>
      <c r="J237" s="24">
        <v>4772</v>
      </c>
      <c r="K237" s="24">
        <v>2815</v>
      </c>
      <c r="L237" s="25">
        <v>0.41</v>
      </c>
      <c r="M237" s="24">
        <v>2034</v>
      </c>
      <c r="N237" s="24">
        <f>(tbl_raw[[#This Row],[Selling_Price]]-tbl_raw[[#This Row],[Cost_Price]])*tbl_raw[[#This Row],[Units_Sold]]</f>
        <v>14839</v>
      </c>
      <c r="O237" s="25">
        <f>IFERROR((tbl_raw[[#This Row],[Selling_Price]]-tbl_raw[[#This Row],[Cost_Price]]) / tbl_raw[[#This Row],[Selling_Price]],0)</f>
        <v>0.27744227353463585</v>
      </c>
      <c r="P237" s="24">
        <v>180</v>
      </c>
      <c r="Q237" s="24">
        <f>tbl_raw[[#This Row],[Gross_Profit]]-(tbl_raw[[#This Row],[Shipping_Cost]]*tbl_raw[[#This Row],[Units_Sold]])</f>
        <v>11419</v>
      </c>
      <c r="R237" s="25">
        <f>IFERROR(tbl_raw[[#This Row],[Net_Profit]]/(tbl_raw[[#This Row],[Selling_Price]]*tbl_raw[[#This Row],[Units_Sold]]),0)</f>
        <v>0.21349911190053286</v>
      </c>
      <c r="S237" s="23" t="s">
        <v>40</v>
      </c>
      <c r="T237" s="23" t="s">
        <v>32</v>
      </c>
      <c r="U237" s="23">
        <f>IF(tbl_raw[[#This Row],[Order_Status]]="Returned",1,0)</f>
        <v>0</v>
      </c>
      <c r="V237" s="23">
        <f>IF(tbl_raw[[#This Row],[Payment_Method]]="COD",1,0)</f>
        <v>1</v>
      </c>
      <c r="W237" s="26">
        <f>MIN(1,(tbl_raw[[#This Row],[Discount_Pct]]*1.4)+(tbl_raw[[#This Row],[COD_Flag]]*0.35))</f>
        <v>0.92399999999999993</v>
      </c>
    </row>
    <row r="238" spans="1:23" ht="22.8" x14ac:dyDescent="0.3">
      <c r="A238" s="17" t="s">
        <v>752</v>
      </c>
      <c r="B238" s="18" t="s">
        <v>313</v>
      </c>
      <c r="C238" s="18" t="s">
        <v>43</v>
      </c>
      <c r="D238" s="18" t="s">
        <v>44</v>
      </c>
      <c r="E238" s="18" t="s">
        <v>45</v>
      </c>
      <c r="F238" s="18" t="s">
        <v>753</v>
      </c>
      <c r="G238" s="18" t="s">
        <v>75</v>
      </c>
      <c r="H238" s="18" t="s">
        <v>48</v>
      </c>
      <c r="I238" s="18">
        <v>2</v>
      </c>
      <c r="J238" s="19">
        <v>1510</v>
      </c>
      <c r="K238" s="19">
        <v>1117</v>
      </c>
      <c r="L238" s="20">
        <v>0.26</v>
      </c>
      <c r="M238" s="19">
        <v>1038</v>
      </c>
      <c r="N238" s="19">
        <f>(tbl_raw[[#This Row],[Selling_Price]]-tbl_raw[[#This Row],[Cost_Price]])*tbl_raw[[#This Row],[Units_Sold]]</f>
        <v>158</v>
      </c>
      <c r="O238" s="20">
        <f>IFERROR((tbl_raw[[#This Row],[Selling_Price]]-tbl_raw[[#This Row],[Cost_Price]]) / tbl_raw[[#This Row],[Selling_Price]],0)</f>
        <v>7.0725156669650846E-2</v>
      </c>
      <c r="P238" s="19">
        <v>89</v>
      </c>
      <c r="Q238" s="19">
        <f>tbl_raw[[#This Row],[Gross_Profit]]-(tbl_raw[[#This Row],[Shipping_Cost]]*tbl_raw[[#This Row],[Units_Sold]])</f>
        <v>-20</v>
      </c>
      <c r="R238" s="20">
        <f>IFERROR(tbl_raw[[#This Row],[Net_Profit]]/(tbl_raw[[#This Row],[Selling_Price]]*tbl_raw[[#This Row],[Units_Sold]]),0)</f>
        <v>-8.9525514771709933E-3</v>
      </c>
      <c r="S238" s="18" t="s">
        <v>58</v>
      </c>
      <c r="T238" s="18" t="s">
        <v>32</v>
      </c>
      <c r="U238" s="18">
        <f>IF(tbl_raw[[#This Row],[Order_Status]]="Returned",1,0)</f>
        <v>0</v>
      </c>
      <c r="V238" s="18">
        <f>IF(tbl_raw[[#This Row],[Payment_Method]]="COD",1,0)</f>
        <v>0</v>
      </c>
      <c r="W238" s="21">
        <f>MIN(1,(tbl_raw[[#This Row],[Discount_Pct]]*1.4)+(tbl_raw[[#This Row],[COD_Flag]]*0.35))</f>
        <v>0.36399999999999999</v>
      </c>
    </row>
    <row r="239" spans="1:23" ht="22.8" x14ac:dyDescent="0.3">
      <c r="A239" s="22" t="s">
        <v>754</v>
      </c>
      <c r="B239" s="23" t="s">
        <v>755</v>
      </c>
      <c r="C239" s="23" t="s">
        <v>89</v>
      </c>
      <c r="D239" s="23" t="s">
        <v>164</v>
      </c>
      <c r="E239" s="23" t="s">
        <v>413</v>
      </c>
      <c r="F239" s="23" t="s">
        <v>756</v>
      </c>
      <c r="G239" s="23" t="s">
        <v>75</v>
      </c>
      <c r="H239" s="23" t="s">
        <v>48</v>
      </c>
      <c r="I239" s="23">
        <v>5</v>
      </c>
      <c r="J239" s="24">
        <v>470</v>
      </c>
      <c r="K239" s="24">
        <v>338</v>
      </c>
      <c r="L239" s="25">
        <v>0.28000000000000003</v>
      </c>
      <c r="M239" s="24">
        <v>228</v>
      </c>
      <c r="N239" s="24">
        <f>(tbl_raw[[#This Row],[Selling_Price]]-tbl_raw[[#This Row],[Cost_Price]])*tbl_raw[[#This Row],[Units_Sold]]</f>
        <v>550</v>
      </c>
      <c r="O239" s="25">
        <f>IFERROR((tbl_raw[[#This Row],[Selling_Price]]-tbl_raw[[#This Row],[Cost_Price]]) / tbl_raw[[#This Row],[Selling_Price]],0)</f>
        <v>0.32544378698224852</v>
      </c>
      <c r="P239" s="24">
        <v>74</v>
      </c>
      <c r="Q239" s="24">
        <f>tbl_raw[[#This Row],[Gross_Profit]]-(tbl_raw[[#This Row],[Shipping_Cost]]*tbl_raw[[#This Row],[Units_Sold]])</f>
        <v>180</v>
      </c>
      <c r="R239" s="25">
        <f>IFERROR(tbl_raw[[#This Row],[Net_Profit]]/(tbl_raw[[#This Row],[Selling_Price]]*tbl_raw[[#This Row],[Units_Sold]]),0)</f>
        <v>0.10650887573964497</v>
      </c>
      <c r="S239" s="23" t="s">
        <v>31</v>
      </c>
      <c r="T239" s="23" t="s">
        <v>32</v>
      </c>
      <c r="U239" s="23">
        <f>IF(tbl_raw[[#This Row],[Order_Status]]="Returned",1,0)</f>
        <v>0</v>
      </c>
      <c r="V239" s="23">
        <f>IF(tbl_raw[[#This Row],[Payment_Method]]="COD",1,0)</f>
        <v>0</v>
      </c>
      <c r="W239" s="26">
        <f>MIN(1,(tbl_raw[[#This Row],[Discount_Pct]]*1.4)+(tbl_raw[[#This Row],[COD_Flag]]*0.35))</f>
        <v>0.39200000000000002</v>
      </c>
    </row>
    <row r="240" spans="1:23" ht="22.8" x14ac:dyDescent="0.3">
      <c r="A240" s="17" t="s">
        <v>757</v>
      </c>
      <c r="B240" s="18" t="s">
        <v>378</v>
      </c>
      <c r="C240" s="18" t="s">
        <v>72</v>
      </c>
      <c r="D240" s="18" t="s">
        <v>78</v>
      </c>
      <c r="E240" s="18" t="s">
        <v>118</v>
      </c>
      <c r="F240" s="18" t="s">
        <v>758</v>
      </c>
      <c r="G240" s="18" t="s">
        <v>29</v>
      </c>
      <c r="H240" s="18" t="s">
        <v>30</v>
      </c>
      <c r="I240" s="18">
        <v>17</v>
      </c>
      <c r="J240" s="19">
        <v>2143</v>
      </c>
      <c r="K240" s="19">
        <v>1179</v>
      </c>
      <c r="L240" s="20">
        <v>0.45</v>
      </c>
      <c r="M240" s="19">
        <v>1265</v>
      </c>
      <c r="N240" s="19">
        <f>(tbl_raw[[#This Row],[Selling_Price]]-tbl_raw[[#This Row],[Cost_Price]])*tbl_raw[[#This Row],[Units_Sold]]</f>
        <v>-1462</v>
      </c>
      <c r="O240" s="20">
        <f>IFERROR((tbl_raw[[#This Row],[Selling_Price]]-tbl_raw[[#This Row],[Cost_Price]]) / tbl_raw[[#This Row],[Selling_Price]],0)</f>
        <v>-7.2943172179813401E-2</v>
      </c>
      <c r="P240" s="19">
        <v>33</v>
      </c>
      <c r="Q240" s="19">
        <f>tbl_raw[[#This Row],[Gross_Profit]]-(tbl_raw[[#This Row],[Shipping_Cost]]*tbl_raw[[#This Row],[Units_Sold]])</f>
        <v>-2023</v>
      </c>
      <c r="R240" s="20">
        <f>IFERROR(tbl_raw[[#This Row],[Net_Profit]]/(tbl_raw[[#This Row],[Selling_Price]]*tbl_raw[[#This Row],[Units_Sold]]),0)</f>
        <v>-0.10093299406276506</v>
      </c>
      <c r="S240" s="18" t="s">
        <v>31</v>
      </c>
      <c r="T240" s="18" t="s">
        <v>32</v>
      </c>
      <c r="U240" s="18">
        <f>IF(tbl_raw[[#This Row],[Order_Status]]="Returned",1,0)</f>
        <v>0</v>
      </c>
      <c r="V240" s="18">
        <f>IF(tbl_raw[[#This Row],[Payment_Method]]="COD",1,0)</f>
        <v>0</v>
      </c>
      <c r="W240" s="21">
        <f>MIN(1,(tbl_raw[[#This Row],[Discount_Pct]]*1.4)+(tbl_raw[[#This Row],[COD_Flag]]*0.35))</f>
        <v>0.63</v>
      </c>
    </row>
    <row r="241" spans="1:23" ht="22.8" x14ac:dyDescent="0.3">
      <c r="A241" s="22" t="s">
        <v>759</v>
      </c>
      <c r="B241" s="23" t="s">
        <v>459</v>
      </c>
      <c r="C241" s="23" t="s">
        <v>105</v>
      </c>
      <c r="D241" s="23" t="s">
        <v>62</v>
      </c>
      <c r="E241" s="23" t="s">
        <v>63</v>
      </c>
      <c r="F241" s="23" t="s">
        <v>760</v>
      </c>
      <c r="G241" s="23" t="s">
        <v>38</v>
      </c>
      <c r="H241" s="23" t="s">
        <v>39</v>
      </c>
      <c r="I241" s="23">
        <v>11</v>
      </c>
      <c r="J241" s="24">
        <v>3229</v>
      </c>
      <c r="K241" s="24">
        <v>2971</v>
      </c>
      <c r="L241" s="25">
        <v>0.08</v>
      </c>
      <c r="M241" s="24">
        <v>1652</v>
      </c>
      <c r="N241" s="24">
        <f>(tbl_raw[[#This Row],[Selling_Price]]-tbl_raw[[#This Row],[Cost_Price]])*tbl_raw[[#This Row],[Units_Sold]]</f>
        <v>14509</v>
      </c>
      <c r="O241" s="25">
        <f>IFERROR((tbl_raw[[#This Row],[Selling_Price]]-tbl_raw[[#This Row],[Cost_Price]]) / tbl_raw[[#This Row],[Selling_Price]],0)</f>
        <v>0.44395826321104004</v>
      </c>
      <c r="P241" s="24">
        <v>63</v>
      </c>
      <c r="Q241" s="24">
        <f>tbl_raw[[#This Row],[Gross_Profit]]-(tbl_raw[[#This Row],[Shipping_Cost]]*tbl_raw[[#This Row],[Units_Sold]])</f>
        <v>13816</v>
      </c>
      <c r="R241" s="25">
        <f>IFERROR(tbl_raw[[#This Row],[Net_Profit]]/(tbl_raw[[#This Row],[Selling_Price]]*tbl_raw[[#This Row],[Units_Sold]]),0)</f>
        <v>0.42275328172332549</v>
      </c>
      <c r="S241" s="23" t="s">
        <v>107</v>
      </c>
      <c r="T241" s="23" t="s">
        <v>49</v>
      </c>
      <c r="U241" s="23">
        <f>IF(tbl_raw[[#This Row],[Order_Status]]="Returned",1,0)</f>
        <v>0</v>
      </c>
      <c r="V241" s="23">
        <f>IF(tbl_raw[[#This Row],[Payment_Method]]="COD",1,0)</f>
        <v>0</v>
      </c>
      <c r="W241" s="26">
        <f>MIN(1,(tbl_raw[[#This Row],[Discount_Pct]]*1.4)+(tbl_raw[[#This Row],[COD_Flag]]*0.35))</f>
        <v>0.11199999999999999</v>
      </c>
    </row>
    <row r="242" spans="1:23" ht="22.8" x14ac:dyDescent="0.3">
      <c r="A242" s="17" t="s">
        <v>761</v>
      </c>
      <c r="B242" s="18" t="s">
        <v>762</v>
      </c>
      <c r="C242" s="18" t="s">
        <v>105</v>
      </c>
      <c r="D242" s="18" t="s">
        <v>94</v>
      </c>
      <c r="E242" s="18" t="s">
        <v>95</v>
      </c>
      <c r="F242" s="18" t="s">
        <v>763</v>
      </c>
      <c r="G242" s="18" t="s">
        <v>29</v>
      </c>
      <c r="H242" s="18" t="s">
        <v>30</v>
      </c>
      <c r="I242" s="18">
        <v>8</v>
      </c>
      <c r="J242" s="19">
        <v>2279</v>
      </c>
      <c r="K242" s="19">
        <v>1436</v>
      </c>
      <c r="L242" s="20">
        <v>0.37</v>
      </c>
      <c r="M242" s="19">
        <v>1643</v>
      </c>
      <c r="N242" s="19">
        <f>(tbl_raw[[#This Row],[Selling_Price]]-tbl_raw[[#This Row],[Cost_Price]])*tbl_raw[[#This Row],[Units_Sold]]</f>
        <v>-1656</v>
      </c>
      <c r="O242" s="20">
        <f>IFERROR((tbl_raw[[#This Row],[Selling_Price]]-tbl_raw[[#This Row],[Cost_Price]]) / tbl_raw[[#This Row],[Selling_Price]],0)</f>
        <v>-0.14415041782729804</v>
      </c>
      <c r="P242" s="19">
        <v>38</v>
      </c>
      <c r="Q242" s="19">
        <f>tbl_raw[[#This Row],[Gross_Profit]]-(tbl_raw[[#This Row],[Shipping_Cost]]*tbl_raw[[#This Row],[Units_Sold]])</f>
        <v>-1960</v>
      </c>
      <c r="R242" s="20">
        <f>IFERROR(tbl_raw[[#This Row],[Net_Profit]]/(tbl_raw[[#This Row],[Selling_Price]]*tbl_raw[[#This Row],[Units_Sold]]),0)</f>
        <v>-0.17061281337047354</v>
      </c>
      <c r="S242" s="18" t="s">
        <v>40</v>
      </c>
      <c r="T242" s="18" t="s">
        <v>49</v>
      </c>
      <c r="U242" s="18">
        <f>IF(tbl_raw[[#This Row],[Order_Status]]="Returned",1,0)</f>
        <v>0</v>
      </c>
      <c r="V242" s="18">
        <f>IF(tbl_raw[[#This Row],[Payment_Method]]="COD",1,0)</f>
        <v>1</v>
      </c>
      <c r="W242" s="21">
        <f>MIN(1,(tbl_raw[[#This Row],[Discount_Pct]]*1.4)+(tbl_raw[[#This Row],[COD_Flag]]*0.35))</f>
        <v>0.86799999999999999</v>
      </c>
    </row>
    <row r="243" spans="1:23" ht="22.8" x14ac:dyDescent="0.3">
      <c r="A243" s="22" t="s">
        <v>764</v>
      </c>
      <c r="B243" s="23" t="s">
        <v>765</v>
      </c>
      <c r="C243" s="23" t="s">
        <v>52</v>
      </c>
      <c r="D243" s="23" t="s">
        <v>164</v>
      </c>
      <c r="E243" s="23" t="s">
        <v>165</v>
      </c>
      <c r="F243" s="23" t="s">
        <v>766</v>
      </c>
      <c r="G243" s="23" t="s">
        <v>102</v>
      </c>
      <c r="H243" s="23" t="s">
        <v>39</v>
      </c>
      <c r="I243" s="23">
        <v>11</v>
      </c>
      <c r="J243" s="24">
        <v>6488</v>
      </c>
      <c r="K243" s="24">
        <v>4477</v>
      </c>
      <c r="L243" s="25">
        <v>0.31</v>
      </c>
      <c r="M243" s="24">
        <v>4671</v>
      </c>
      <c r="N243" s="24">
        <f>(tbl_raw[[#This Row],[Selling_Price]]-tbl_raw[[#This Row],[Cost_Price]])*tbl_raw[[#This Row],[Units_Sold]]</f>
        <v>-2134</v>
      </c>
      <c r="O243" s="25">
        <f>IFERROR((tbl_raw[[#This Row],[Selling_Price]]-tbl_raw[[#This Row],[Cost_Price]]) / tbl_raw[[#This Row],[Selling_Price]],0)</f>
        <v>-4.3332588787134245E-2</v>
      </c>
      <c r="P243" s="24">
        <v>34</v>
      </c>
      <c r="Q243" s="24">
        <f>tbl_raw[[#This Row],[Gross_Profit]]-(tbl_raw[[#This Row],[Shipping_Cost]]*tbl_raw[[#This Row],[Units_Sold]])</f>
        <v>-2508</v>
      </c>
      <c r="R243" s="25">
        <f>IFERROR(tbl_raw[[#This Row],[Net_Profit]]/(tbl_raw[[#This Row],[Selling_Price]]*tbl_raw[[#This Row],[Units_Sold]]),0)</f>
        <v>-5.0926960017869109E-2</v>
      </c>
      <c r="S243" s="23" t="s">
        <v>107</v>
      </c>
      <c r="T243" s="23" t="s">
        <v>32</v>
      </c>
      <c r="U243" s="23">
        <f>IF(tbl_raw[[#This Row],[Order_Status]]="Returned",1,0)</f>
        <v>0</v>
      </c>
      <c r="V243" s="23">
        <f>IF(tbl_raw[[#This Row],[Payment_Method]]="COD",1,0)</f>
        <v>0</v>
      </c>
      <c r="W243" s="26">
        <f>MIN(1,(tbl_raw[[#This Row],[Discount_Pct]]*1.4)+(tbl_raw[[#This Row],[COD_Flag]]*0.35))</f>
        <v>0.434</v>
      </c>
    </row>
    <row r="244" spans="1:23" ht="22.8" x14ac:dyDescent="0.3">
      <c r="A244" s="17" t="s">
        <v>767</v>
      </c>
      <c r="B244" s="18" t="s">
        <v>768</v>
      </c>
      <c r="C244" s="18" t="s">
        <v>199</v>
      </c>
      <c r="D244" s="18" t="s">
        <v>62</v>
      </c>
      <c r="E244" s="18" t="s">
        <v>133</v>
      </c>
      <c r="F244" s="18" t="s">
        <v>769</v>
      </c>
      <c r="G244" s="18" t="s">
        <v>81</v>
      </c>
      <c r="H244" s="18" t="s">
        <v>30</v>
      </c>
      <c r="I244" s="18">
        <v>16</v>
      </c>
      <c r="J244" s="19">
        <v>496</v>
      </c>
      <c r="K244" s="19">
        <v>481</v>
      </c>
      <c r="L244" s="20">
        <v>0.03</v>
      </c>
      <c r="M244" s="19">
        <v>303</v>
      </c>
      <c r="N244" s="19">
        <f>(tbl_raw[[#This Row],[Selling_Price]]-tbl_raw[[#This Row],[Cost_Price]])*tbl_raw[[#This Row],[Units_Sold]]</f>
        <v>2848</v>
      </c>
      <c r="O244" s="20">
        <f>IFERROR((tbl_raw[[#This Row],[Selling_Price]]-tbl_raw[[#This Row],[Cost_Price]]) / tbl_raw[[#This Row],[Selling_Price]],0)</f>
        <v>0.37006237006237008</v>
      </c>
      <c r="P244" s="19">
        <v>33</v>
      </c>
      <c r="Q244" s="19">
        <f>tbl_raw[[#This Row],[Gross_Profit]]-(tbl_raw[[#This Row],[Shipping_Cost]]*tbl_raw[[#This Row],[Units_Sold]])</f>
        <v>2320</v>
      </c>
      <c r="R244" s="20">
        <f>IFERROR(tbl_raw[[#This Row],[Net_Profit]]/(tbl_raw[[#This Row],[Selling_Price]]*tbl_raw[[#This Row],[Units_Sold]]),0)</f>
        <v>0.30145530145530147</v>
      </c>
      <c r="S244" s="18" t="s">
        <v>31</v>
      </c>
      <c r="T244" s="18" t="s">
        <v>49</v>
      </c>
      <c r="U244" s="18">
        <f>IF(tbl_raw[[#This Row],[Order_Status]]="Returned",1,0)</f>
        <v>0</v>
      </c>
      <c r="V244" s="18">
        <f>IF(tbl_raw[[#This Row],[Payment_Method]]="COD",1,0)</f>
        <v>0</v>
      </c>
      <c r="W244" s="21">
        <f>MIN(1,(tbl_raw[[#This Row],[Discount_Pct]]*1.4)+(tbl_raw[[#This Row],[COD_Flag]]*0.35))</f>
        <v>4.1999999999999996E-2</v>
      </c>
    </row>
    <row r="245" spans="1:23" ht="22.8" x14ac:dyDescent="0.3">
      <c r="A245" s="22" t="s">
        <v>770</v>
      </c>
      <c r="B245" s="23" t="s">
        <v>651</v>
      </c>
      <c r="C245" s="23" t="s">
        <v>35</v>
      </c>
      <c r="D245" s="23" t="s">
        <v>164</v>
      </c>
      <c r="E245" s="23" t="s">
        <v>413</v>
      </c>
      <c r="F245" s="23" t="s">
        <v>771</v>
      </c>
      <c r="G245" s="23" t="s">
        <v>81</v>
      </c>
      <c r="H245" s="23" t="s">
        <v>30</v>
      </c>
      <c r="I245" s="23">
        <v>11</v>
      </c>
      <c r="J245" s="24">
        <v>665</v>
      </c>
      <c r="K245" s="24">
        <v>618</v>
      </c>
      <c r="L245" s="25">
        <v>7.0000000000000007E-2</v>
      </c>
      <c r="M245" s="24">
        <v>430</v>
      </c>
      <c r="N245" s="24">
        <f>(tbl_raw[[#This Row],[Selling_Price]]-tbl_raw[[#This Row],[Cost_Price]])*tbl_raw[[#This Row],[Units_Sold]]</f>
        <v>2068</v>
      </c>
      <c r="O245" s="25">
        <f>IFERROR((tbl_raw[[#This Row],[Selling_Price]]-tbl_raw[[#This Row],[Cost_Price]]) / tbl_raw[[#This Row],[Selling_Price]],0)</f>
        <v>0.30420711974110032</v>
      </c>
      <c r="P245" s="24">
        <v>51</v>
      </c>
      <c r="Q245" s="24">
        <f>tbl_raw[[#This Row],[Gross_Profit]]-(tbl_raw[[#This Row],[Shipping_Cost]]*tbl_raw[[#This Row],[Units_Sold]])</f>
        <v>1507</v>
      </c>
      <c r="R245" s="25">
        <f>IFERROR(tbl_raw[[#This Row],[Net_Profit]]/(tbl_raw[[#This Row],[Selling_Price]]*tbl_raw[[#This Row],[Units_Sold]]),0)</f>
        <v>0.22168284789644013</v>
      </c>
      <c r="S245" s="23" t="s">
        <v>58</v>
      </c>
      <c r="T245" s="23" t="s">
        <v>59</v>
      </c>
      <c r="U245" s="23">
        <f>IF(tbl_raw[[#This Row],[Order_Status]]="Returned",1,0)</f>
        <v>0</v>
      </c>
      <c r="V245" s="23">
        <f>IF(tbl_raw[[#This Row],[Payment_Method]]="COD",1,0)</f>
        <v>0</v>
      </c>
      <c r="W245" s="26">
        <f>MIN(1,(tbl_raw[[#This Row],[Discount_Pct]]*1.4)+(tbl_raw[[#This Row],[COD_Flag]]*0.35))</f>
        <v>9.8000000000000004E-2</v>
      </c>
    </row>
    <row r="246" spans="1:23" ht="22.8" x14ac:dyDescent="0.3">
      <c r="A246" s="17" t="s">
        <v>772</v>
      </c>
      <c r="B246" s="18" t="s">
        <v>773</v>
      </c>
      <c r="C246" s="18" t="s">
        <v>72</v>
      </c>
      <c r="D246" s="18" t="s">
        <v>78</v>
      </c>
      <c r="E246" s="18" t="s">
        <v>84</v>
      </c>
      <c r="F246" s="18" t="s">
        <v>774</v>
      </c>
      <c r="G246" s="18" t="s">
        <v>56</v>
      </c>
      <c r="H246" s="18" t="s">
        <v>57</v>
      </c>
      <c r="I246" s="18">
        <v>10</v>
      </c>
      <c r="J246" s="19">
        <v>2716</v>
      </c>
      <c r="K246" s="19">
        <v>1521</v>
      </c>
      <c r="L246" s="20">
        <v>0.44</v>
      </c>
      <c r="M246" s="19">
        <v>1783</v>
      </c>
      <c r="N246" s="19">
        <f>(tbl_raw[[#This Row],[Selling_Price]]-tbl_raw[[#This Row],[Cost_Price]])*tbl_raw[[#This Row],[Units_Sold]]</f>
        <v>-2620</v>
      </c>
      <c r="O246" s="20">
        <f>IFERROR((tbl_raw[[#This Row],[Selling_Price]]-tbl_raw[[#This Row],[Cost_Price]]) / tbl_raw[[#This Row],[Selling_Price]],0)</f>
        <v>-0.17225509533201841</v>
      </c>
      <c r="P246" s="19">
        <v>96</v>
      </c>
      <c r="Q246" s="19">
        <f>tbl_raw[[#This Row],[Gross_Profit]]-(tbl_raw[[#This Row],[Shipping_Cost]]*tbl_raw[[#This Row],[Units_Sold]])</f>
        <v>-3580</v>
      </c>
      <c r="R246" s="20">
        <f>IFERROR(tbl_raw[[#This Row],[Net_Profit]]/(tbl_raw[[#This Row],[Selling_Price]]*tbl_raw[[#This Row],[Units_Sold]]),0)</f>
        <v>-0.2353714661406969</v>
      </c>
      <c r="S246" s="18" t="s">
        <v>31</v>
      </c>
      <c r="T246" s="18" t="s">
        <v>32</v>
      </c>
      <c r="U246" s="18">
        <f>IF(tbl_raw[[#This Row],[Order_Status]]="Returned",1,0)</f>
        <v>0</v>
      </c>
      <c r="V246" s="18">
        <f>IF(tbl_raw[[#This Row],[Payment_Method]]="COD",1,0)</f>
        <v>0</v>
      </c>
      <c r="W246" s="21">
        <f>MIN(1,(tbl_raw[[#This Row],[Discount_Pct]]*1.4)+(tbl_raw[[#This Row],[COD_Flag]]*0.35))</f>
        <v>0.61599999999999999</v>
      </c>
    </row>
    <row r="247" spans="1:23" ht="22.8" x14ac:dyDescent="0.3">
      <c r="A247" s="22" t="s">
        <v>775</v>
      </c>
      <c r="B247" s="23" t="s">
        <v>776</v>
      </c>
      <c r="C247" s="23" t="s">
        <v>105</v>
      </c>
      <c r="D247" s="23" t="s">
        <v>44</v>
      </c>
      <c r="E247" s="23" t="s">
        <v>73</v>
      </c>
      <c r="F247" s="23" t="s">
        <v>777</v>
      </c>
      <c r="G247" s="23" t="s">
        <v>102</v>
      </c>
      <c r="H247" s="23" t="s">
        <v>39</v>
      </c>
      <c r="I247" s="23">
        <v>6</v>
      </c>
      <c r="J247" s="24">
        <v>3151</v>
      </c>
      <c r="K247" s="24">
        <v>2111</v>
      </c>
      <c r="L247" s="25">
        <v>0.33</v>
      </c>
      <c r="M247" s="24">
        <v>1585</v>
      </c>
      <c r="N247" s="24">
        <f>(tbl_raw[[#This Row],[Selling_Price]]-tbl_raw[[#This Row],[Cost_Price]])*tbl_raw[[#This Row],[Units_Sold]]</f>
        <v>3156</v>
      </c>
      <c r="O247" s="25">
        <f>IFERROR((tbl_raw[[#This Row],[Selling_Price]]-tbl_raw[[#This Row],[Cost_Price]]) / tbl_raw[[#This Row],[Selling_Price]],0)</f>
        <v>0.2491710090004737</v>
      </c>
      <c r="P247" s="24">
        <v>57</v>
      </c>
      <c r="Q247" s="24">
        <f>tbl_raw[[#This Row],[Gross_Profit]]-(tbl_raw[[#This Row],[Shipping_Cost]]*tbl_raw[[#This Row],[Units_Sold]])</f>
        <v>2814</v>
      </c>
      <c r="R247" s="25">
        <f>IFERROR(tbl_raw[[#This Row],[Net_Profit]]/(tbl_raw[[#This Row],[Selling_Price]]*tbl_raw[[#This Row],[Units_Sold]]),0)</f>
        <v>0.22216958787304594</v>
      </c>
      <c r="S247" s="23" t="s">
        <v>58</v>
      </c>
      <c r="T247" s="23" t="s">
        <v>49</v>
      </c>
      <c r="U247" s="23">
        <f>IF(tbl_raw[[#This Row],[Order_Status]]="Returned",1,0)</f>
        <v>0</v>
      </c>
      <c r="V247" s="23">
        <f>IF(tbl_raw[[#This Row],[Payment_Method]]="COD",1,0)</f>
        <v>0</v>
      </c>
      <c r="W247" s="26">
        <f>MIN(1,(tbl_raw[[#This Row],[Discount_Pct]]*1.4)+(tbl_raw[[#This Row],[COD_Flag]]*0.35))</f>
        <v>0.46199999999999997</v>
      </c>
    </row>
    <row r="248" spans="1:23" ht="22.8" x14ac:dyDescent="0.3">
      <c r="A248" s="17" t="s">
        <v>778</v>
      </c>
      <c r="B248" s="18" t="s">
        <v>779</v>
      </c>
      <c r="C248" s="18" t="s">
        <v>52</v>
      </c>
      <c r="D248" s="18" t="s">
        <v>26</v>
      </c>
      <c r="E248" s="18" t="s">
        <v>100</v>
      </c>
      <c r="F248" s="18" t="s">
        <v>780</v>
      </c>
      <c r="G248" s="18" t="s">
        <v>56</v>
      </c>
      <c r="H248" s="18" t="s">
        <v>57</v>
      </c>
      <c r="I248" s="18">
        <v>20</v>
      </c>
      <c r="J248" s="19">
        <v>1923</v>
      </c>
      <c r="K248" s="19">
        <v>1442</v>
      </c>
      <c r="L248" s="20">
        <v>0.25</v>
      </c>
      <c r="M248" s="19">
        <v>1400</v>
      </c>
      <c r="N248" s="19">
        <f>(tbl_raw[[#This Row],[Selling_Price]]-tbl_raw[[#This Row],[Cost_Price]])*tbl_raw[[#This Row],[Units_Sold]]</f>
        <v>840</v>
      </c>
      <c r="O248" s="20">
        <f>IFERROR((tbl_raw[[#This Row],[Selling_Price]]-tbl_raw[[#This Row],[Cost_Price]]) / tbl_raw[[#This Row],[Selling_Price]],0)</f>
        <v>2.9126213592233011E-2</v>
      </c>
      <c r="P248" s="19">
        <v>51</v>
      </c>
      <c r="Q248" s="19">
        <f>tbl_raw[[#This Row],[Gross_Profit]]-(tbl_raw[[#This Row],[Shipping_Cost]]*tbl_raw[[#This Row],[Units_Sold]])</f>
        <v>-180</v>
      </c>
      <c r="R248" s="20">
        <f>IFERROR(tbl_raw[[#This Row],[Net_Profit]]/(tbl_raw[[#This Row],[Selling_Price]]*tbl_raw[[#This Row],[Units_Sold]]),0)</f>
        <v>-6.2413314840499305E-3</v>
      </c>
      <c r="S248" s="18" t="s">
        <v>58</v>
      </c>
      <c r="T248" s="18" t="s">
        <v>49</v>
      </c>
      <c r="U248" s="18">
        <f>IF(tbl_raw[[#This Row],[Order_Status]]="Returned",1,0)</f>
        <v>0</v>
      </c>
      <c r="V248" s="18">
        <f>IF(tbl_raw[[#This Row],[Payment_Method]]="COD",1,0)</f>
        <v>0</v>
      </c>
      <c r="W248" s="21">
        <f>MIN(1,(tbl_raw[[#This Row],[Discount_Pct]]*1.4)+(tbl_raw[[#This Row],[COD_Flag]]*0.35))</f>
        <v>0.35</v>
      </c>
    </row>
    <row r="249" spans="1:23" ht="22.8" x14ac:dyDescent="0.3">
      <c r="A249" s="22" t="s">
        <v>781</v>
      </c>
      <c r="B249" s="23" t="s">
        <v>481</v>
      </c>
      <c r="C249" s="23" t="s">
        <v>43</v>
      </c>
      <c r="D249" s="23" t="s">
        <v>175</v>
      </c>
      <c r="E249" s="23" t="s">
        <v>190</v>
      </c>
      <c r="F249" s="23" t="s">
        <v>782</v>
      </c>
      <c r="G249" s="23" t="s">
        <v>139</v>
      </c>
      <c r="H249" s="23" t="s">
        <v>48</v>
      </c>
      <c r="I249" s="23">
        <v>9</v>
      </c>
      <c r="J249" s="24">
        <v>1836</v>
      </c>
      <c r="K249" s="24">
        <v>1267</v>
      </c>
      <c r="L249" s="25">
        <v>0.31</v>
      </c>
      <c r="M249" s="24">
        <v>960</v>
      </c>
      <c r="N249" s="24">
        <f>(tbl_raw[[#This Row],[Selling_Price]]-tbl_raw[[#This Row],[Cost_Price]])*tbl_raw[[#This Row],[Units_Sold]]</f>
        <v>2763</v>
      </c>
      <c r="O249" s="25">
        <f>IFERROR((tbl_raw[[#This Row],[Selling_Price]]-tbl_raw[[#This Row],[Cost_Price]]) / tbl_raw[[#This Row],[Selling_Price]],0)</f>
        <v>0.24230465666929754</v>
      </c>
      <c r="P249" s="24">
        <v>148</v>
      </c>
      <c r="Q249" s="24">
        <f>tbl_raw[[#This Row],[Gross_Profit]]-(tbl_raw[[#This Row],[Shipping_Cost]]*tbl_raw[[#This Row],[Units_Sold]])</f>
        <v>1431</v>
      </c>
      <c r="R249" s="25">
        <f>IFERROR(tbl_raw[[#This Row],[Net_Profit]]/(tbl_raw[[#This Row],[Selling_Price]]*tbl_raw[[#This Row],[Units_Sold]]),0)</f>
        <v>0.1254932912391476</v>
      </c>
      <c r="S249" s="23" t="s">
        <v>58</v>
      </c>
      <c r="T249" s="23" t="s">
        <v>32</v>
      </c>
      <c r="U249" s="23">
        <f>IF(tbl_raw[[#This Row],[Order_Status]]="Returned",1,0)</f>
        <v>0</v>
      </c>
      <c r="V249" s="23">
        <f>IF(tbl_raw[[#This Row],[Payment_Method]]="COD",1,0)</f>
        <v>0</v>
      </c>
      <c r="W249" s="26">
        <f>MIN(1,(tbl_raw[[#This Row],[Discount_Pct]]*1.4)+(tbl_raw[[#This Row],[COD_Flag]]*0.35))</f>
        <v>0.434</v>
      </c>
    </row>
    <row r="250" spans="1:23" ht="22.8" x14ac:dyDescent="0.3">
      <c r="A250" s="17" t="s">
        <v>783</v>
      </c>
      <c r="B250" s="18" t="s">
        <v>622</v>
      </c>
      <c r="C250" s="18" t="s">
        <v>52</v>
      </c>
      <c r="D250" s="18" t="s">
        <v>78</v>
      </c>
      <c r="E250" s="18" t="s">
        <v>534</v>
      </c>
      <c r="F250" s="18" t="s">
        <v>784</v>
      </c>
      <c r="G250" s="18" t="s">
        <v>56</v>
      </c>
      <c r="H250" s="18" t="s">
        <v>57</v>
      </c>
      <c r="I250" s="18">
        <v>18</v>
      </c>
      <c r="J250" s="19">
        <v>3128</v>
      </c>
      <c r="K250" s="19">
        <v>1971</v>
      </c>
      <c r="L250" s="20">
        <v>0.37</v>
      </c>
      <c r="M250" s="19">
        <v>2115</v>
      </c>
      <c r="N250" s="19">
        <f>(tbl_raw[[#This Row],[Selling_Price]]-tbl_raw[[#This Row],[Cost_Price]])*tbl_raw[[#This Row],[Units_Sold]]</f>
        <v>-2592</v>
      </c>
      <c r="O250" s="20">
        <f>IFERROR((tbl_raw[[#This Row],[Selling_Price]]-tbl_raw[[#This Row],[Cost_Price]]) / tbl_raw[[#This Row],[Selling_Price]],0)</f>
        <v>-7.3059360730593603E-2</v>
      </c>
      <c r="P250" s="19">
        <v>117</v>
      </c>
      <c r="Q250" s="19">
        <f>tbl_raw[[#This Row],[Gross_Profit]]-(tbl_raw[[#This Row],[Shipping_Cost]]*tbl_raw[[#This Row],[Units_Sold]])</f>
        <v>-4698</v>
      </c>
      <c r="R250" s="20">
        <f>IFERROR(tbl_raw[[#This Row],[Net_Profit]]/(tbl_raw[[#This Row],[Selling_Price]]*tbl_raw[[#This Row],[Units_Sold]]),0)</f>
        <v>-0.13242009132420091</v>
      </c>
      <c r="S250" s="18" t="s">
        <v>40</v>
      </c>
      <c r="T250" s="18" t="s">
        <v>32</v>
      </c>
      <c r="U250" s="18">
        <f>IF(tbl_raw[[#This Row],[Order_Status]]="Returned",1,0)</f>
        <v>0</v>
      </c>
      <c r="V250" s="18">
        <f>IF(tbl_raw[[#This Row],[Payment_Method]]="COD",1,0)</f>
        <v>1</v>
      </c>
      <c r="W250" s="21">
        <f>MIN(1,(tbl_raw[[#This Row],[Discount_Pct]]*1.4)+(tbl_raw[[#This Row],[COD_Flag]]*0.35))</f>
        <v>0.86799999999999999</v>
      </c>
    </row>
    <row r="251" spans="1:23" ht="22.8" x14ac:dyDescent="0.3">
      <c r="A251" s="22" t="s">
        <v>785</v>
      </c>
      <c r="B251" s="23" t="s">
        <v>186</v>
      </c>
      <c r="C251" s="23" t="s">
        <v>132</v>
      </c>
      <c r="D251" s="23" t="s">
        <v>26</v>
      </c>
      <c r="E251" s="23" t="s">
        <v>27</v>
      </c>
      <c r="F251" s="23" t="s">
        <v>786</v>
      </c>
      <c r="G251" s="23" t="s">
        <v>120</v>
      </c>
      <c r="H251" s="23" t="s">
        <v>39</v>
      </c>
      <c r="I251" s="23">
        <v>3</v>
      </c>
      <c r="J251" s="24">
        <v>2866</v>
      </c>
      <c r="K251" s="24">
        <v>1720</v>
      </c>
      <c r="L251" s="25">
        <v>0.4</v>
      </c>
      <c r="M251" s="24">
        <v>1308</v>
      </c>
      <c r="N251" s="24">
        <f>(tbl_raw[[#This Row],[Selling_Price]]-tbl_raw[[#This Row],[Cost_Price]])*tbl_raw[[#This Row],[Units_Sold]]</f>
        <v>1236</v>
      </c>
      <c r="O251" s="25">
        <f>IFERROR((tbl_raw[[#This Row],[Selling_Price]]-tbl_raw[[#This Row],[Cost_Price]]) / tbl_raw[[#This Row],[Selling_Price]],0)</f>
        <v>0.23953488372093024</v>
      </c>
      <c r="P251" s="24">
        <v>41</v>
      </c>
      <c r="Q251" s="24">
        <f>tbl_raw[[#This Row],[Gross_Profit]]-(tbl_raw[[#This Row],[Shipping_Cost]]*tbl_raw[[#This Row],[Units_Sold]])</f>
        <v>1113</v>
      </c>
      <c r="R251" s="25">
        <f>IFERROR(tbl_raw[[#This Row],[Net_Profit]]/(tbl_raw[[#This Row],[Selling_Price]]*tbl_raw[[#This Row],[Units_Sold]]),0)</f>
        <v>0.21569767441860466</v>
      </c>
      <c r="S251" s="23" t="s">
        <v>58</v>
      </c>
      <c r="T251" s="23" t="s">
        <v>49</v>
      </c>
      <c r="U251" s="23">
        <f>IF(tbl_raw[[#This Row],[Order_Status]]="Returned",1,0)</f>
        <v>0</v>
      </c>
      <c r="V251" s="23">
        <f>IF(tbl_raw[[#This Row],[Payment_Method]]="COD",1,0)</f>
        <v>0</v>
      </c>
      <c r="W251" s="26">
        <f>MIN(1,(tbl_raw[[#This Row],[Discount_Pct]]*1.4)+(tbl_raw[[#This Row],[COD_Flag]]*0.35))</f>
        <v>0.55999999999999994</v>
      </c>
    </row>
    <row r="252" spans="1:23" ht="22.8" x14ac:dyDescent="0.3">
      <c r="A252" s="17" t="s">
        <v>787</v>
      </c>
      <c r="B252" s="18" t="s">
        <v>788</v>
      </c>
      <c r="C252" s="18" t="s">
        <v>117</v>
      </c>
      <c r="D252" s="18" t="s">
        <v>26</v>
      </c>
      <c r="E252" s="18" t="s">
        <v>168</v>
      </c>
      <c r="F252" s="18" t="s">
        <v>789</v>
      </c>
      <c r="G252" s="18" t="s">
        <v>81</v>
      </c>
      <c r="H252" s="18" t="s">
        <v>30</v>
      </c>
      <c r="I252" s="18">
        <v>20</v>
      </c>
      <c r="J252" s="19">
        <v>7140</v>
      </c>
      <c r="K252" s="19">
        <v>6640</v>
      </c>
      <c r="L252" s="20">
        <v>7.0000000000000007E-2</v>
      </c>
      <c r="M252" s="19">
        <v>3109</v>
      </c>
      <c r="N252" s="19">
        <f>(tbl_raw[[#This Row],[Selling_Price]]-tbl_raw[[#This Row],[Cost_Price]])*tbl_raw[[#This Row],[Units_Sold]]</f>
        <v>70620</v>
      </c>
      <c r="O252" s="20">
        <f>IFERROR((tbl_raw[[#This Row],[Selling_Price]]-tbl_raw[[#This Row],[Cost_Price]]) / tbl_raw[[#This Row],[Selling_Price]],0)</f>
        <v>0.53177710843373494</v>
      </c>
      <c r="P252" s="19">
        <v>61</v>
      </c>
      <c r="Q252" s="19">
        <f>tbl_raw[[#This Row],[Gross_Profit]]-(tbl_raw[[#This Row],[Shipping_Cost]]*tbl_raw[[#This Row],[Units_Sold]])</f>
        <v>69400</v>
      </c>
      <c r="R252" s="20">
        <f>IFERROR(tbl_raw[[#This Row],[Net_Profit]]/(tbl_raw[[#This Row],[Selling_Price]]*tbl_raw[[#This Row],[Units_Sold]]),0)</f>
        <v>0.52259036144578308</v>
      </c>
      <c r="S252" s="18" t="s">
        <v>40</v>
      </c>
      <c r="T252" s="18" t="s">
        <v>32</v>
      </c>
      <c r="U252" s="18">
        <f>IF(tbl_raw[[#This Row],[Order_Status]]="Returned",1,0)</f>
        <v>0</v>
      </c>
      <c r="V252" s="18">
        <f>IF(tbl_raw[[#This Row],[Payment_Method]]="COD",1,0)</f>
        <v>1</v>
      </c>
      <c r="W252" s="21">
        <f>MIN(1,(tbl_raw[[#This Row],[Discount_Pct]]*1.4)+(tbl_raw[[#This Row],[COD_Flag]]*0.35))</f>
        <v>0.44799999999999995</v>
      </c>
    </row>
    <row r="253" spans="1:23" ht="22.8" x14ac:dyDescent="0.3">
      <c r="A253" s="22" t="s">
        <v>790</v>
      </c>
      <c r="B253" s="23" t="s">
        <v>563</v>
      </c>
      <c r="C253" s="23" t="s">
        <v>156</v>
      </c>
      <c r="D253" s="23" t="s">
        <v>53</v>
      </c>
      <c r="E253" s="23" t="s">
        <v>160</v>
      </c>
      <c r="F253" s="23" t="s">
        <v>791</v>
      </c>
      <c r="G253" s="23" t="s">
        <v>29</v>
      </c>
      <c r="H253" s="23" t="s">
        <v>30</v>
      </c>
      <c r="I253" s="23">
        <v>4</v>
      </c>
      <c r="J253" s="24">
        <v>587</v>
      </c>
      <c r="K253" s="24">
        <v>434</v>
      </c>
      <c r="L253" s="25">
        <v>0.26</v>
      </c>
      <c r="M253" s="24">
        <v>407</v>
      </c>
      <c r="N253" s="24">
        <f>(tbl_raw[[#This Row],[Selling_Price]]-tbl_raw[[#This Row],[Cost_Price]])*tbl_raw[[#This Row],[Units_Sold]]</f>
        <v>108</v>
      </c>
      <c r="O253" s="25">
        <f>IFERROR((tbl_raw[[#This Row],[Selling_Price]]-tbl_raw[[#This Row],[Cost_Price]]) / tbl_raw[[#This Row],[Selling_Price]],0)</f>
        <v>6.2211981566820278E-2</v>
      </c>
      <c r="P253" s="24">
        <v>53</v>
      </c>
      <c r="Q253" s="24">
        <f>tbl_raw[[#This Row],[Gross_Profit]]-(tbl_raw[[#This Row],[Shipping_Cost]]*tbl_raw[[#This Row],[Units_Sold]])</f>
        <v>-104</v>
      </c>
      <c r="R253" s="25">
        <f>IFERROR(tbl_raw[[#This Row],[Net_Profit]]/(tbl_raw[[#This Row],[Selling_Price]]*tbl_raw[[#This Row],[Units_Sold]]),0)</f>
        <v>-5.9907834101382486E-2</v>
      </c>
      <c r="S253" s="23" t="s">
        <v>107</v>
      </c>
      <c r="T253" s="23" t="s">
        <v>32</v>
      </c>
      <c r="U253" s="23">
        <f>IF(tbl_raw[[#This Row],[Order_Status]]="Returned",1,0)</f>
        <v>0</v>
      </c>
      <c r="V253" s="23">
        <f>IF(tbl_raw[[#This Row],[Payment_Method]]="COD",1,0)</f>
        <v>0</v>
      </c>
      <c r="W253" s="26">
        <f>MIN(1,(tbl_raw[[#This Row],[Discount_Pct]]*1.4)+(tbl_raw[[#This Row],[COD_Flag]]*0.35))</f>
        <v>0.36399999999999999</v>
      </c>
    </row>
    <row r="254" spans="1:23" ht="22.8" x14ac:dyDescent="0.3">
      <c r="A254" s="17" t="s">
        <v>792</v>
      </c>
      <c r="B254" s="18" t="s">
        <v>152</v>
      </c>
      <c r="C254" s="18" t="s">
        <v>25</v>
      </c>
      <c r="D254" s="18" t="s">
        <v>62</v>
      </c>
      <c r="E254" s="18" t="s">
        <v>203</v>
      </c>
      <c r="F254" s="18" t="s">
        <v>793</v>
      </c>
      <c r="G254" s="18" t="s">
        <v>139</v>
      </c>
      <c r="H254" s="18" t="s">
        <v>48</v>
      </c>
      <c r="I254" s="18">
        <v>7</v>
      </c>
      <c r="J254" s="19">
        <v>1532</v>
      </c>
      <c r="K254" s="19">
        <v>1333</v>
      </c>
      <c r="L254" s="20">
        <v>0.13</v>
      </c>
      <c r="M254" s="19">
        <v>657</v>
      </c>
      <c r="N254" s="19">
        <f>(tbl_raw[[#This Row],[Selling_Price]]-tbl_raw[[#This Row],[Cost_Price]])*tbl_raw[[#This Row],[Units_Sold]]</f>
        <v>4732</v>
      </c>
      <c r="O254" s="20">
        <f>IFERROR((tbl_raw[[#This Row],[Selling_Price]]-tbl_raw[[#This Row],[Cost_Price]]) / tbl_raw[[#This Row],[Selling_Price]],0)</f>
        <v>0.5071267816954238</v>
      </c>
      <c r="P254" s="19">
        <v>157</v>
      </c>
      <c r="Q254" s="19">
        <f>tbl_raw[[#This Row],[Gross_Profit]]-(tbl_raw[[#This Row],[Shipping_Cost]]*tbl_raw[[#This Row],[Units_Sold]])</f>
        <v>3633</v>
      </c>
      <c r="R254" s="20">
        <f>IFERROR(tbl_raw[[#This Row],[Net_Profit]]/(tbl_raw[[#This Row],[Selling_Price]]*tbl_raw[[#This Row],[Units_Sold]]),0)</f>
        <v>0.38934733683420858</v>
      </c>
      <c r="S254" s="18" t="s">
        <v>107</v>
      </c>
      <c r="T254" s="18" t="s">
        <v>32</v>
      </c>
      <c r="U254" s="18">
        <f>IF(tbl_raw[[#This Row],[Order_Status]]="Returned",1,0)</f>
        <v>0</v>
      </c>
      <c r="V254" s="18">
        <f>IF(tbl_raw[[#This Row],[Payment_Method]]="COD",1,0)</f>
        <v>0</v>
      </c>
      <c r="W254" s="21">
        <f>MIN(1,(tbl_raw[[#This Row],[Discount_Pct]]*1.4)+(tbl_raw[[#This Row],[COD_Flag]]*0.35))</f>
        <v>0.182</v>
      </c>
    </row>
    <row r="255" spans="1:23" ht="22.8" x14ac:dyDescent="0.3">
      <c r="A255" s="22" t="s">
        <v>794</v>
      </c>
      <c r="B255" s="23" t="s">
        <v>202</v>
      </c>
      <c r="C255" s="23" t="s">
        <v>25</v>
      </c>
      <c r="D255" s="23" t="s">
        <v>175</v>
      </c>
      <c r="E255" s="23" t="s">
        <v>176</v>
      </c>
      <c r="F255" s="23" t="s">
        <v>795</v>
      </c>
      <c r="G255" s="23" t="s">
        <v>81</v>
      </c>
      <c r="H255" s="23" t="s">
        <v>30</v>
      </c>
      <c r="I255" s="23">
        <v>12</v>
      </c>
      <c r="J255" s="24">
        <v>7107</v>
      </c>
      <c r="K255" s="24">
        <v>5899</v>
      </c>
      <c r="L255" s="25">
        <v>0.17</v>
      </c>
      <c r="M255" s="24">
        <v>3952</v>
      </c>
      <c r="N255" s="24">
        <f>(tbl_raw[[#This Row],[Selling_Price]]-tbl_raw[[#This Row],[Cost_Price]])*tbl_raw[[#This Row],[Units_Sold]]</f>
        <v>23364</v>
      </c>
      <c r="O255" s="25">
        <f>IFERROR((tbl_raw[[#This Row],[Selling_Price]]-tbl_raw[[#This Row],[Cost_Price]]) / tbl_raw[[#This Row],[Selling_Price]],0)</f>
        <v>0.33005594168503138</v>
      </c>
      <c r="P255" s="24">
        <v>69</v>
      </c>
      <c r="Q255" s="24">
        <f>tbl_raw[[#This Row],[Gross_Profit]]-(tbl_raw[[#This Row],[Shipping_Cost]]*tbl_raw[[#This Row],[Units_Sold]])</f>
        <v>22536</v>
      </c>
      <c r="R255" s="25">
        <f>IFERROR(tbl_raw[[#This Row],[Net_Profit]]/(tbl_raw[[#This Row],[Selling_Price]]*tbl_raw[[#This Row],[Units_Sold]]),0)</f>
        <v>0.31835904390574676</v>
      </c>
      <c r="S255" s="23" t="s">
        <v>31</v>
      </c>
      <c r="T255" s="23" t="s">
        <v>59</v>
      </c>
      <c r="U255" s="23">
        <f>IF(tbl_raw[[#This Row],[Order_Status]]="Returned",1,0)</f>
        <v>0</v>
      </c>
      <c r="V255" s="23">
        <f>IF(tbl_raw[[#This Row],[Payment_Method]]="COD",1,0)</f>
        <v>0</v>
      </c>
      <c r="W255" s="26">
        <f>MIN(1,(tbl_raw[[#This Row],[Discount_Pct]]*1.4)+(tbl_raw[[#This Row],[COD_Flag]]*0.35))</f>
        <v>0.23799999999999999</v>
      </c>
    </row>
    <row r="256" spans="1:23" ht="22.8" x14ac:dyDescent="0.3">
      <c r="A256" s="17" t="s">
        <v>796</v>
      </c>
      <c r="B256" s="18" t="s">
        <v>484</v>
      </c>
      <c r="C256" s="18" t="s">
        <v>199</v>
      </c>
      <c r="D256" s="18" t="s">
        <v>164</v>
      </c>
      <c r="E256" s="18" t="s">
        <v>265</v>
      </c>
      <c r="F256" s="18" t="s">
        <v>797</v>
      </c>
      <c r="G256" s="18" t="s">
        <v>56</v>
      </c>
      <c r="H256" s="18" t="s">
        <v>57</v>
      </c>
      <c r="I256" s="18">
        <v>18</v>
      </c>
      <c r="J256" s="19">
        <v>3429</v>
      </c>
      <c r="K256" s="19">
        <v>2263</v>
      </c>
      <c r="L256" s="20">
        <v>0.34</v>
      </c>
      <c r="M256" s="19">
        <v>1645</v>
      </c>
      <c r="N256" s="19">
        <f>(tbl_raw[[#This Row],[Selling_Price]]-tbl_raw[[#This Row],[Cost_Price]])*tbl_raw[[#This Row],[Units_Sold]]</f>
        <v>11124</v>
      </c>
      <c r="O256" s="20">
        <f>IFERROR((tbl_raw[[#This Row],[Selling_Price]]-tbl_raw[[#This Row],[Cost_Price]]) / tbl_raw[[#This Row],[Selling_Price]],0)</f>
        <v>0.27308882015024305</v>
      </c>
      <c r="P256" s="19">
        <v>39</v>
      </c>
      <c r="Q256" s="19">
        <f>tbl_raw[[#This Row],[Gross_Profit]]-(tbl_raw[[#This Row],[Shipping_Cost]]*tbl_raw[[#This Row],[Units_Sold]])</f>
        <v>10422</v>
      </c>
      <c r="R256" s="20">
        <f>IFERROR(tbl_raw[[#This Row],[Net_Profit]]/(tbl_raw[[#This Row],[Selling_Price]]*tbl_raw[[#This Row],[Units_Sold]]),0)</f>
        <v>0.25585505965532479</v>
      </c>
      <c r="S256" s="18" t="s">
        <v>31</v>
      </c>
      <c r="T256" s="18" t="s">
        <v>32</v>
      </c>
      <c r="U256" s="18">
        <f>IF(tbl_raw[[#This Row],[Order_Status]]="Returned",1,0)</f>
        <v>0</v>
      </c>
      <c r="V256" s="18">
        <f>IF(tbl_raw[[#This Row],[Payment_Method]]="COD",1,0)</f>
        <v>0</v>
      </c>
      <c r="W256" s="21">
        <f>MIN(1,(tbl_raw[[#This Row],[Discount_Pct]]*1.4)+(tbl_raw[[#This Row],[COD_Flag]]*0.35))</f>
        <v>0.47599999999999998</v>
      </c>
    </row>
    <row r="257" spans="1:23" ht="22.8" x14ac:dyDescent="0.3">
      <c r="A257" s="22" t="s">
        <v>798</v>
      </c>
      <c r="B257" s="23" t="s">
        <v>678</v>
      </c>
      <c r="C257" s="23" t="s">
        <v>105</v>
      </c>
      <c r="D257" s="23" t="s">
        <v>62</v>
      </c>
      <c r="E257" s="23" t="s">
        <v>133</v>
      </c>
      <c r="F257" s="23" t="s">
        <v>799</v>
      </c>
      <c r="G257" s="23" t="s">
        <v>75</v>
      </c>
      <c r="H257" s="23" t="s">
        <v>48</v>
      </c>
      <c r="I257" s="23">
        <v>10</v>
      </c>
      <c r="J257" s="24">
        <v>816</v>
      </c>
      <c r="K257" s="24">
        <v>481</v>
      </c>
      <c r="L257" s="25">
        <v>0.41</v>
      </c>
      <c r="M257" s="24">
        <v>530</v>
      </c>
      <c r="N257" s="24">
        <f>(tbl_raw[[#This Row],[Selling_Price]]-tbl_raw[[#This Row],[Cost_Price]])*tbl_raw[[#This Row],[Units_Sold]]</f>
        <v>-490</v>
      </c>
      <c r="O257" s="25">
        <f>IFERROR((tbl_raw[[#This Row],[Selling_Price]]-tbl_raw[[#This Row],[Cost_Price]]) / tbl_raw[[#This Row],[Selling_Price]],0)</f>
        <v>-0.10187110187110188</v>
      </c>
      <c r="P257" s="24">
        <v>105</v>
      </c>
      <c r="Q257" s="24">
        <f>tbl_raw[[#This Row],[Gross_Profit]]-(tbl_raw[[#This Row],[Shipping_Cost]]*tbl_raw[[#This Row],[Units_Sold]])</f>
        <v>-1540</v>
      </c>
      <c r="R257" s="25">
        <f>IFERROR(tbl_raw[[#This Row],[Net_Profit]]/(tbl_raw[[#This Row],[Selling_Price]]*tbl_raw[[#This Row],[Units_Sold]]),0)</f>
        <v>-0.32016632016632018</v>
      </c>
      <c r="S257" s="23" t="s">
        <v>65</v>
      </c>
      <c r="T257" s="23" t="s">
        <v>32</v>
      </c>
      <c r="U257" s="23">
        <f>IF(tbl_raw[[#This Row],[Order_Status]]="Returned",1,0)</f>
        <v>0</v>
      </c>
      <c r="V257" s="23">
        <f>IF(tbl_raw[[#This Row],[Payment_Method]]="COD",1,0)</f>
        <v>0</v>
      </c>
      <c r="W257" s="26">
        <f>MIN(1,(tbl_raw[[#This Row],[Discount_Pct]]*1.4)+(tbl_raw[[#This Row],[COD_Flag]]*0.35))</f>
        <v>0.57399999999999995</v>
      </c>
    </row>
    <row r="258" spans="1:23" ht="22.8" x14ac:dyDescent="0.3">
      <c r="A258" s="17" t="s">
        <v>800</v>
      </c>
      <c r="B258" s="18" t="s">
        <v>396</v>
      </c>
      <c r="C258" s="18" t="s">
        <v>199</v>
      </c>
      <c r="D258" s="18" t="s">
        <v>175</v>
      </c>
      <c r="E258" s="18" t="s">
        <v>149</v>
      </c>
      <c r="F258" s="18" t="s">
        <v>801</v>
      </c>
      <c r="G258" s="18" t="s">
        <v>81</v>
      </c>
      <c r="H258" s="18" t="s">
        <v>30</v>
      </c>
      <c r="I258" s="18">
        <v>7</v>
      </c>
      <c r="J258" s="19">
        <v>6506</v>
      </c>
      <c r="K258" s="19">
        <v>6116</v>
      </c>
      <c r="L258" s="20">
        <v>0.06</v>
      </c>
      <c r="M258" s="19">
        <v>3566</v>
      </c>
      <c r="N258" s="19">
        <f>(tbl_raw[[#This Row],[Selling_Price]]-tbl_raw[[#This Row],[Cost_Price]])*tbl_raw[[#This Row],[Units_Sold]]</f>
        <v>17850</v>
      </c>
      <c r="O258" s="20">
        <f>IFERROR((tbl_raw[[#This Row],[Selling_Price]]-tbl_raw[[#This Row],[Cost_Price]]) / tbl_raw[[#This Row],[Selling_Price]],0)</f>
        <v>0.41693917593198171</v>
      </c>
      <c r="P258" s="19">
        <v>178</v>
      </c>
      <c r="Q258" s="19">
        <f>tbl_raw[[#This Row],[Gross_Profit]]-(tbl_raw[[#This Row],[Shipping_Cost]]*tbl_raw[[#This Row],[Units_Sold]])</f>
        <v>16604</v>
      </c>
      <c r="R258" s="20">
        <f>IFERROR(tbl_raw[[#This Row],[Net_Profit]]/(tbl_raw[[#This Row],[Selling_Price]]*tbl_raw[[#This Row],[Units_Sold]]),0)</f>
        <v>0.38783518639633746</v>
      </c>
      <c r="S258" s="18" t="s">
        <v>31</v>
      </c>
      <c r="T258" s="18" t="s">
        <v>86</v>
      </c>
      <c r="U258" s="18">
        <f>IF(tbl_raw[[#This Row],[Order_Status]]="Returned",1,0)</f>
        <v>1</v>
      </c>
      <c r="V258" s="18">
        <f>IF(tbl_raw[[#This Row],[Payment_Method]]="COD",1,0)</f>
        <v>0</v>
      </c>
      <c r="W258" s="21">
        <f>MIN(1,(tbl_raw[[#This Row],[Discount_Pct]]*1.4)+(tbl_raw[[#This Row],[COD_Flag]]*0.35))</f>
        <v>8.3999999999999991E-2</v>
      </c>
    </row>
    <row r="259" spans="1:23" ht="22.8" x14ac:dyDescent="0.3">
      <c r="A259" s="22" t="s">
        <v>802</v>
      </c>
      <c r="B259" s="23" t="s">
        <v>803</v>
      </c>
      <c r="C259" s="23" t="s">
        <v>43</v>
      </c>
      <c r="D259" s="23" t="s">
        <v>53</v>
      </c>
      <c r="E259" s="23" t="s">
        <v>160</v>
      </c>
      <c r="F259" s="23" t="s">
        <v>804</v>
      </c>
      <c r="G259" s="23" t="s">
        <v>120</v>
      </c>
      <c r="H259" s="23" t="s">
        <v>39</v>
      </c>
      <c r="I259" s="23">
        <v>3</v>
      </c>
      <c r="J259" s="24">
        <v>3227</v>
      </c>
      <c r="K259" s="24">
        <v>2646</v>
      </c>
      <c r="L259" s="25">
        <v>0.18</v>
      </c>
      <c r="M259" s="24">
        <v>1659</v>
      </c>
      <c r="N259" s="24">
        <f>(tbl_raw[[#This Row],[Selling_Price]]-tbl_raw[[#This Row],[Cost_Price]])*tbl_raw[[#This Row],[Units_Sold]]</f>
        <v>2961</v>
      </c>
      <c r="O259" s="25">
        <f>IFERROR((tbl_raw[[#This Row],[Selling_Price]]-tbl_raw[[#This Row],[Cost_Price]]) / tbl_raw[[#This Row],[Selling_Price]],0)</f>
        <v>0.37301587301587302</v>
      </c>
      <c r="P259" s="24">
        <v>71</v>
      </c>
      <c r="Q259" s="24">
        <f>tbl_raw[[#This Row],[Gross_Profit]]-(tbl_raw[[#This Row],[Shipping_Cost]]*tbl_raw[[#This Row],[Units_Sold]])</f>
        <v>2748</v>
      </c>
      <c r="R259" s="25">
        <f>IFERROR(tbl_raw[[#This Row],[Net_Profit]]/(tbl_raw[[#This Row],[Selling_Price]]*tbl_raw[[#This Row],[Units_Sold]]),0)</f>
        <v>0.34618291761148906</v>
      </c>
      <c r="S259" s="23" t="s">
        <v>31</v>
      </c>
      <c r="T259" s="23" t="s">
        <v>32</v>
      </c>
      <c r="U259" s="23">
        <f>IF(tbl_raw[[#This Row],[Order_Status]]="Returned",1,0)</f>
        <v>0</v>
      </c>
      <c r="V259" s="23">
        <f>IF(tbl_raw[[#This Row],[Payment_Method]]="COD",1,0)</f>
        <v>0</v>
      </c>
      <c r="W259" s="26">
        <f>MIN(1,(tbl_raw[[#This Row],[Discount_Pct]]*1.4)+(tbl_raw[[#This Row],[COD_Flag]]*0.35))</f>
        <v>0.252</v>
      </c>
    </row>
    <row r="260" spans="1:23" ht="22.8" x14ac:dyDescent="0.3">
      <c r="A260" s="17" t="s">
        <v>805</v>
      </c>
      <c r="B260" s="18" t="s">
        <v>704</v>
      </c>
      <c r="C260" s="18" t="s">
        <v>156</v>
      </c>
      <c r="D260" s="18" t="s">
        <v>78</v>
      </c>
      <c r="E260" s="18" t="s">
        <v>296</v>
      </c>
      <c r="F260" s="18" t="s">
        <v>806</v>
      </c>
      <c r="G260" s="18" t="s">
        <v>81</v>
      </c>
      <c r="H260" s="18" t="s">
        <v>30</v>
      </c>
      <c r="I260" s="18">
        <v>5</v>
      </c>
      <c r="J260" s="19">
        <v>4619</v>
      </c>
      <c r="K260" s="19">
        <v>3418</v>
      </c>
      <c r="L260" s="20">
        <v>0.26</v>
      </c>
      <c r="M260" s="19">
        <v>3407</v>
      </c>
      <c r="N260" s="19">
        <f>(tbl_raw[[#This Row],[Selling_Price]]-tbl_raw[[#This Row],[Cost_Price]])*tbl_raw[[#This Row],[Units_Sold]]</f>
        <v>55</v>
      </c>
      <c r="O260" s="20">
        <f>IFERROR((tbl_raw[[#This Row],[Selling_Price]]-tbl_raw[[#This Row],[Cost_Price]]) / tbl_raw[[#This Row],[Selling_Price]],0)</f>
        <v>3.2182562902282035E-3</v>
      </c>
      <c r="P260" s="19">
        <v>45</v>
      </c>
      <c r="Q260" s="19">
        <f>tbl_raw[[#This Row],[Gross_Profit]]-(tbl_raw[[#This Row],[Shipping_Cost]]*tbl_raw[[#This Row],[Units_Sold]])</f>
        <v>-170</v>
      </c>
      <c r="R260" s="20">
        <f>IFERROR(tbl_raw[[#This Row],[Net_Profit]]/(tbl_raw[[#This Row],[Selling_Price]]*tbl_raw[[#This Row],[Units_Sold]]),0)</f>
        <v>-9.9473376243417195E-3</v>
      </c>
      <c r="S260" s="18" t="s">
        <v>58</v>
      </c>
      <c r="T260" s="18" t="s">
        <v>32</v>
      </c>
      <c r="U260" s="18">
        <f>IF(tbl_raw[[#This Row],[Order_Status]]="Returned",1,0)</f>
        <v>0</v>
      </c>
      <c r="V260" s="18">
        <f>IF(tbl_raw[[#This Row],[Payment_Method]]="COD",1,0)</f>
        <v>0</v>
      </c>
      <c r="W260" s="21">
        <f>MIN(1,(tbl_raw[[#This Row],[Discount_Pct]]*1.4)+(tbl_raw[[#This Row],[COD_Flag]]*0.35))</f>
        <v>0.36399999999999999</v>
      </c>
    </row>
    <row r="261" spans="1:23" ht="22.8" x14ac:dyDescent="0.3">
      <c r="A261" s="22" t="s">
        <v>807</v>
      </c>
      <c r="B261" s="23" t="s">
        <v>808</v>
      </c>
      <c r="C261" s="23" t="s">
        <v>99</v>
      </c>
      <c r="D261" s="23" t="s">
        <v>44</v>
      </c>
      <c r="E261" s="23" t="s">
        <v>275</v>
      </c>
      <c r="F261" s="23" t="s">
        <v>809</v>
      </c>
      <c r="G261" s="23" t="s">
        <v>47</v>
      </c>
      <c r="H261" s="23" t="s">
        <v>48</v>
      </c>
      <c r="I261" s="23">
        <v>16</v>
      </c>
      <c r="J261" s="24">
        <v>4662</v>
      </c>
      <c r="K261" s="24">
        <v>3683</v>
      </c>
      <c r="L261" s="25">
        <v>0.21</v>
      </c>
      <c r="M261" s="24">
        <v>2146</v>
      </c>
      <c r="N261" s="24">
        <f>(tbl_raw[[#This Row],[Selling_Price]]-tbl_raw[[#This Row],[Cost_Price]])*tbl_raw[[#This Row],[Units_Sold]]</f>
        <v>24592</v>
      </c>
      <c r="O261" s="25">
        <f>IFERROR((tbl_raw[[#This Row],[Selling_Price]]-tbl_raw[[#This Row],[Cost_Price]]) / tbl_raw[[#This Row],[Selling_Price]],0)</f>
        <v>0.41732283464566927</v>
      </c>
      <c r="P261" s="24">
        <v>90</v>
      </c>
      <c r="Q261" s="24">
        <f>tbl_raw[[#This Row],[Gross_Profit]]-(tbl_raw[[#This Row],[Shipping_Cost]]*tbl_raw[[#This Row],[Units_Sold]])</f>
        <v>23152</v>
      </c>
      <c r="R261" s="25">
        <f>IFERROR(tbl_raw[[#This Row],[Net_Profit]]/(tbl_raw[[#This Row],[Selling_Price]]*tbl_raw[[#This Row],[Units_Sold]]),0)</f>
        <v>0.39288623404833017</v>
      </c>
      <c r="S261" s="23" t="s">
        <v>65</v>
      </c>
      <c r="T261" s="23" t="s">
        <v>32</v>
      </c>
      <c r="U261" s="23">
        <f>IF(tbl_raw[[#This Row],[Order_Status]]="Returned",1,0)</f>
        <v>0</v>
      </c>
      <c r="V261" s="23">
        <f>IF(tbl_raw[[#This Row],[Payment_Method]]="COD",1,0)</f>
        <v>0</v>
      </c>
      <c r="W261" s="26">
        <f>MIN(1,(tbl_raw[[#This Row],[Discount_Pct]]*1.4)+(tbl_raw[[#This Row],[COD_Flag]]*0.35))</f>
        <v>0.29399999999999998</v>
      </c>
    </row>
    <row r="262" spans="1:23" ht="22.8" x14ac:dyDescent="0.3">
      <c r="A262" s="17" t="s">
        <v>810</v>
      </c>
      <c r="B262" s="18" t="s">
        <v>811</v>
      </c>
      <c r="C262" s="18" t="s">
        <v>132</v>
      </c>
      <c r="D262" s="18" t="s">
        <v>44</v>
      </c>
      <c r="E262" s="18" t="s">
        <v>73</v>
      </c>
      <c r="F262" s="18" t="s">
        <v>812</v>
      </c>
      <c r="G262" s="18" t="s">
        <v>75</v>
      </c>
      <c r="H262" s="18" t="s">
        <v>48</v>
      </c>
      <c r="I262" s="18">
        <v>9</v>
      </c>
      <c r="J262" s="19">
        <v>7197</v>
      </c>
      <c r="K262" s="19">
        <v>7125</v>
      </c>
      <c r="L262" s="20">
        <v>0.01</v>
      </c>
      <c r="M262" s="19">
        <v>4938</v>
      </c>
      <c r="N262" s="19">
        <f>(tbl_raw[[#This Row],[Selling_Price]]-tbl_raw[[#This Row],[Cost_Price]])*tbl_raw[[#This Row],[Units_Sold]]</f>
        <v>19683</v>
      </c>
      <c r="O262" s="20">
        <f>IFERROR((tbl_raw[[#This Row],[Selling_Price]]-tbl_raw[[#This Row],[Cost_Price]]) / tbl_raw[[#This Row],[Selling_Price]],0)</f>
        <v>0.30694736842105264</v>
      </c>
      <c r="P262" s="19">
        <v>75</v>
      </c>
      <c r="Q262" s="19">
        <f>tbl_raw[[#This Row],[Gross_Profit]]-(tbl_raw[[#This Row],[Shipping_Cost]]*tbl_raw[[#This Row],[Units_Sold]])</f>
        <v>19008</v>
      </c>
      <c r="R262" s="20">
        <f>IFERROR(tbl_raw[[#This Row],[Net_Profit]]/(tbl_raw[[#This Row],[Selling_Price]]*tbl_raw[[#This Row],[Units_Sold]]),0)</f>
        <v>0.29642105263157897</v>
      </c>
      <c r="S262" s="18" t="s">
        <v>107</v>
      </c>
      <c r="T262" s="18" t="s">
        <v>59</v>
      </c>
      <c r="U262" s="18">
        <f>IF(tbl_raw[[#This Row],[Order_Status]]="Returned",1,0)</f>
        <v>0</v>
      </c>
      <c r="V262" s="18">
        <f>IF(tbl_raw[[#This Row],[Payment_Method]]="COD",1,0)</f>
        <v>0</v>
      </c>
      <c r="W262" s="21">
        <f>MIN(1,(tbl_raw[[#This Row],[Discount_Pct]]*1.4)+(tbl_raw[[#This Row],[COD_Flag]]*0.35))</f>
        <v>1.3999999999999999E-2</v>
      </c>
    </row>
    <row r="263" spans="1:23" ht="22.8" x14ac:dyDescent="0.3">
      <c r="A263" s="22" t="s">
        <v>813</v>
      </c>
      <c r="B263" s="23" t="s">
        <v>24</v>
      </c>
      <c r="C263" s="23" t="s">
        <v>25</v>
      </c>
      <c r="D263" s="23" t="s">
        <v>94</v>
      </c>
      <c r="E263" s="23" t="s">
        <v>95</v>
      </c>
      <c r="F263" s="23" t="s">
        <v>601</v>
      </c>
      <c r="G263" s="23" t="s">
        <v>75</v>
      </c>
      <c r="H263" s="23" t="s">
        <v>48</v>
      </c>
      <c r="I263" s="23">
        <v>11</v>
      </c>
      <c r="J263" s="24">
        <v>2301</v>
      </c>
      <c r="K263" s="24">
        <v>1864</v>
      </c>
      <c r="L263" s="25">
        <v>0.19</v>
      </c>
      <c r="M263" s="24">
        <v>1440</v>
      </c>
      <c r="N263" s="24">
        <f>(tbl_raw[[#This Row],[Selling_Price]]-tbl_raw[[#This Row],[Cost_Price]])*tbl_raw[[#This Row],[Units_Sold]]</f>
        <v>4664</v>
      </c>
      <c r="O263" s="25">
        <f>IFERROR((tbl_raw[[#This Row],[Selling_Price]]-tbl_raw[[#This Row],[Cost_Price]]) / tbl_raw[[#This Row],[Selling_Price]],0)</f>
        <v>0.22746781115879827</v>
      </c>
      <c r="P263" s="24">
        <v>58</v>
      </c>
      <c r="Q263" s="24">
        <f>tbl_raw[[#This Row],[Gross_Profit]]-(tbl_raw[[#This Row],[Shipping_Cost]]*tbl_raw[[#This Row],[Units_Sold]])</f>
        <v>4026</v>
      </c>
      <c r="R263" s="25">
        <f>IFERROR(tbl_raw[[#This Row],[Net_Profit]]/(tbl_raw[[#This Row],[Selling_Price]]*tbl_raw[[#This Row],[Units_Sold]]),0)</f>
        <v>0.1963519313304721</v>
      </c>
      <c r="S263" s="23" t="s">
        <v>40</v>
      </c>
      <c r="T263" s="23" t="s">
        <v>32</v>
      </c>
      <c r="U263" s="23">
        <f>IF(tbl_raw[[#This Row],[Order_Status]]="Returned",1,0)</f>
        <v>0</v>
      </c>
      <c r="V263" s="23">
        <f>IF(tbl_raw[[#This Row],[Payment_Method]]="COD",1,0)</f>
        <v>1</v>
      </c>
      <c r="W263" s="26">
        <f>MIN(1,(tbl_raw[[#This Row],[Discount_Pct]]*1.4)+(tbl_raw[[#This Row],[COD_Flag]]*0.35))</f>
        <v>0.61599999999999988</v>
      </c>
    </row>
    <row r="264" spans="1:23" ht="22.8" x14ac:dyDescent="0.3">
      <c r="A264" s="17" t="s">
        <v>814</v>
      </c>
      <c r="B264" s="18" t="s">
        <v>500</v>
      </c>
      <c r="C264" s="18" t="s">
        <v>117</v>
      </c>
      <c r="D264" s="18" t="s">
        <v>44</v>
      </c>
      <c r="E264" s="18" t="s">
        <v>45</v>
      </c>
      <c r="F264" s="18" t="s">
        <v>815</v>
      </c>
      <c r="G264" s="18" t="s">
        <v>81</v>
      </c>
      <c r="H264" s="18" t="s">
        <v>30</v>
      </c>
      <c r="I264" s="18">
        <v>3</v>
      </c>
      <c r="J264" s="19">
        <v>2627</v>
      </c>
      <c r="K264" s="19">
        <v>2023</v>
      </c>
      <c r="L264" s="20">
        <v>0.23</v>
      </c>
      <c r="M264" s="19">
        <v>1176</v>
      </c>
      <c r="N264" s="19">
        <f>(tbl_raw[[#This Row],[Selling_Price]]-tbl_raw[[#This Row],[Cost_Price]])*tbl_raw[[#This Row],[Units_Sold]]</f>
        <v>2541</v>
      </c>
      <c r="O264" s="20">
        <f>IFERROR((tbl_raw[[#This Row],[Selling_Price]]-tbl_raw[[#This Row],[Cost_Price]]) / tbl_raw[[#This Row],[Selling_Price]],0)</f>
        <v>0.41868512110726641</v>
      </c>
      <c r="P264" s="19">
        <v>158</v>
      </c>
      <c r="Q264" s="19">
        <f>tbl_raw[[#This Row],[Gross_Profit]]-(tbl_raw[[#This Row],[Shipping_Cost]]*tbl_raw[[#This Row],[Units_Sold]])</f>
        <v>2067</v>
      </c>
      <c r="R264" s="20">
        <f>IFERROR(tbl_raw[[#This Row],[Net_Profit]]/(tbl_raw[[#This Row],[Selling_Price]]*tbl_raw[[#This Row],[Units_Sold]]),0)</f>
        <v>0.34058329214038557</v>
      </c>
      <c r="S264" s="18" t="s">
        <v>65</v>
      </c>
      <c r="T264" s="18" t="s">
        <v>32</v>
      </c>
      <c r="U264" s="18">
        <f>IF(tbl_raw[[#This Row],[Order_Status]]="Returned",1,0)</f>
        <v>0</v>
      </c>
      <c r="V264" s="18">
        <f>IF(tbl_raw[[#This Row],[Payment_Method]]="COD",1,0)</f>
        <v>0</v>
      </c>
      <c r="W264" s="21">
        <f>MIN(1,(tbl_raw[[#This Row],[Discount_Pct]]*1.4)+(tbl_raw[[#This Row],[COD_Flag]]*0.35))</f>
        <v>0.32200000000000001</v>
      </c>
    </row>
    <row r="265" spans="1:23" ht="22.8" x14ac:dyDescent="0.3">
      <c r="A265" s="22" t="s">
        <v>816</v>
      </c>
      <c r="B265" s="23" t="s">
        <v>664</v>
      </c>
      <c r="C265" s="23" t="s">
        <v>35</v>
      </c>
      <c r="D265" s="23" t="s">
        <v>26</v>
      </c>
      <c r="E265" s="23" t="s">
        <v>100</v>
      </c>
      <c r="F265" s="23" t="s">
        <v>817</v>
      </c>
      <c r="G265" s="23" t="s">
        <v>75</v>
      </c>
      <c r="H265" s="23" t="s">
        <v>48</v>
      </c>
      <c r="I265" s="23">
        <v>2</v>
      </c>
      <c r="J265" s="24">
        <v>7361</v>
      </c>
      <c r="K265" s="24">
        <v>5005</v>
      </c>
      <c r="L265" s="25">
        <v>0.32</v>
      </c>
      <c r="M265" s="24">
        <v>3650</v>
      </c>
      <c r="N265" s="24">
        <f>(tbl_raw[[#This Row],[Selling_Price]]-tbl_raw[[#This Row],[Cost_Price]])*tbl_raw[[#This Row],[Units_Sold]]</f>
        <v>2710</v>
      </c>
      <c r="O265" s="25">
        <f>IFERROR((tbl_raw[[#This Row],[Selling_Price]]-tbl_raw[[#This Row],[Cost_Price]]) / tbl_raw[[#This Row],[Selling_Price]],0)</f>
        <v>0.27072927072927072</v>
      </c>
      <c r="P265" s="24">
        <v>154</v>
      </c>
      <c r="Q265" s="24">
        <f>tbl_raw[[#This Row],[Gross_Profit]]-(tbl_raw[[#This Row],[Shipping_Cost]]*tbl_raw[[#This Row],[Units_Sold]])</f>
        <v>2402</v>
      </c>
      <c r="R265" s="25">
        <f>IFERROR(tbl_raw[[#This Row],[Net_Profit]]/(tbl_raw[[#This Row],[Selling_Price]]*tbl_raw[[#This Row],[Units_Sold]]),0)</f>
        <v>0.23996003996003995</v>
      </c>
      <c r="S265" s="23" t="s">
        <v>65</v>
      </c>
      <c r="T265" s="23" t="s">
        <v>49</v>
      </c>
      <c r="U265" s="23">
        <f>IF(tbl_raw[[#This Row],[Order_Status]]="Returned",1,0)</f>
        <v>0</v>
      </c>
      <c r="V265" s="23">
        <f>IF(tbl_raw[[#This Row],[Payment_Method]]="COD",1,0)</f>
        <v>0</v>
      </c>
      <c r="W265" s="26">
        <f>MIN(1,(tbl_raw[[#This Row],[Discount_Pct]]*1.4)+(tbl_raw[[#This Row],[COD_Flag]]*0.35))</f>
        <v>0.44799999999999995</v>
      </c>
    </row>
    <row r="266" spans="1:23" ht="22.8" x14ac:dyDescent="0.3">
      <c r="A266" s="17" t="s">
        <v>818</v>
      </c>
      <c r="B266" s="18" t="s">
        <v>819</v>
      </c>
      <c r="C266" s="18" t="s">
        <v>25</v>
      </c>
      <c r="D266" s="18" t="s">
        <v>94</v>
      </c>
      <c r="E266" s="18" t="s">
        <v>180</v>
      </c>
      <c r="F266" s="18" t="s">
        <v>820</v>
      </c>
      <c r="G266" s="18" t="s">
        <v>102</v>
      </c>
      <c r="H266" s="18" t="s">
        <v>39</v>
      </c>
      <c r="I266" s="18">
        <v>15</v>
      </c>
      <c r="J266" s="19">
        <v>1585</v>
      </c>
      <c r="K266" s="19">
        <v>967</v>
      </c>
      <c r="L266" s="20">
        <v>0.39</v>
      </c>
      <c r="M266" s="19">
        <v>960</v>
      </c>
      <c r="N266" s="19">
        <f>(tbl_raw[[#This Row],[Selling_Price]]-tbl_raw[[#This Row],[Cost_Price]])*tbl_raw[[#This Row],[Units_Sold]]</f>
        <v>105</v>
      </c>
      <c r="O266" s="20">
        <f>IFERROR((tbl_raw[[#This Row],[Selling_Price]]-tbl_raw[[#This Row],[Cost_Price]]) / tbl_raw[[#This Row],[Selling_Price]],0)</f>
        <v>7.2388831437435368E-3</v>
      </c>
      <c r="P266" s="19">
        <v>82</v>
      </c>
      <c r="Q266" s="19">
        <f>tbl_raw[[#This Row],[Gross_Profit]]-(tbl_raw[[#This Row],[Shipping_Cost]]*tbl_raw[[#This Row],[Units_Sold]])</f>
        <v>-1125</v>
      </c>
      <c r="R266" s="20">
        <f>IFERROR(tbl_raw[[#This Row],[Net_Profit]]/(tbl_raw[[#This Row],[Selling_Price]]*tbl_raw[[#This Row],[Units_Sold]]),0)</f>
        <v>-7.7559462254395042E-2</v>
      </c>
      <c r="S266" s="18" t="s">
        <v>40</v>
      </c>
      <c r="T266" s="18" t="s">
        <v>32</v>
      </c>
      <c r="U266" s="18">
        <f>IF(tbl_raw[[#This Row],[Order_Status]]="Returned",1,0)</f>
        <v>0</v>
      </c>
      <c r="V266" s="18">
        <f>IF(tbl_raw[[#This Row],[Payment_Method]]="COD",1,0)</f>
        <v>1</v>
      </c>
      <c r="W266" s="21">
        <f>MIN(1,(tbl_raw[[#This Row],[Discount_Pct]]*1.4)+(tbl_raw[[#This Row],[COD_Flag]]*0.35))</f>
        <v>0.89599999999999991</v>
      </c>
    </row>
    <row r="267" spans="1:23" ht="22.8" x14ac:dyDescent="0.3">
      <c r="A267" s="22" t="s">
        <v>821</v>
      </c>
      <c r="B267" s="23" t="s">
        <v>822</v>
      </c>
      <c r="C267" s="23" t="s">
        <v>156</v>
      </c>
      <c r="D267" s="23" t="s">
        <v>53</v>
      </c>
      <c r="E267" s="23" t="s">
        <v>149</v>
      </c>
      <c r="F267" s="23" t="s">
        <v>823</v>
      </c>
      <c r="G267" s="23" t="s">
        <v>139</v>
      </c>
      <c r="H267" s="23" t="s">
        <v>48</v>
      </c>
      <c r="I267" s="23">
        <v>6</v>
      </c>
      <c r="J267" s="24">
        <v>6860</v>
      </c>
      <c r="K267" s="24">
        <v>4459</v>
      </c>
      <c r="L267" s="25">
        <v>0.35</v>
      </c>
      <c r="M267" s="24">
        <v>3259</v>
      </c>
      <c r="N267" s="24">
        <f>(tbl_raw[[#This Row],[Selling_Price]]-tbl_raw[[#This Row],[Cost_Price]])*tbl_raw[[#This Row],[Units_Sold]]</f>
        <v>7200</v>
      </c>
      <c r="O267" s="25">
        <f>IFERROR((tbl_raw[[#This Row],[Selling_Price]]-tbl_raw[[#This Row],[Cost_Price]]) / tbl_raw[[#This Row],[Selling_Price]],0)</f>
        <v>0.26911863646557527</v>
      </c>
      <c r="P267" s="24">
        <v>63</v>
      </c>
      <c r="Q267" s="24">
        <f>tbl_raw[[#This Row],[Gross_Profit]]-(tbl_raw[[#This Row],[Shipping_Cost]]*tbl_raw[[#This Row],[Units_Sold]])</f>
        <v>6822</v>
      </c>
      <c r="R267" s="25">
        <f>IFERROR(tbl_raw[[#This Row],[Net_Profit]]/(tbl_raw[[#This Row],[Selling_Price]]*tbl_raw[[#This Row],[Units_Sold]]),0)</f>
        <v>0.25498990805113253</v>
      </c>
      <c r="S267" s="23" t="s">
        <v>40</v>
      </c>
      <c r="T267" s="23" t="s">
        <v>32</v>
      </c>
      <c r="U267" s="23">
        <f>IF(tbl_raw[[#This Row],[Order_Status]]="Returned",1,0)</f>
        <v>0</v>
      </c>
      <c r="V267" s="23">
        <f>IF(tbl_raw[[#This Row],[Payment_Method]]="COD",1,0)</f>
        <v>1</v>
      </c>
      <c r="W267" s="26">
        <f>MIN(1,(tbl_raw[[#This Row],[Discount_Pct]]*1.4)+(tbl_raw[[#This Row],[COD_Flag]]*0.35))</f>
        <v>0.83999999999999986</v>
      </c>
    </row>
    <row r="268" spans="1:23" ht="22.8" x14ac:dyDescent="0.3">
      <c r="A268" s="17" t="s">
        <v>824</v>
      </c>
      <c r="B268" s="18" t="s">
        <v>712</v>
      </c>
      <c r="C268" s="18" t="s">
        <v>52</v>
      </c>
      <c r="D268" s="18" t="s">
        <v>26</v>
      </c>
      <c r="E268" s="18" t="s">
        <v>125</v>
      </c>
      <c r="F268" s="18" t="s">
        <v>825</v>
      </c>
      <c r="G268" s="18" t="s">
        <v>81</v>
      </c>
      <c r="H268" s="18" t="s">
        <v>30</v>
      </c>
      <c r="I268" s="18">
        <v>6</v>
      </c>
      <c r="J268" s="19">
        <v>4889</v>
      </c>
      <c r="K268" s="19">
        <v>4889</v>
      </c>
      <c r="L268" s="20">
        <v>0</v>
      </c>
      <c r="M268" s="19">
        <v>2387</v>
      </c>
      <c r="N268" s="19">
        <f>(tbl_raw[[#This Row],[Selling_Price]]-tbl_raw[[#This Row],[Cost_Price]])*tbl_raw[[#This Row],[Units_Sold]]</f>
        <v>15012</v>
      </c>
      <c r="O268" s="20">
        <f>IFERROR((tbl_raw[[#This Row],[Selling_Price]]-tbl_raw[[#This Row],[Cost_Price]]) / tbl_raw[[#This Row],[Selling_Price]],0)</f>
        <v>0.51176109633871958</v>
      </c>
      <c r="P268" s="19">
        <v>151</v>
      </c>
      <c r="Q268" s="19">
        <f>tbl_raw[[#This Row],[Gross_Profit]]-(tbl_raw[[#This Row],[Shipping_Cost]]*tbl_raw[[#This Row],[Units_Sold]])</f>
        <v>14106</v>
      </c>
      <c r="R268" s="20">
        <f>IFERROR(tbl_raw[[#This Row],[Net_Profit]]/(tbl_raw[[#This Row],[Selling_Price]]*tbl_raw[[#This Row],[Units_Sold]]),0)</f>
        <v>0.48087543464921251</v>
      </c>
      <c r="S268" s="18" t="s">
        <v>107</v>
      </c>
      <c r="T268" s="18" t="s">
        <v>32</v>
      </c>
      <c r="U268" s="18">
        <f>IF(tbl_raw[[#This Row],[Order_Status]]="Returned",1,0)</f>
        <v>0</v>
      </c>
      <c r="V268" s="18">
        <f>IF(tbl_raw[[#This Row],[Payment_Method]]="COD",1,0)</f>
        <v>0</v>
      </c>
      <c r="W268" s="21">
        <f>MIN(1,(tbl_raw[[#This Row],[Discount_Pct]]*1.4)+(tbl_raw[[#This Row],[COD_Flag]]*0.35))</f>
        <v>0</v>
      </c>
    </row>
    <row r="269" spans="1:23" ht="22.8" x14ac:dyDescent="0.3">
      <c r="A269" s="22" t="s">
        <v>826</v>
      </c>
      <c r="B269" s="23" t="s">
        <v>558</v>
      </c>
      <c r="C269" s="23" t="s">
        <v>99</v>
      </c>
      <c r="D269" s="23" t="s">
        <v>78</v>
      </c>
      <c r="E269" s="23" t="s">
        <v>79</v>
      </c>
      <c r="F269" s="23" t="s">
        <v>827</v>
      </c>
      <c r="G269" s="23" t="s">
        <v>143</v>
      </c>
      <c r="H269" s="23" t="s">
        <v>30</v>
      </c>
      <c r="I269" s="23">
        <v>7</v>
      </c>
      <c r="J269" s="24">
        <v>3840</v>
      </c>
      <c r="K269" s="24">
        <v>2688</v>
      </c>
      <c r="L269" s="25">
        <v>0.3</v>
      </c>
      <c r="M269" s="24">
        <v>2644</v>
      </c>
      <c r="N269" s="24">
        <f>(tbl_raw[[#This Row],[Selling_Price]]-tbl_raw[[#This Row],[Cost_Price]])*tbl_raw[[#This Row],[Units_Sold]]</f>
        <v>308</v>
      </c>
      <c r="O269" s="25">
        <f>IFERROR((tbl_raw[[#This Row],[Selling_Price]]-tbl_raw[[#This Row],[Cost_Price]]) / tbl_raw[[#This Row],[Selling_Price]],0)</f>
        <v>1.636904761904762E-2</v>
      </c>
      <c r="P269" s="24">
        <v>90</v>
      </c>
      <c r="Q269" s="24">
        <f>tbl_raw[[#This Row],[Gross_Profit]]-(tbl_raw[[#This Row],[Shipping_Cost]]*tbl_raw[[#This Row],[Units_Sold]])</f>
        <v>-322</v>
      </c>
      <c r="R269" s="25">
        <f>IFERROR(tbl_raw[[#This Row],[Net_Profit]]/(tbl_raw[[#This Row],[Selling_Price]]*tbl_raw[[#This Row],[Units_Sold]]),0)</f>
        <v>-1.711309523809524E-2</v>
      </c>
      <c r="S269" s="23" t="s">
        <v>58</v>
      </c>
      <c r="T269" s="23" t="s">
        <v>49</v>
      </c>
      <c r="U269" s="23">
        <f>IF(tbl_raw[[#This Row],[Order_Status]]="Returned",1,0)</f>
        <v>0</v>
      </c>
      <c r="V269" s="23">
        <f>IF(tbl_raw[[#This Row],[Payment_Method]]="COD",1,0)</f>
        <v>0</v>
      </c>
      <c r="W269" s="26">
        <f>MIN(1,(tbl_raw[[#This Row],[Discount_Pct]]*1.4)+(tbl_raw[[#This Row],[COD_Flag]]*0.35))</f>
        <v>0.42</v>
      </c>
    </row>
    <row r="270" spans="1:23" ht="22.8" x14ac:dyDescent="0.3">
      <c r="A270" s="17" t="s">
        <v>828</v>
      </c>
      <c r="B270" s="18" t="s">
        <v>829</v>
      </c>
      <c r="C270" s="18" t="s">
        <v>89</v>
      </c>
      <c r="D270" s="18" t="s">
        <v>53</v>
      </c>
      <c r="E270" s="18" t="s">
        <v>160</v>
      </c>
      <c r="F270" s="18" t="s">
        <v>830</v>
      </c>
      <c r="G270" s="18" t="s">
        <v>120</v>
      </c>
      <c r="H270" s="18" t="s">
        <v>39</v>
      </c>
      <c r="I270" s="18">
        <v>16</v>
      </c>
      <c r="J270" s="19">
        <v>698</v>
      </c>
      <c r="K270" s="19">
        <v>391</v>
      </c>
      <c r="L270" s="20">
        <v>0.44</v>
      </c>
      <c r="M270" s="19">
        <v>436</v>
      </c>
      <c r="N270" s="19">
        <f>(tbl_raw[[#This Row],[Selling_Price]]-tbl_raw[[#This Row],[Cost_Price]])*tbl_raw[[#This Row],[Units_Sold]]</f>
        <v>-720</v>
      </c>
      <c r="O270" s="20">
        <f>IFERROR((tbl_raw[[#This Row],[Selling_Price]]-tbl_raw[[#This Row],[Cost_Price]]) / tbl_raw[[#This Row],[Selling_Price]],0)</f>
        <v>-0.11508951406649616</v>
      </c>
      <c r="P270" s="19">
        <v>159</v>
      </c>
      <c r="Q270" s="19">
        <f>tbl_raw[[#This Row],[Gross_Profit]]-(tbl_raw[[#This Row],[Shipping_Cost]]*tbl_raw[[#This Row],[Units_Sold]])</f>
        <v>-3264</v>
      </c>
      <c r="R270" s="20">
        <f>IFERROR(tbl_raw[[#This Row],[Net_Profit]]/(tbl_raw[[#This Row],[Selling_Price]]*tbl_raw[[#This Row],[Units_Sold]]),0)</f>
        <v>-0.52173913043478259</v>
      </c>
      <c r="S270" s="18" t="s">
        <v>107</v>
      </c>
      <c r="T270" s="18" t="s">
        <v>49</v>
      </c>
      <c r="U270" s="18">
        <f>IF(tbl_raw[[#This Row],[Order_Status]]="Returned",1,0)</f>
        <v>0</v>
      </c>
      <c r="V270" s="18">
        <f>IF(tbl_raw[[#This Row],[Payment_Method]]="COD",1,0)</f>
        <v>0</v>
      </c>
      <c r="W270" s="21">
        <f>MIN(1,(tbl_raw[[#This Row],[Discount_Pct]]*1.4)+(tbl_raw[[#This Row],[COD_Flag]]*0.35))</f>
        <v>0.61599999999999999</v>
      </c>
    </row>
    <row r="271" spans="1:23" ht="22.8" x14ac:dyDescent="0.3">
      <c r="A271" s="22" t="s">
        <v>831</v>
      </c>
      <c r="B271" s="23" t="s">
        <v>93</v>
      </c>
      <c r="C271" s="23" t="s">
        <v>25</v>
      </c>
      <c r="D271" s="23" t="s">
        <v>94</v>
      </c>
      <c r="E271" s="23" t="s">
        <v>95</v>
      </c>
      <c r="F271" s="23" t="s">
        <v>832</v>
      </c>
      <c r="G271" s="23" t="s">
        <v>29</v>
      </c>
      <c r="H271" s="23" t="s">
        <v>30</v>
      </c>
      <c r="I271" s="23">
        <v>2</v>
      </c>
      <c r="J271" s="24">
        <v>6482</v>
      </c>
      <c r="K271" s="24">
        <v>4148</v>
      </c>
      <c r="L271" s="25">
        <v>0.36</v>
      </c>
      <c r="M271" s="24">
        <v>3954</v>
      </c>
      <c r="N271" s="24">
        <f>(tbl_raw[[#This Row],[Selling_Price]]-tbl_raw[[#This Row],[Cost_Price]])*tbl_raw[[#This Row],[Units_Sold]]</f>
        <v>388</v>
      </c>
      <c r="O271" s="25">
        <f>IFERROR((tbl_raw[[#This Row],[Selling_Price]]-tbl_raw[[#This Row],[Cost_Price]]) / tbl_raw[[#This Row],[Selling_Price]],0)</f>
        <v>4.67695274831244E-2</v>
      </c>
      <c r="P271" s="24">
        <v>129</v>
      </c>
      <c r="Q271" s="24">
        <f>tbl_raw[[#This Row],[Gross_Profit]]-(tbl_raw[[#This Row],[Shipping_Cost]]*tbl_raw[[#This Row],[Units_Sold]])</f>
        <v>130</v>
      </c>
      <c r="R271" s="25">
        <f>IFERROR(tbl_raw[[#This Row],[Net_Profit]]/(tbl_raw[[#This Row],[Selling_Price]]*tbl_raw[[#This Row],[Units_Sold]]),0)</f>
        <v>1.56702025072324E-2</v>
      </c>
      <c r="S271" s="23" t="s">
        <v>40</v>
      </c>
      <c r="T271" s="23" t="s">
        <v>86</v>
      </c>
      <c r="U271" s="23">
        <f>IF(tbl_raw[[#This Row],[Order_Status]]="Returned",1,0)</f>
        <v>1</v>
      </c>
      <c r="V271" s="23">
        <f>IF(tbl_raw[[#This Row],[Payment_Method]]="COD",1,0)</f>
        <v>1</v>
      </c>
      <c r="W271" s="26">
        <f>MIN(1,(tbl_raw[[#This Row],[Discount_Pct]]*1.4)+(tbl_raw[[#This Row],[COD_Flag]]*0.35))</f>
        <v>0.85399999999999998</v>
      </c>
    </row>
    <row r="272" spans="1:23" ht="22.8" x14ac:dyDescent="0.3">
      <c r="A272" s="17" t="s">
        <v>833</v>
      </c>
      <c r="B272" s="18" t="s">
        <v>244</v>
      </c>
      <c r="C272" s="18" t="s">
        <v>99</v>
      </c>
      <c r="D272" s="18" t="s">
        <v>78</v>
      </c>
      <c r="E272" s="18" t="s">
        <v>534</v>
      </c>
      <c r="F272" s="18" t="s">
        <v>834</v>
      </c>
      <c r="G272" s="18" t="s">
        <v>139</v>
      </c>
      <c r="H272" s="18" t="s">
        <v>48</v>
      </c>
      <c r="I272" s="18">
        <v>19</v>
      </c>
      <c r="J272" s="19">
        <v>5723</v>
      </c>
      <c r="K272" s="19">
        <v>4235</v>
      </c>
      <c r="L272" s="20">
        <v>0.26</v>
      </c>
      <c r="M272" s="19">
        <v>2670</v>
      </c>
      <c r="N272" s="19">
        <f>(tbl_raw[[#This Row],[Selling_Price]]-tbl_raw[[#This Row],[Cost_Price]])*tbl_raw[[#This Row],[Units_Sold]]</f>
        <v>29735</v>
      </c>
      <c r="O272" s="20">
        <f>IFERROR((tbl_raw[[#This Row],[Selling_Price]]-tbl_raw[[#This Row],[Cost_Price]]) / tbl_raw[[#This Row],[Selling_Price]],0)</f>
        <v>0.3695395513577332</v>
      </c>
      <c r="P272" s="19">
        <v>139</v>
      </c>
      <c r="Q272" s="19">
        <f>tbl_raw[[#This Row],[Gross_Profit]]-(tbl_raw[[#This Row],[Shipping_Cost]]*tbl_raw[[#This Row],[Units_Sold]])</f>
        <v>27094</v>
      </c>
      <c r="R272" s="20">
        <f>IFERROR(tbl_raw[[#This Row],[Net_Profit]]/(tbl_raw[[#This Row],[Selling_Price]]*tbl_raw[[#This Row],[Units_Sold]]),0)</f>
        <v>0.33671782762691854</v>
      </c>
      <c r="S272" s="18" t="s">
        <v>40</v>
      </c>
      <c r="T272" s="18" t="s">
        <v>86</v>
      </c>
      <c r="U272" s="18">
        <f>IF(tbl_raw[[#This Row],[Order_Status]]="Returned",1,0)</f>
        <v>1</v>
      </c>
      <c r="V272" s="18">
        <f>IF(tbl_raw[[#This Row],[Payment_Method]]="COD",1,0)</f>
        <v>1</v>
      </c>
      <c r="W272" s="21">
        <f>MIN(1,(tbl_raw[[#This Row],[Discount_Pct]]*1.4)+(tbl_raw[[#This Row],[COD_Flag]]*0.35))</f>
        <v>0.71399999999999997</v>
      </c>
    </row>
    <row r="273" spans="1:23" ht="22.8" x14ac:dyDescent="0.3">
      <c r="A273" s="22" t="s">
        <v>835</v>
      </c>
      <c r="B273" s="23" t="s">
        <v>836</v>
      </c>
      <c r="C273" s="23" t="s">
        <v>117</v>
      </c>
      <c r="D273" s="23" t="s">
        <v>44</v>
      </c>
      <c r="E273" s="23" t="s">
        <v>338</v>
      </c>
      <c r="F273" s="23" t="s">
        <v>837</v>
      </c>
      <c r="G273" s="23" t="s">
        <v>81</v>
      </c>
      <c r="H273" s="23" t="s">
        <v>30</v>
      </c>
      <c r="I273" s="23">
        <v>18</v>
      </c>
      <c r="J273" s="24">
        <v>1613</v>
      </c>
      <c r="K273" s="24">
        <v>1548</v>
      </c>
      <c r="L273" s="25">
        <v>0.04</v>
      </c>
      <c r="M273" s="24">
        <v>717</v>
      </c>
      <c r="N273" s="24">
        <f>(tbl_raw[[#This Row],[Selling_Price]]-tbl_raw[[#This Row],[Cost_Price]])*tbl_raw[[#This Row],[Units_Sold]]</f>
        <v>14958</v>
      </c>
      <c r="O273" s="25">
        <f>IFERROR((tbl_raw[[#This Row],[Selling_Price]]-tbl_raw[[#This Row],[Cost_Price]]) / tbl_raw[[#This Row],[Selling_Price]],0)</f>
        <v>0.53682170542635654</v>
      </c>
      <c r="P273" s="24">
        <v>69</v>
      </c>
      <c r="Q273" s="24">
        <f>tbl_raw[[#This Row],[Gross_Profit]]-(tbl_raw[[#This Row],[Shipping_Cost]]*tbl_raw[[#This Row],[Units_Sold]])</f>
        <v>13716</v>
      </c>
      <c r="R273" s="25">
        <f>IFERROR(tbl_raw[[#This Row],[Net_Profit]]/(tbl_raw[[#This Row],[Selling_Price]]*tbl_raw[[#This Row],[Units_Sold]]),0)</f>
        <v>0.49224806201550386</v>
      </c>
      <c r="S273" s="23" t="s">
        <v>65</v>
      </c>
      <c r="T273" s="23" t="s">
        <v>32</v>
      </c>
      <c r="U273" s="23">
        <f>IF(tbl_raw[[#This Row],[Order_Status]]="Returned",1,0)</f>
        <v>0</v>
      </c>
      <c r="V273" s="23">
        <f>IF(tbl_raw[[#This Row],[Payment_Method]]="COD",1,0)</f>
        <v>0</v>
      </c>
      <c r="W273" s="26">
        <f>MIN(1,(tbl_raw[[#This Row],[Discount_Pct]]*1.4)+(tbl_raw[[#This Row],[COD_Flag]]*0.35))</f>
        <v>5.5999999999999994E-2</v>
      </c>
    </row>
    <row r="274" spans="1:23" ht="22.8" x14ac:dyDescent="0.3">
      <c r="A274" s="17" t="s">
        <v>838</v>
      </c>
      <c r="B274" s="18" t="s">
        <v>839</v>
      </c>
      <c r="C274" s="18" t="s">
        <v>25</v>
      </c>
      <c r="D274" s="18" t="s">
        <v>175</v>
      </c>
      <c r="E274" s="18" t="s">
        <v>225</v>
      </c>
      <c r="F274" s="18" t="s">
        <v>840</v>
      </c>
      <c r="G274" s="18" t="s">
        <v>29</v>
      </c>
      <c r="H274" s="18" t="s">
        <v>30</v>
      </c>
      <c r="I274" s="18">
        <v>10</v>
      </c>
      <c r="J274" s="19">
        <v>3480</v>
      </c>
      <c r="K274" s="19">
        <v>2088</v>
      </c>
      <c r="L274" s="20">
        <v>0.4</v>
      </c>
      <c r="M274" s="19">
        <v>1845</v>
      </c>
      <c r="N274" s="19">
        <f>(tbl_raw[[#This Row],[Selling_Price]]-tbl_raw[[#This Row],[Cost_Price]])*tbl_raw[[#This Row],[Units_Sold]]</f>
        <v>2430</v>
      </c>
      <c r="O274" s="20">
        <f>IFERROR((tbl_raw[[#This Row],[Selling_Price]]-tbl_raw[[#This Row],[Cost_Price]]) / tbl_raw[[#This Row],[Selling_Price]],0)</f>
        <v>0.11637931034482758</v>
      </c>
      <c r="P274" s="19">
        <v>118</v>
      </c>
      <c r="Q274" s="19">
        <f>tbl_raw[[#This Row],[Gross_Profit]]-(tbl_raw[[#This Row],[Shipping_Cost]]*tbl_raw[[#This Row],[Units_Sold]])</f>
        <v>1250</v>
      </c>
      <c r="R274" s="20">
        <f>IFERROR(tbl_raw[[#This Row],[Net_Profit]]/(tbl_raw[[#This Row],[Selling_Price]]*tbl_raw[[#This Row],[Units_Sold]]),0)</f>
        <v>5.9865900383141761E-2</v>
      </c>
      <c r="S274" s="18" t="s">
        <v>31</v>
      </c>
      <c r="T274" s="18" t="s">
        <v>32</v>
      </c>
      <c r="U274" s="18">
        <f>IF(tbl_raw[[#This Row],[Order_Status]]="Returned",1,0)</f>
        <v>0</v>
      </c>
      <c r="V274" s="18">
        <f>IF(tbl_raw[[#This Row],[Payment_Method]]="COD",1,0)</f>
        <v>0</v>
      </c>
      <c r="W274" s="21">
        <f>MIN(1,(tbl_raw[[#This Row],[Discount_Pct]]*1.4)+(tbl_raw[[#This Row],[COD_Flag]]*0.35))</f>
        <v>0.55999999999999994</v>
      </c>
    </row>
    <row r="275" spans="1:23" ht="22.8" x14ac:dyDescent="0.3">
      <c r="A275" s="22" t="s">
        <v>841</v>
      </c>
      <c r="B275" s="23" t="s">
        <v>842</v>
      </c>
      <c r="C275" s="23" t="s">
        <v>25</v>
      </c>
      <c r="D275" s="23" t="s">
        <v>175</v>
      </c>
      <c r="E275" s="23" t="s">
        <v>149</v>
      </c>
      <c r="F275" s="23" t="s">
        <v>843</v>
      </c>
      <c r="G275" s="23" t="s">
        <v>38</v>
      </c>
      <c r="H275" s="23" t="s">
        <v>39</v>
      </c>
      <c r="I275" s="23">
        <v>4</v>
      </c>
      <c r="J275" s="24">
        <v>6966</v>
      </c>
      <c r="K275" s="24">
        <v>5782</v>
      </c>
      <c r="L275" s="25">
        <v>0.17</v>
      </c>
      <c r="M275" s="24">
        <v>3514</v>
      </c>
      <c r="N275" s="24">
        <f>(tbl_raw[[#This Row],[Selling_Price]]-tbl_raw[[#This Row],[Cost_Price]])*tbl_raw[[#This Row],[Units_Sold]]</f>
        <v>9072</v>
      </c>
      <c r="O275" s="25">
        <f>IFERROR((tbl_raw[[#This Row],[Selling_Price]]-tbl_raw[[#This Row],[Cost_Price]]) / tbl_raw[[#This Row],[Selling_Price]],0)</f>
        <v>0.39225181598062953</v>
      </c>
      <c r="P275" s="24">
        <v>38</v>
      </c>
      <c r="Q275" s="24">
        <f>tbl_raw[[#This Row],[Gross_Profit]]-(tbl_raw[[#This Row],[Shipping_Cost]]*tbl_raw[[#This Row],[Units_Sold]])</f>
        <v>8920</v>
      </c>
      <c r="R275" s="25">
        <f>IFERROR(tbl_raw[[#This Row],[Net_Profit]]/(tbl_raw[[#This Row],[Selling_Price]]*tbl_raw[[#This Row],[Units_Sold]]),0)</f>
        <v>0.38567969560705639</v>
      </c>
      <c r="S275" s="23" t="s">
        <v>40</v>
      </c>
      <c r="T275" s="23" t="s">
        <v>32</v>
      </c>
      <c r="U275" s="23">
        <f>IF(tbl_raw[[#This Row],[Order_Status]]="Returned",1,0)</f>
        <v>0</v>
      </c>
      <c r="V275" s="23">
        <f>IF(tbl_raw[[#This Row],[Payment_Method]]="COD",1,0)</f>
        <v>1</v>
      </c>
      <c r="W275" s="26">
        <f>MIN(1,(tbl_raw[[#This Row],[Discount_Pct]]*1.4)+(tbl_raw[[#This Row],[COD_Flag]]*0.35))</f>
        <v>0.58799999999999997</v>
      </c>
    </row>
    <row r="276" spans="1:23" ht="22.8" x14ac:dyDescent="0.3">
      <c r="A276" s="17" t="s">
        <v>844</v>
      </c>
      <c r="B276" s="18" t="s">
        <v>77</v>
      </c>
      <c r="C276" s="18" t="s">
        <v>52</v>
      </c>
      <c r="D276" s="18" t="s">
        <v>62</v>
      </c>
      <c r="E276" s="18" t="s">
        <v>203</v>
      </c>
      <c r="F276" s="18" t="s">
        <v>845</v>
      </c>
      <c r="G276" s="18" t="s">
        <v>81</v>
      </c>
      <c r="H276" s="18" t="s">
        <v>30</v>
      </c>
      <c r="I276" s="18">
        <v>3</v>
      </c>
      <c r="J276" s="19">
        <v>4003</v>
      </c>
      <c r="K276" s="19">
        <v>2882</v>
      </c>
      <c r="L276" s="20">
        <v>0.28000000000000003</v>
      </c>
      <c r="M276" s="19">
        <v>1849</v>
      </c>
      <c r="N276" s="19">
        <f>(tbl_raw[[#This Row],[Selling_Price]]-tbl_raw[[#This Row],[Cost_Price]])*tbl_raw[[#This Row],[Units_Sold]]</f>
        <v>3099</v>
      </c>
      <c r="O276" s="20">
        <f>IFERROR((tbl_raw[[#This Row],[Selling_Price]]-tbl_raw[[#This Row],[Cost_Price]]) / tbl_raw[[#This Row],[Selling_Price]],0)</f>
        <v>0.35843164469118666</v>
      </c>
      <c r="P276" s="19">
        <v>125</v>
      </c>
      <c r="Q276" s="19">
        <f>tbl_raw[[#This Row],[Gross_Profit]]-(tbl_raw[[#This Row],[Shipping_Cost]]*tbl_raw[[#This Row],[Units_Sold]])</f>
        <v>2724</v>
      </c>
      <c r="R276" s="20">
        <f>IFERROR(tbl_raw[[#This Row],[Net_Profit]]/(tbl_raw[[#This Row],[Selling_Price]]*tbl_raw[[#This Row],[Units_Sold]]),0)</f>
        <v>0.31505898681471201</v>
      </c>
      <c r="S276" s="18" t="s">
        <v>58</v>
      </c>
      <c r="T276" s="18" t="s">
        <v>32</v>
      </c>
      <c r="U276" s="18">
        <f>IF(tbl_raw[[#This Row],[Order_Status]]="Returned",1,0)</f>
        <v>0</v>
      </c>
      <c r="V276" s="18">
        <f>IF(tbl_raw[[#This Row],[Payment_Method]]="COD",1,0)</f>
        <v>0</v>
      </c>
      <c r="W276" s="21">
        <f>MIN(1,(tbl_raw[[#This Row],[Discount_Pct]]*1.4)+(tbl_raw[[#This Row],[COD_Flag]]*0.35))</f>
        <v>0.39200000000000002</v>
      </c>
    </row>
    <row r="277" spans="1:23" ht="22.8" x14ac:dyDescent="0.3">
      <c r="A277" s="22" t="s">
        <v>846</v>
      </c>
      <c r="B277" s="23" t="s">
        <v>847</v>
      </c>
      <c r="C277" s="23" t="s">
        <v>43</v>
      </c>
      <c r="D277" s="23" t="s">
        <v>164</v>
      </c>
      <c r="E277" s="23" t="s">
        <v>251</v>
      </c>
      <c r="F277" s="23" t="s">
        <v>848</v>
      </c>
      <c r="G277" s="23" t="s">
        <v>120</v>
      </c>
      <c r="H277" s="23" t="s">
        <v>39</v>
      </c>
      <c r="I277" s="23">
        <v>5</v>
      </c>
      <c r="J277" s="24">
        <v>4993</v>
      </c>
      <c r="K277" s="24">
        <v>3545</v>
      </c>
      <c r="L277" s="25">
        <v>0.28999999999999998</v>
      </c>
      <c r="M277" s="24">
        <v>2702</v>
      </c>
      <c r="N277" s="24">
        <f>(tbl_raw[[#This Row],[Selling_Price]]-tbl_raw[[#This Row],[Cost_Price]])*tbl_raw[[#This Row],[Units_Sold]]</f>
        <v>4215</v>
      </c>
      <c r="O277" s="25">
        <f>IFERROR((tbl_raw[[#This Row],[Selling_Price]]-tbl_raw[[#This Row],[Cost_Price]]) / tbl_raw[[#This Row],[Selling_Price]],0)</f>
        <v>0.23779971791255289</v>
      </c>
      <c r="P277" s="24">
        <v>175</v>
      </c>
      <c r="Q277" s="24">
        <f>tbl_raw[[#This Row],[Gross_Profit]]-(tbl_raw[[#This Row],[Shipping_Cost]]*tbl_raw[[#This Row],[Units_Sold]])</f>
        <v>3340</v>
      </c>
      <c r="R277" s="25">
        <f>IFERROR(tbl_raw[[#This Row],[Net_Profit]]/(tbl_raw[[#This Row],[Selling_Price]]*tbl_raw[[#This Row],[Units_Sold]]),0)</f>
        <v>0.18843441466854724</v>
      </c>
      <c r="S277" s="23" t="s">
        <v>31</v>
      </c>
      <c r="T277" s="23" t="s">
        <v>32</v>
      </c>
      <c r="U277" s="23">
        <f>IF(tbl_raw[[#This Row],[Order_Status]]="Returned",1,0)</f>
        <v>0</v>
      </c>
      <c r="V277" s="23">
        <f>IF(tbl_raw[[#This Row],[Payment_Method]]="COD",1,0)</f>
        <v>0</v>
      </c>
      <c r="W277" s="26">
        <f>MIN(1,(tbl_raw[[#This Row],[Discount_Pct]]*1.4)+(tbl_raw[[#This Row],[COD_Flag]]*0.35))</f>
        <v>0.40599999999999997</v>
      </c>
    </row>
    <row r="278" spans="1:23" ht="22.8" x14ac:dyDescent="0.3">
      <c r="A278" s="17" t="s">
        <v>849</v>
      </c>
      <c r="B278" s="18" t="s">
        <v>363</v>
      </c>
      <c r="C278" s="18" t="s">
        <v>156</v>
      </c>
      <c r="D278" s="18" t="s">
        <v>26</v>
      </c>
      <c r="E278" s="18" t="s">
        <v>27</v>
      </c>
      <c r="F278" s="18" t="s">
        <v>850</v>
      </c>
      <c r="G278" s="18" t="s">
        <v>38</v>
      </c>
      <c r="H278" s="18" t="s">
        <v>39</v>
      </c>
      <c r="I278" s="18">
        <v>7</v>
      </c>
      <c r="J278" s="19">
        <v>340</v>
      </c>
      <c r="K278" s="19">
        <v>340</v>
      </c>
      <c r="L278" s="20">
        <v>0</v>
      </c>
      <c r="M278" s="19">
        <v>223</v>
      </c>
      <c r="N278" s="19">
        <f>(tbl_raw[[#This Row],[Selling_Price]]-tbl_raw[[#This Row],[Cost_Price]])*tbl_raw[[#This Row],[Units_Sold]]</f>
        <v>819</v>
      </c>
      <c r="O278" s="20">
        <f>IFERROR((tbl_raw[[#This Row],[Selling_Price]]-tbl_raw[[#This Row],[Cost_Price]]) / tbl_raw[[#This Row],[Selling_Price]],0)</f>
        <v>0.34411764705882353</v>
      </c>
      <c r="P278" s="19">
        <v>64</v>
      </c>
      <c r="Q278" s="19">
        <f>tbl_raw[[#This Row],[Gross_Profit]]-(tbl_raw[[#This Row],[Shipping_Cost]]*tbl_raw[[#This Row],[Units_Sold]])</f>
        <v>371</v>
      </c>
      <c r="R278" s="20">
        <f>IFERROR(tbl_raw[[#This Row],[Net_Profit]]/(tbl_raw[[#This Row],[Selling_Price]]*tbl_raw[[#This Row],[Units_Sold]]),0)</f>
        <v>0.15588235294117647</v>
      </c>
      <c r="S278" s="18" t="s">
        <v>107</v>
      </c>
      <c r="T278" s="18" t="s">
        <v>32</v>
      </c>
      <c r="U278" s="18">
        <f>IF(tbl_raw[[#This Row],[Order_Status]]="Returned",1,0)</f>
        <v>0</v>
      </c>
      <c r="V278" s="18">
        <f>IF(tbl_raw[[#This Row],[Payment_Method]]="COD",1,0)</f>
        <v>0</v>
      </c>
      <c r="W278" s="21">
        <f>MIN(1,(tbl_raw[[#This Row],[Discount_Pct]]*1.4)+(tbl_raw[[#This Row],[COD_Flag]]*0.35))</f>
        <v>0</v>
      </c>
    </row>
    <row r="279" spans="1:23" ht="22.8" x14ac:dyDescent="0.3">
      <c r="A279" s="22" t="s">
        <v>851</v>
      </c>
      <c r="B279" s="23" t="s">
        <v>852</v>
      </c>
      <c r="C279" s="23" t="s">
        <v>105</v>
      </c>
      <c r="D279" s="23" t="s">
        <v>53</v>
      </c>
      <c r="E279" s="23" t="s">
        <v>145</v>
      </c>
      <c r="F279" s="23" t="s">
        <v>853</v>
      </c>
      <c r="G279" s="23" t="s">
        <v>139</v>
      </c>
      <c r="H279" s="23" t="s">
        <v>48</v>
      </c>
      <c r="I279" s="23">
        <v>10</v>
      </c>
      <c r="J279" s="24">
        <v>7598</v>
      </c>
      <c r="K279" s="24">
        <v>6002</v>
      </c>
      <c r="L279" s="25">
        <v>0.21</v>
      </c>
      <c r="M279" s="24">
        <v>4423</v>
      </c>
      <c r="N279" s="24">
        <f>(tbl_raw[[#This Row],[Selling_Price]]-tbl_raw[[#This Row],[Cost_Price]])*tbl_raw[[#This Row],[Units_Sold]]</f>
        <v>15790</v>
      </c>
      <c r="O279" s="25">
        <f>IFERROR((tbl_raw[[#This Row],[Selling_Price]]-tbl_raw[[#This Row],[Cost_Price]]) / tbl_raw[[#This Row],[Selling_Price]],0)</f>
        <v>0.26307897367544153</v>
      </c>
      <c r="P279" s="24">
        <v>109</v>
      </c>
      <c r="Q279" s="24">
        <f>tbl_raw[[#This Row],[Gross_Profit]]-(tbl_raw[[#This Row],[Shipping_Cost]]*tbl_raw[[#This Row],[Units_Sold]])</f>
        <v>14700</v>
      </c>
      <c r="R279" s="25">
        <f>IFERROR(tbl_raw[[#This Row],[Net_Profit]]/(tbl_raw[[#This Row],[Selling_Price]]*tbl_raw[[#This Row],[Units_Sold]]),0)</f>
        <v>0.2449183605464845</v>
      </c>
      <c r="S279" s="23" t="s">
        <v>31</v>
      </c>
      <c r="T279" s="23" t="s">
        <v>49</v>
      </c>
      <c r="U279" s="23">
        <f>IF(tbl_raw[[#This Row],[Order_Status]]="Returned",1,0)</f>
        <v>0</v>
      </c>
      <c r="V279" s="23">
        <f>IF(tbl_raw[[#This Row],[Payment_Method]]="COD",1,0)</f>
        <v>0</v>
      </c>
      <c r="W279" s="26">
        <f>MIN(1,(tbl_raw[[#This Row],[Discount_Pct]]*1.4)+(tbl_raw[[#This Row],[COD_Flag]]*0.35))</f>
        <v>0.29399999999999998</v>
      </c>
    </row>
    <row r="280" spans="1:23" ht="22.8" x14ac:dyDescent="0.3">
      <c r="A280" s="17" t="s">
        <v>854</v>
      </c>
      <c r="B280" s="18" t="s">
        <v>855</v>
      </c>
      <c r="C280" s="18" t="s">
        <v>89</v>
      </c>
      <c r="D280" s="18" t="s">
        <v>44</v>
      </c>
      <c r="E280" s="18" t="s">
        <v>73</v>
      </c>
      <c r="F280" s="18" t="s">
        <v>856</v>
      </c>
      <c r="G280" s="18" t="s">
        <v>47</v>
      </c>
      <c r="H280" s="18" t="s">
        <v>48</v>
      </c>
      <c r="I280" s="18">
        <v>1</v>
      </c>
      <c r="J280" s="19">
        <v>1982</v>
      </c>
      <c r="K280" s="19">
        <v>1328</v>
      </c>
      <c r="L280" s="20">
        <v>0.33</v>
      </c>
      <c r="M280" s="19">
        <v>884</v>
      </c>
      <c r="N280" s="19">
        <f>(tbl_raw[[#This Row],[Selling_Price]]-tbl_raw[[#This Row],[Cost_Price]])*tbl_raw[[#This Row],[Units_Sold]]</f>
        <v>444</v>
      </c>
      <c r="O280" s="20">
        <f>IFERROR((tbl_raw[[#This Row],[Selling_Price]]-tbl_raw[[#This Row],[Cost_Price]]) / tbl_raw[[#This Row],[Selling_Price]],0)</f>
        <v>0.33433734939759036</v>
      </c>
      <c r="P280" s="19">
        <v>140</v>
      </c>
      <c r="Q280" s="19">
        <f>tbl_raw[[#This Row],[Gross_Profit]]-(tbl_raw[[#This Row],[Shipping_Cost]]*tbl_raw[[#This Row],[Units_Sold]])</f>
        <v>304</v>
      </c>
      <c r="R280" s="20">
        <f>IFERROR(tbl_raw[[#This Row],[Net_Profit]]/(tbl_raw[[#This Row],[Selling_Price]]*tbl_raw[[#This Row],[Units_Sold]]),0)</f>
        <v>0.2289156626506024</v>
      </c>
      <c r="S280" s="18" t="s">
        <v>65</v>
      </c>
      <c r="T280" s="18" t="s">
        <v>32</v>
      </c>
      <c r="U280" s="18">
        <f>IF(tbl_raw[[#This Row],[Order_Status]]="Returned",1,0)</f>
        <v>0</v>
      </c>
      <c r="V280" s="18">
        <f>IF(tbl_raw[[#This Row],[Payment_Method]]="COD",1,0)</f>
        <v>0</v>
      </c>
      <c r="W280" s="21">
        <f>MIN(1,(tbl_raw[[#This Row],[Discount_Pct]]*1.4)+(tbl_raw[[#This Row],[COD_Flag]]*0.35))</f>
        <v>0.46199999999999997</v>
      </c>
    </row>
    <row r="281" spans="1:23" ht="22.8" x14ac:dyDescent="0.3">
      <c r="A281" s="22" t="s">
        <v>857</v>
      </c>
      <c r="B281" s="23" t="s">
        <v>625</v>
      </c>
      <c r="C281" s="23" t="s">
        <v>156</v>
      </c>
      <c r="D281" s="23" t="s">
        <v>26</v>
      </c>
      <c r="E281" s="23" t="s">
        <v>168</v>
      </c>
      <c r="F281" s="23" t="s">
        <v>858</v>
      </c>
      <c r="G281" s="23" t="s">
        <v>143</v>
      </c>
      <c r="H281" s="23" t="s">
        <v>30</v>
      </c>
      <c r="I281" s="23">
        <v>18</v>
      </c>
      <c r="J281" s="24">
        <v>5060</v>
      </c>
      <c r="K281" s="24">
        <v>3694</v>
      </c>
      <c r="L281" s="25">
        <v>0.27</v>
      </c>
      <c r="M281" s="24">
        <v>2109</v>
      </c>
      <c r="N281" s="24">
        <f>(tbl_raw[[#This Row],[Selling_Price]]-tbl_raw[[#This Row],[Cost_Price]])*tbl_raw[[#This Row],[Units_Sold]]</f>
        <v>28530</v>
      </c>
      <c r="O281" s="25">
        <f>IFERROR((tbl_raw[[#This Row],[Selling_Price]]-tbl_raw[[#This Row],[Cost_Price]]) / tbl_raw[[#This Row],[Selling_Price]],0)</f>
        <v>0.42907417433676232</v>
      </c>
      <c r="P281" s="24">
        <v>46</v>
      </c>
      <c r="Q281" s="24">
        <f>tbl_raw[[#This Row],[Gross_Profit]]-(tbl_raw[[#This Row],[Shipping_Cost]]*tbl_raw[[#This Row],[Units_Sold]])</f>
        <v>27702</v>
      </c>
      <c r="R281" s="25">
        <f>IFERROR(tbl_raw[[#This Row],[Net_Profit]]/(tbl_raw[[#This Row],[Selling_Price]]*tbl_raw[[#This Row],[Units_Sold]]),0)</f>
        <v>0.4166215484569572</v>
      </c>
      <c r="S281" s="23" t="s">
        <v>58</v>
      </c>
      <c r="T281" s="23" t="s">
        <v>32</v>
      </c>
      <c r="U281" s="23">
        <f>IF(tbl_raw[[#This Row],[Order_Status]]="Returned",1,0)</f>
        <v>0</v>
      </c>
      <c r="V281" s="23">
        <f>IF(tbl_raw[[#This Row],[Payment_Method]]="COD",1,0)</f>
        <v>0</v>
      </c>
      <c r="W281" s="26">
        <f>MIN(1,(tbl_raw[[#This Row],[Discount_Pct]]*1.4)+(tbl_raw[[#This Row],[COD_Flag]]*0.35))</f>
        <v>0.378</v>
      </c>
    </row>
    <row r="282" spans="1:23" ht="22.8" x14ac:dyDescent="0.3">
      <c r="A282" s="17" t="s">
        <v>859</v>
      </c>
      <c r="B282" s="18" t="s">
        <v>860</v>
      </c>
      <c r="C282" s="18" t="s">
        <v>117</v>
      </c>
      <c r="D282" s="18" t="s">
        <v>175</v>
      </c>
      <c r="E282" s="18" t="s">
        <v>176</v>
      </c>
      <c r="F282" s="18" t="s">
        <v>861</v>
      </c>
      <c r="G282" s="18" t="s">
        <v>75</v>
      </c>
      <c r="H282" s="18" t="s">
        <v>48</v>
      </c>
      <c r="I282" s="18">
        <v>5</v>
      </c>
      <c r="J282" s="19">
        <v>1803</v>
      </c>
      <c r="K282" s="19">
        <v>1244</v>
      </c>
      <c r="L282" s="20">
        <v>0.31</v>
      </c>
      <c r="M282" s="19">
        <v>727</v>
      </c>
      <c r="N282" s="19">
        <f>(tbl_raw[[#This Row],[Selling_Price]]-tbl_raw[[#This Row],[Cost_Price]])*tbl_raw[[#This Row],[Units_Sold]]</f>
        <v>2585</v>
      </c>
      <c r="O282" s="20">
        <f>IFERROR((tbl_raw[[#This Row],[Selling_Price]]-tbl_raw[[#This Row],[Cost_Price]]) / tbl_raw[[#This Row],[Selling_Price]],0)</f>
        <v>0.41559485530546625</v>
      </c>
      <c r="P282" s="19">
        <v>93</v>
      </c>
      <c r="Q282" s="19">
        <f>tbl_raw[[#This Row],[Gross_Profit]]-(tbl_raw[[#This Row],[Shipping_Cost]]*tbl_raw[[#This Row],[Units_Sold]])</f>
        <v>2120</v>
      </c>
      <c r="R282" s="20">
        <f>IFERROR(tbl_raw[[#This Row],[Net_Profit]]/(tbl_raw[[#This Row],[Selling_Price]]*tbl_raw[[#This Row],[Units_Sold]]),0)</f>
        <v>0.34083601286173631</v>
      </c>
      <c r="S282" s="18" t="s">
        <v>58</v>
      </c>
      <c r="T282" s="18" t="s">
        <v>32</v>
      </c>
      <c r="U282" s="18">
        <f>IF(tbl_raw[[#This Row],[Order_Status]]="Returned",1,0)</f>
        <v>0</v>
      </c>
      <c r="V282" s="18">
        <f>IF(tbl_raw[[#This Row],[Payment_Method]]="COD",1,0)</f>
        <v>0</v>
      </c>
      <c r="W282" s="21">
        <f>MIN(1,(tbl_raw[[#This Row],[Discount_Pct]]*1.4)+(tbl_raw[[#This Row],[COD_Flag]]*0.35))</f>
        <v>0.434</v>
      </c>
    </row>
    <row r="283" spans="1:23" ht="22.8" x14ac:dyDescent="0.3">
      <c r="A283" s="22" t="s">
        <v>862</v>
      </c>
      <c r="B283" s="23" t="s">
        <v>228</v>
      </c>
      <c r="C283" s="23" t="s">
        <v>199</v>
      </c>
      <c r="D283" s="23" t="s">
        <v>164</v>
      </c>
      <c r="E283" s="23" t="s">
        <v>251</v>
      </c>
      <c r="F283" s="23" t="s">
        <v>863</v>
      </c>
      <c r="G283" s="23" t="s">
        <v>120</v>
      </c>
      <c r="H283" s="23" t="s">
        <v>39</v>
      </c>
      <c r="I283" s="23">
        <v>17</v>
      </c>
      <c r="J283" s="24">
        <v>5806</v>
      </c>
      <c r="K283" s="24">
        <v>5516</v>
      </c>
      <c r="L283" s="25">
        <v>0.05</v>
      </c>
      <c r="M283" s="24">
        <v>2554</v>
      </c>
      <c r="N283" s="24">
        <f>(tbl_raw[[#This Row],[Selling_Price]]-tbl_raw[[#This Row],[Cost_Price]])*tbl_raw[[#This Row],[Units_Sold]]</f>
        <v>50354</v>
      </c>
      <c r="O283" s="25">
        <f>IFERROR((tbl_raw[[#This Row],[Selling_Price]]-tbl_raw[[#This Row],[Cost_Price]]) / tbl_raw[[#This Row],[Selling_Price]],0)</f>
        <v>0.53698332124728065</v>
      </c>
      <c r="P283" s="24">
        <v>46</v>
      </c>
      <c r="Q283" s="24">
        <f>tbl_raw[[#This Row],[Gross_Profit]]-(tbl_raw[[#This Row],[Shipping_Cost]]*tbl_raw[[#This Row],[Units_Sold]])</f>
        <v>49572</v>
      </c>
      <c r="R283" s="25">
        <f>IFERROR(tbl_raw[[#This Row],[Net_Profit]]/(tbl_raw[[#This Row],[Selling_Price]]*tbl_raw[[#This Row],[Units_Sold]]),0)</f>
        <v>0.52864394488759969</v>
      </c>
      <c r="S283" s="23" t="s">
        <v>40</v>
      </c>
      <c r="T283" s="23" t="s">
        <v>59</v>
      </c>
      <c r="U283" s="23">
        <f>IF(tbl_raw[[#This Row],[Order_Status]]="Returned",1,0)</f>
        <v>0</v>
      </c>
      <c r="V283" s="23">
        <f>IF(tbl_raw[[#This Row],[Payment_Method]]="COD",1,0)</f>
        <v>1</v>
      </c>
      <c r="W283" s="26">
        <f>MIN(1,(tbl_raw[[#This Row],[Discount_Pct]]*1.4)+(tbl_raw[[#This Row],[COD_Flag]]*0.35))</f>
        <v>0.42</v>
      </c>
    </row>
    <row r="284" spans="1:23" ht="22.8" x14ac:dyDescent="0.3">
      <c r="A284" s="17" t="s">
        <v>864</v>
      </c>
      <c r="B284" s="18" t="s">
        <v>865</v>
      </c>
      <c r="C284" s="18" t="s">
        <v>105</v>
      </c>
      <c r="D284" s="18" t="s">
        <v>44</v>
      </c>
      <c r="E284" s="18" t="s">
        <v>275</v>
      </c>
      <c r="F284" s="18" t="s">
        <v>866</v>
      </c>
      <c r="G284" s="18" t="s">
        <v>81</v>
      </c>
      <c r="H284" s="18" t="s">
        <v>30</v>
      </c>
      <c r="I284" s="18">
        <v>2</v>
      </c>
      <c r="J284" s="19">
        <v>4475</v>
      </c>
      <c r="K284" s="19">
        <v>2640</v>
      </c>
      <c r="L284" s="20">
        <v>0.41</v>
      </c>
      <c r="M284" s="19">
        <v>2868</v>
      </c>
      <c r="N284" s="19">
        <f>(tbl_raw[[#This Row],[Selling_Price]]-tbl_raw[[#This Row],[Cost_Price]])*tbl_raw[[#This Row],[Units_Sold]]</f>
        <v>-456</v>
      </c>
      <c r="O284" s="20">
        <f>IFERROR((tbl_raw[[#This Row],[Selling_Price]]-tbl_raw[[#This Row],[Cost_Price]]) / tbl_raw[[#This Row],[Selling_Price]],0)</f>
        <v>-8.6363636363636365E-2</v>
      </c>
      <c r="P284" s="19">
        <v>102</v>
      </c>
      <c r="Q284" s="19">
        <f>tbl_raw[[#This Row],[Gross_Profit]]-(tbl_raw[[#This Row],[Shipping_Cost]]*tbl_raw[[#This Row],[Units_Sold]])</f>
        <v>-660</v>
      </c>
      <c r="R284" s="20">
        <f>IFERROR(tbl_raw[[#This Row],[Net_Profit]]/(tbl_raw[[#This Row],[Selling_Price]]*tbl_raw[[#This Row],[Units_Sold]]),0)</f>
        <v>-0.125</v>
      </c>
      <c r="S284" s="18" t="s">
        <v>40</v>
      </c>
      <c r="T284" s="18" t="s">
        <v>86</v>
      </c>
      <c r="U284" s="18">
        <f>IF(tbl_raw[[#This Row],[Order_Status]]="Returned",1,0)</f>
        <v>1</v>
      </c>
      <c r="V284" s="18">
        <f>IF(tbl_raw[[#This Row],[Payment_Method]]="COD",1,0)</f>
        <v>1</v>
      </c>
      <c r="W284" s="21">
        <f>MIN(1,(tbl_raw[[#This Row],[Discount_Pct]]*1.4)+(tbl_raw[[#This Row],[COD_Flag]]*0.35))</f>
        <v>0.92399999999999993</v>
      </c>
    </row>
    <row r="285" spans="1:23" ht="22.8" x14ac:dyDescent="0.3">
      <c r="A285" s="22" t="s">
        <v>867</v>
      </c>
      <c r="B285" s="23" t="s">
        <v>868</v>
      </c>
      <c r="C285" s="23" t="s">
        <v>72</v>
      </c>
      <c r="D285" s="23" t="s">
        <v>62</v>
      </c>
      <c r="E285" s="23" t="s">
        <v>203</v>
      </c>
      <c r="F285" s="23" t="s">
        <v>869</v>
      </c>
      <c r="G285" s="23" t="s">
        <v>38</v>
      </c>
      <c r="H285" s="23" t="s">
        <v>39</v>
      </c>
      <c r="I285" s="23">
        <v>3</v>
      </c>
      <c r="J285" s="24">
        <v>5844</v>
      </c>
      <c r="K285" s="24">
        <v>5552</v>
      </c>
      <c r="L285" s="25">
        <v>0.05</v>
      </c>
      <c r="M285" s="24">
        <v>2861</v>
      </c>
      <c r="N285" s="24">
        <f>(tbl_raw[[#This Row],[Selling_Price]]-tbl_raw[[#This Row],[Cost_Price]])*tbl_raw[[#This Row],[Units_Sold]]</f>
        <v>8073</v>
      </c>
      <c r="O285" s="25">
        <f>IFERROR((tbl_raw[[#This Row],[Selling_Price]]-tbl_raw[[#This Row],[Cost_Price]]) / tbl_raw[[#This Row],[Selling_Price]],0)</f>
        <v>0.48469020172910665</v>
      </c>
      <c r="P285" s="24">
        <v>65</v>
      </c>
      <c r="Q285" s="24">
        <f>tbl_raw[[#This Row],[Gross_Profit]]-(tbl_raw[[#This Row],[Shipping_Cost]]*tbl_raw[[#This Row],[Units_Sold]])</f>
        <v>7878</v>
      </c>
      <c r="R285" s="25">
        <f>IFERROR(tbl_raw[[#This Row],[Net_Profit]]/(tbl_raw[[#This Row],[Selling_Price]]*tbl_raw[[#This Row],[Units_Sold]]),0)</f>
        <v>0.47298270893371758</v>
      </c>
      <c r="S285" s="23" t="s">
        <v>107</v>
      </c>
      <c r="T285" s="23" t="s">
        <v>32</v>
      </c>
      <c r="U285" s="23">
        <f>IF(tbl_raw[[#This Row],[Order_Status]]="Returned",1,0)</f>
        <v>0</v>
      </c>
      <c r="V285" s="23">
        <f>IF(tbl_raw[[#This Row],[Payment_Method]]="COD",1,0)</f>
        <v>0</v>
      </c>
      <c r="W285" s="26">
        <f>MIN(1,(tbl_raw[[#This Row],[Discount_Pct]]*1.4)+(tbl_raw[[#This Row],[COD_Flag]]*0.35))</f>
        <v>6.9999999999999993E-2</v>
      </c>
    </row>
    <row r="286" spans="1:23" ht="22.8" x14ac:dyDescent="0.3">
      <c r="A286" s="17" t="s">
        <v>870</v>
      </c>
      <c r="B286" s="18" t="s">
        <v>427</v>
      </c>
      <c r="C286" s="18" t="s">
        <v>43</v>
      </c>
      <c r="D286" s="18" t="s">
        <v>26</v>
      </c>
      <c r="E286" s="18" t="s">
        <v>27</v>
      </c>
      <c r="F286" s="18" t="s">
        <v>871</v>
      </c>
      <c r="G286" s="18" t="s">
        <v>56</v>
      </c>
      <c r="H286" s="18" t="s">
        <v>57</v>
      </c>
      <c r="I286" s="18">
        <v>14</v>
      </c>
      <c r="J286" s="19">
        <v>5961</v>
      </c>
      <c r="K286" s="19">
        <v>5723</v>
      </c>
      <c r="L286" s="20">
        <v>0.04</v>
      </c>
      <c r="M286" s="19">
        <v>3966</v>
      </c>
      <c r="N286" s="19">
        <f>(tbl_raw[[#This Row],[Selling_Price]]-tbl_raw[[#This Row],[Cost_Price]])*tbl_raw[[#This Row],[Units_Sold]]</f>
        <v>24598</v>
      </c>
      <c r="O286" s="20">
        <f>IFERROR((tbl_raw[[#This Row],[Selling_Price]]-tbl_raw[[#This Row],[Cost_Price]]) / tbl_raw[[#This Row],[Selling_Price]],0)</f>
        <v>0.30700681460772322</v>
      </c>
      <c r="P286" s="19">
        <v>37</v>
      </c>
      <c r="Q286" s="19">
        <f>tbl_raw[[#This Row],[Gross_Profit]]-(tbl_raw[[#This Row],[Shipping_Cost]]*tbl_raw[[#This Row],[Units_Sold]])</f>
        <v>24080</v>
      </c>
      <c r="R286" s="20">
        <f>IFERROR(tbl_raw[[#This Row],[Net_Profit]]/(tbl_raw[[#This Row],[Selling_Price]]*tbl_raw[[#This Row],[Units_Sold]]),0)</f>
        <v>0.30054167394723047</v>
      </c>
      <c r="S286" s="18" t="s">
        <v>40</v>
      </c>
      <c r="T286" s="18" t="s">
        <v>32</v>
      </c>
      <c r="U286" s="18">
        <f>IF(tbl_raw[[#This Row],[Order_Status]]="Returned",1,0)</f>
        <v>0</v>
      </c>
      <c r="V286" s="18">
        <f>IF(tbl_raw[[#This Row],[Payment_Method]]="COD",1,0)</f>
        <v>1</v>
      </c>
      <c r="W286" s="21">
        <f>MIN(1,(tbl_raw[[#This Row],[Discount_Pct]]*1.4)+(tbl_raw[[#This Row],[COD_Flag]]*0.35))</f>
        <v>0.40599999999999997</v>
      </c>
    </row>
    <row r="287" spans="1:23" ht="22.8" x14ac:dyDescent="0.3">
      <c r="A287" s="22" t="s">
        <v>872</v>
      </c>
      <c r="B287" s="23" t="s">
        <v>109</v>
      </c>
      <c r="C287" s="23" t="s">
        <v>89</v>
      </c>
      <c r="D287" s="23" t="s">
        <v>53</v>
      </c>
      <c r="E287" s="23" t="s">
        <v>149</v>
      </c>
      <c r="F287" s="23" t="s">
        <v>873</v>
      </c>
      <c r="G287" s="23" t="s">
        <v>56</v>
      </c>
      <c r="H287" s="23" t="s">
        <v>57</v>
      </c>
      <c r="I287" s="23">
        <v>6</v>
      </c>
      <c r="J287" s="24">
        <v>1088</v>
      </c>
      <c r="K287" s="24">
        <v>892</v>
      </c>
      <c r="L287" s="25">
        <v>0.18</v>
      </c>
      <c r="M287" s="24">
        <v>609</v>
      </c>
      <c r="N287" s="24">
        <f>(tbl_raw[[#This Row],[Selling_Price]]-tbl_raw[[#This Row],[Cost_Price]])*tbl_raw[[#This Row],[Units_Sold]]</f>
        <v>1698</v>
      </c>
      <c r="O287" s="25">
        <f>IFERROR((tbl_raw[[#This Row],[Selling_Price]]-tbl_raw[[#This Row],[Cost_Price]]) / tbl_raw[[#This Row],[Selling_Price]],0)</f>
        <v>0.31726457399103142</v>
      </c>
      <c r="P287" s="24">
        <v>155</v>
      </c>
      <c r="Q287" s="24">
        <f>tbl_raw[[#This Row],[Gross_Profit]]-(tbl_raw[[#This Row],[Shipping_Cost]]*tbl_raw[[#This Row],[Units_Sold]])</f>
        <v>768</v>
      </c>
      <c r="R287" s="25">
        <f>IFERROR(tbl_raw[[#This Row],[Net_Profit]]/(tbl_raw[[#This Row],[Selling_Price]]*tbl_raw[[#This Row],[Units_Sold]]),0)</f>
        <v>0.14349775784753363</v>
      </c>
      <c r="S287" s="23" t="s">
        <v>31</v>
      </c>
      <c r="T287" s="23" t="s">
        <v>32</v>
      </c>
      <c r="U287" s="23">
        <f>IF(tbl_raw[[#This Row],[Order_Status]]="Returned",1,0)</f>
        <v>0</v>
      </c>
      <c r="V287" s="23">
        <f>IF(tbl_raw[[#This Row],[Payment_Method]]="COD",1,0)</f>
        <v>0</v>
      </c>
      <c r="W287" s="26">
        <f>MIN(1,(tbl_raw[[#This Row],[Discount_Pct]]*1.4)+(tbl_raw[[#This Row],[COD_Flag]]*0.35))</f>
        <v>0.252</v>
      </c>
    </row>
    <row r="288" spans="1:23" ht="22.8" x14ac:dyDescent="0.3">
      <c r="A288" s="17" t="s">
        <v>874</v>
      </c>
      <c r="B288" s="18" t="s">
        <v>875</v>
      </c>
      <c r="C288" s="18" t="s">
        <v>43</v>
      </c>
      <c r="D288" s="18" t="s">
        <v>164</v>
      </c>
      <c r="E288" s="18" t="s">
        <v>265</v>
      </c>
      <c r="F288" s="18" t="s">
        <v>876</v>
      </c>
      <c r="G288" s="18" t="s">
        <v>81</v>
      </c>
      <c r="H288" s="18" t="s">
        <v>30</v>
      </c>
      <c r="I288" s="18">
        <v>4</v>
      </c>
      <c r="J288" s="19">
        <v>3445</v>
      </c>
      <c r="K288" s="19">
        <v>2515</v>
      </c>
      <c r="L288" s="20">
        <v>0.27</v>
      </c>
      <c r="M288" s="19">
        <v>2345</v>
      </c>
      <c r="N288" s="19">
        <f>(tbl_raw[[#This Row],[Selling_Price]]-tbl_raw[[#This Row],[Cost_Price]])*tbl_raw[[#This Row],[Units_Sold]]</f>
        <v>680</v>
      </c>
      <c r="O288" s="20">
        <f>IFERROR((tbl_raw[[#This Row],[Selling_Price]]-tbl_raw[[#This Row],[Cost_Price]]) / tbl_raw[[#This Row],[Selling_Price]],0)</f>
        <v>6.7594433399602388E-2</v>
      </c>
      <c r="P288" s="19">
        <v>132</v>
      </c>
      <c r="Q288" s="19">
        <f>tbl_raw[[#This Row],[Gross_Profit]]-(tbl_raw[[#This Row],[Shipping_Cost]]*tbl_raw[[#This Row],[Units_Sold]])</f>
        <v>152</v>
      </c>
      <c r="R288" s="20">
        <f>IFERROR(tbl_raw[[#This Row],[Net_Profit]]/(tbl_raw[[#This Row],[Selling_Price]]*tbl_raw[[#This Row],[Units_Sold]]),0)</f>
        <v>1.5109343936381709E-2</v>
      </c>
      <c r="S288" s="18" t="s">
        <v>40</v>
      </c>
      <c r="T288" s="18" t="s">
        <v>59</v>
      </c>
      <c r="U288" s="18">
        <f>IF(tbl_raw[[#This Row],[Order_Status]]="Returned",1,0)</f>
        <v>0</v>
      </c>
      <c r="V288" s="18">
        <f>IF(tbl_raw[[#This Row],[Payment_Method]]="COD",1,0)</f>
        <v>1</v>
      </c>
      <c r="W288" s="21">
        <f>MIN(1,(tbl_raw[[#This Row],[Discount_Pct]]*1.4)+(tbl_raw[[#This Row],[COD_Flag]]*0.35))</f>
        <v>0.72799999999999998</v>
      </c>
    </row>
    <row r="289" spans="1:23" ht="22.8" x14ac:dyDescent="0.3">
      <c r="A289" s="22" t="s">
        <v>877</v>
      </c>
      <c r="B289" s="23" t="s">
        <v>435</v>
      </c>
      <c r="C289" s="23" t="s">
        <v>199</v>
      </c>
      <c r="D289" s="23" t="s">
        <v>164</v>
      </c>
      <c r="E289" s="23" t="s">
        <v>251</v>
      </c>
      <c r="F289" s="23" t="s">
        <v>878</v>
      </c>
      <c r="G289" s="23" t="s">
        <v>120</v>
      </c>
      <c r="H289" s="23" t="s">
        <v>39</v>
      </c>
      <c r="I289" s="23">
        <v>14</v>
      </c>
      <c r="J289" s="24">
        <v>3637</v>
      </c>
      <c r="K289" s="24">
        <v>3528</v>
      </c>
      <c r="L289" s="25">
        <v>0.03</v>
      </c>
      <c r="M289" s="24">
        <v>2289</v>
      </c>
      <c r="N289" s="24">
        <f>(tbl_raw[[#This Row],[Selling_Price]]-tbl_raw[[#This Row],[Cost_Price]])*tbl_raw[[#This Row],[Units_Sold]]</f>
        <v>17346</v>
      </c>
      <c r="O289" s="25">
        <f>IFERROR((tbl_raw[[#This Row],[Selling_Price]]-tbl_raw[[#This Row],[Cost_Price]]) / tbl_raw[[#This Row],[Selling_Price]],0)</f>
        <v>0.35119047619047616</v>
      </c>
      <c r="P289" s="24">
        <v>32</v>
      </c>
      <c r="Q289" s="24">
        <f>tbl_raw[[#This Row],[Gross_Profit]]-(tbl_raw[[#This Row],[Shipping_Cost]]*tbl_raw[[#This Row],[Units_Sold]])</f>
        <v>16898</v>
      </c>
      <c r="R289" s="25">
        <f>IFERROR(tbl_raw[[#This Row],[Net_Profit]]/(tbl_raw[[#This Row],[Selling_Price]]*tbl_raw[[#This Row],[Units_Sold]]),0)</f>
        <v>0.34212018140589567</v>
      </c>
      <c r="S289" s="23" t="s">
        <v>65</v>
      </c>
      <c r="T289" s="23" t="s">
        <v>32</v>
      </c>
      <c r="U289" s="23">
        <f>IF(tbl_raw[[#This Row],[Order_Status]]="Returned",1,0)</f>
        <v>0</v>
      </c>
      <c r="V289" s="23">
        <f>IF(tbl_raw[[#This Row],[Payment_Method]]="COD",1,0)</f>
        <v>0</v>
      </c>
      <c r="W289" s="26">
        <f>MIN(1,(tbl_raw[[#This Row],[Discount_Pct]]*1.4)+(tbl_raw[[#This Row],[COD_Flag]]*0.35))</f>
        <v>4.1999999999999996E-2</v>
      </c>
    </row>
    <row r="290" spans="1:23" ht="22.8" x14ac:dyDescent="0.3">
      <c r="A290" s="17" t="s">
        <v>879</v>
      </c>
      <c r="B290" s="18" t="s">
        <v>369</v>
      </c>
      <c r="C290" s="18" t="s">
        <v>199</v>
      </c>
      <c r="D290" s="18" t="s">
        <v>44</v>
      </c>
      <c r="E290" s="18" t="s">
        <v>338</v>
      </c>
      <c r="F290" s="18" t="s">
        <v>880</v>
      </c>
      <c r="G290" s="18" t="s">
        <v>102</v>
      </c>
      <c r="H290" s="18" t="s">
        <v>39</v>
      </c>
      <c r="I290" s="18">
        <v>4</v>
      </c>
      <c r="J290" s="19">
        <v>3576</v>
      </c>
      <c r="K290" s="19">
        <v>2396</v>
      </c>
      <c r="L290" s="20">
        <v>0.33</v>
      </c>
      <c r="M290" s="19">
        <v>2034</v>
      </c>
      <c r="N290" s="19">
        <f>(tbl_raw[[#This Row],[Selling_Price]]-tbl_raw[[#This Row],[Cost_Price]])*tbl_raw[[#This Row],[Units_Sold]]</f>
        <v>1448</v>
      </c>
      <c r="O290" s="20">
        <f>IFERROR((tbl_raw[[#This Row],[Selling_Price]]-tbl_raw[[#This Row],[Cost_Price]]) / tbl_raw[[#This Row],[Selling_Price]],0)</f>
        <v>0.15108514190317196</v>
      </c>
      <c r="P290" s="19">
        <v>130</v>
      </c>
      <c r="Q290" s="19">
        <f>tbl_raw[[#This Row],[Gross_Profit]]-(tbl_raw[[#This Row],[Shipping_Cost]]*tbl_raw[[#This Row],[Units_Sold]])</f>
        <v>928</v>
      </c>
      <c r="R290" s="20">
        <f>IFERROR(tbl_raw[[#This Row],[Net_Profit]]/(tbl_raw[[#This Row],[Selling_Price]]*tbl_raw[[#This Row],[Units_Sold]]),0)</f>
        <v>9.6828046744574292E-2</v>
      </c>
      <c r="S290" s="18" t="s">
        <v>31</v>
      </c>
      <c r="T290" s="18" t="s">
        <v>86</v>
      </c>
      <c r="U290" s="18">
        <f>IF(tbl_raw[[#This Row],[Order_Status]]="Returned",1,0)</f>
        <v>1</v>
      </c>
      <c r="V290" s="18">
        <f>IF(tbl_raw[[#This Row],[Payment_Method]]="COD",1,0)</f>
        <v>0</v>
      </c>
      <c r="W290" s="21">
        <f>MIN(1,(tbl_raw[[#This Row],[Discount_Pct]]*1.4)+(tbl_raw[[#This Row],[COD_Flag]]*0.35))</f>
        <v>0.46199999999999997</v>
      </c>
    </row>
    <row r="291" spans="1:23" ht="22.8" x14ac:dyDescent="0.3">
      <c r="A291" s="22" t="s">
        <v>881</v>
      </c>
      <c r="B291" s="23" t="s">
        <v>484</v>
      </c>
      <c r="C291" s="23" t="s">
        <v>199</v>
      </c>
      <c r="D291" s="23" t="s">
        <v>26</v>
      </c>
      <c r="E291" s="23" t="s">
        <v>100</v>
      </c>
      <c r="F291" s="23" t="s">
        <v>882</v>
      </c>
      <c r="G291" s="23" t="s">
        <v>75</v>
      </c>
      <c r="H291" s="23" t="s">
        <v>48</v>
      </c>
      <c r="I291" s="23">
        <v>16</v>
      </c>
      <c r="J291" s="24">
        <v>6981</v>
      </c>
      <c r="K291" s="24">
        <v>6772</v>
      </c>
      <c r="L291" s="25">
        <v>0.03</v>
      </c>
      <c r="M291" s="24">
        <v>3994</v>
      </c>
      <c r="N291" s="24">
        <f>(tbl_raw[[#This Row],[Selling_Price]]-tbl_raw[[#This Row],[Cost_Price]])*tbl_raw[[#This Row],[Units_Sold]]</f>
        <v>44448</v>
      </c>
      <c r="O291" s="25">
        <f>IFERROR((tbl_raw[[#This Row],[Selling_Price]]-tbl_raw[[#This Row],[Cost_Price]]) / tbl_raw[[#This Row],[Selling_Price]],0)</f>
        <v>0.41021854695806259</v>
      </c>
      <c r="P291" s="24">
        <v>66</v>
      </c>
      <c r="Q291" s="24">
        <f>tbl_raw[[#This Row],[Gross_Profit]]-(tbl_raw[[#This Row],[Shipping_Cost]]*tbl_raw[[#This Row],[Units_Sold]])</f>
        <v>43392</v>
      </c>
      <c r="R291" s="25">
        <f>IFERROR(tbl_raw[[#This Row],[Net_Profit]]/(tbl_raw[[#This Row],[Selling_Price]]*tbl_raw[[#This Row],[Units_Sold]]),0)</f>
        <v>0.40047253396337862</v>
      </c>
      <c r="S291" s="23" t="s">
        <v>107</v>
      </c>
      <c r="T291" s="23" t="s">
        <v>32</v>
      </c>
      <c r="U291" s="23">
        <f>IF(tbl_raw[[#This Row],[Order_Status]]="Returned",1,0)</f>
        <v>0</v>
      </c>
      <c r="V291" s="23">
        <f>IF(tbl_raw[[#This Row],[Payment_Method]]="COD",1,0)</f>
        <v>0</v>
      </c>
      <c r="W291" s="26">
        <f>MIN(1,(tbl_raw[[#This Row],[Discount_Pct]]*1.4)+(tbl_raw[[#This Row],[COD_Flag]]*0.35))</f>
        <v>4.1999999999999996E-2</v>
      </c>
    </row>
    <row r="292" spans="1:23" ht="22.8" x14ac:dyDescent="0.3">
      <c r="A292" s="17" t="s">
        <v>883</v>
      </c>
      <c r="B292" s="18" t="s">
        <v>884</v>
      </c>
      <c r="C292" s="18" t="s">
        <v>25</v>
      </c>
      <c r="D292" s="18" t="s">
        <v>78</v>
      </c>
      <c r="E292" s="18" t="s">
        <v>118</v>
      </c>
      <c r="F292" s="18" t="s">
        <v>885</v>
      </c>
      <c r="G292" s="18" t="s">
        <v>75</v>
      </c>
      <c r="H292" s="18" t="s">
        <v>48</v>
      </c>
      <c r="I292" s="18">
        <v>15</v>
      </c>
      <c r="J292" s="19">
        <v>6450</v>
      </c>
      <c r="K292" s="19">
        <v>5160</v>
      </c>
      <c r="L292" s="20">
        <v>0.2</v>
      </c>
      <c r="M292" s="19">
        <v>4514</v>
      </c>
      <c r="N292" s="19">
        <f>(tbl_raw[[#This Row],[Selling_Price]]-tbl_raw[[#This Row],[Cost_Price]])*tbl_raw[[#This Row],[Units_Sold]]</f>
        <v>9690</v>
      </c>
      <c r="O292" s="20">
        <f>IFERROR((tbl_raw[[#This Row],[Selling_Price]]-tbl_raw[[#This Row],[Cost_Price]]) / tbl_raw[[#This Row],[Selling_Price]],0)</f>
        <v>0.1251937984496124</v>
      </c>
      <c r="P292" s="19">
        <v>97</v>
      </c>
      <c r="Q292" s="19">
        <f>tbl_raw[[#This Row],[Gross_Profit]]-(tbl_raw[[#This Row],[Shipping_Cost]]*tbl_raw[[#This Row],[Units_Sold]])</f>
        <v>8235</v>
      </c>
      <c r="R292" s="20">
        <f>IFERROR(tbl_raw[[#This Row],[Net_Profit]]/(tbl_raw[[#This Row],[Selling_Price]]*tbl_raw[[#This Row],[Units_Sold]]),0)</f>
        <v>0.1063953488372093</v>
      </c>
      <c r="S292" s="18" t="s">
        <v>58</v>
      </c>
      <c r="T292" s="18" t="s">
        <v>32</v>
      </c>
      <c r="U292" s="18">
        <f>IF(tbl_raw[[#This Row],[Order_Status]]="Returned",1,0)</f>
        <v>0</v>
      </c>
      <c r="V292" s="18">
        <f>IF(tbl_raw[[#This Row],[Payment_Method]]="COD",1,0)</f>
        <v>0</v>
      </c>
      <c r="W292" s="21">
        <f>MIN(1,(tbl_raw[[#This Row],[Discount_Pct]]*1.4)+(tbl_raw[[#This Row],[COD_Flag]]*0.35))</f>
        <v>0.27999999999999997</v>
      </c>
    </row>
    <row r="293" spans="1:23" ht="22.8" x14ac:dyDescent="0.3">
      <c r="A293" s="22" t="s">
        <v>886</v>
      </c>
      <c r="B293" s="23" t="s">
        <v>887</v>
      </c>
      <c r="C293" s="23" t="s">
        <v>132</v>
      </c>
      <c r="D293" s="23" t="s">
        <v>78</v>
      </c>
      <c r="E293" s="23" t="s">
        <v>534</v>
      </c>
      <c r="F293" s="23" t="s">
        <v>888</v>
      </c>
      <c r="G293" s="23" t="s">
        <v>38</v>
      </c>
      <c r="H293" s="23" t="s">
        <v>39</v>
      </c>
      <c r="I293" s="23">
        <v>18</v>
      </c>
      <c r="J293" s="24">
        <v>201</v>
      </c>
      <c r="K293" s="24">
        <v>193</v>
      </c>
      <c r="L293" s="25">
        <v>0.04</v>
      </c>
      <c r="M293" s="24">
        <v>123</v>
      </c>
      <c r="N293" s="24">
        <f>(tbl_raw[[#This Row],[Selling_Price]]-tbl_raw[[#This Row],[Cost_Price]])*tbl_raw[[#This Row],[Units_Sold]]</f>
        <v>1260</v>
      </c>
      <c r="O293" s="25">
        <f>IFERROR((tbl_raw[[#This Row],[Selling_Price]]-tbl_raw[[#This Row],[Cost_Price]]) / tbl_raw[[#This Row],[Selling_Price]],0)</f>
        <v>0.36269430051813473</v>
      </c>
      <c r="P293" s="24">
        <v>123</v>
      </c>
      <c r="Q293" s="24">
        <f>tbl_raw[[#This Row],[Gross_Profit]]-(tbl_raw[[#This Row],[Shipping_Cost]]*tbl_raw[[#This Row],[Units_Sold]])</f>
        <v>-954</v>
      </c>
      <c r="R293" s="25">
        <f>IFERROR(tbl_raw[[#This Row],[Net_Profit]]/(tbl_raw[[#This Row],[Selling_Price]]*tbl_raw[[#This Row],[Units_Sold]]),0)</f>
        <v>-0.27461139896373055</v>
      </c>
      <c r="S293" s="23" t="s">
        <v>107</v>
      </c>
      <c r="T293" s="23" t="s">
        <v>32</v>
      </c>
      <c r="U293" s="23">
        <f>IF(tbl_raw[[#This Row],[Order_Status]]="Returned",1,0)</f>
        <v>0</v>
      </c>
      <c r="V293" s="23">
        <f>IF(tbl_raw[[#This Row],[Payment_Method]]="COD",1,0)</f>
        <v>0</v>
      </c>
      <c r="W293" s="26">
        <f>MIN(1,(tbl_raw[[#This Row],[Discount_Pct]]*1.4)+(tbl_raw[[#This Row],[COD_Flag]]*0.35))</f>
        <v>5.5999999999999994E-2</v>
      </c>
    </row>
    <row r="294" spans="1:23" ht="22.8" x14ac:dyDescent="0.3">
      <c r="A294" s="17" t="s">
        <v>889</v>
      </c>
      <c r="B294" s="18" t="s">
        <v>303</v>
      </c>
      <c r="C294" s="18" t="s">
        <v>25</v>
      </c>
      <c r="D294" s="18" t="s">
        <v>62</v>
      </c>
      <c r="E294" s="18" t="s">
        <v>63</v>
      </c>
      <c r="F294" s="18" t="s">
        <v>890</v>
      </c>
      <c r="G294" s="18" t="s">
        <v>139</v>
      </c>
      <c r="H294" s="18" t="s">
        <v>48</v>
      </c>
      <c r="I294" s="18">
        <v>8</v>
      </c>
      <c r="J294" s="19">
        <v>6786</v>
      </c>
      <c r="K294" s="19">
        <v>5768</v>
      </c>
      <c r="L294" s="20">
        <v>0.15</v>
      </c>
      <c r="M294" s="19">
        <v>4537</v>
      </c>
      <c r="N294" s="19">
        <f>(tbl_raw[[#This Row],[Selling_Price]]-tbl_raw[[#This Row],[Cost_Price]])*tbl_raw[[#This Row],[Units_Sold]]</f>
        <v>9848</v>
      </c>
      <c r="O294" s="20">
        <f>IFERROR((tbl_raw[[#This Row],[Selling_Price]]-tbl_raw[[#This Row],[Cost_Price]]) / tbl_raw[[#This Row],[Selling_Price]],0)</f>
        <v>0.21341886269070734</v>
      </c>
      <c r="P294" s="19">
        <v>120</v>
      </c>
      <c r="Q294" s="19">
        <f>tbl_raw[[#This Row],[Gross_Profit]]-(tbl_raw[[#This Row],[Shipping_Cost]]*tbl_raw[[#This Row],[Units_Sold]])</f>
        <v>8888</v>
      </c>
      <c r="R294" s="20">
        <f>IFERROR(tbl_raw[[#This Row],[Net_Profit]]/(tbl_raw[[#This Row],[Selling_Price]]*tbl_raw[[#This Row],[Units_Sold]]),0)</f>
        <v>0.19261442441054091</v>
      </c>
      <c r="S294" s="18" t="s">
        <v>107</v>
      </c>
      <c r="T294" s="18" t="s">
        <v>32</v>
      </c>
      <c r="U294" s="18">
        <f>IF(tbl_raw[[#This Row],[Order_Status]]="Returned",1,0)</f>
        <v>0</v>
      </c>
      <c r="V294" s="18">
        <f>IF(tbl_raw[[#This Row],[Payment_Method]]="COD",1,0)</f>
        <v>0</v>
      </c>
      <c r="W294" s="21">
        <f>MIN(1,(tbl_raw[[#This Row],[Discount_Pct]]*1.4)+(tbl_raw[[#This Row],[COD_Flag]]*0.35))</f>
        <v>0.21</v>
      </c>
    </row>
    <row r="295" spans="1:23" ht="22.8" x14ac:dyDescent="0.3">
      <c r="A295" s="22" t="s">
        <v>891</v>
      </c>
      <c r="B295" s="23" t="s">
        <v>892</v>
      </c>
      <c r="C295" s="23" t="s">
        <v>25</v>
      </c>
      <c r="D295" s="23" t="s">
        <v>26</v>
      </c>
      <c r="E295" s="23" t="s">
        <v>27</v>
      </c>
      <c r="F295" s="23" t="s">
        <v>893</v>
      </c>
      <c r="G295" s="23" t="s">
        <v>143</v>
      </c>
      <c r="H295" s="23" t="s">
        <v>30</v>
      </c>
      <c r="I295" s="23">
        <v>18</v>
      </c>
      <c r="J295" s="24">
        <v>4271</v>
      </c>
      <c r="K295" s="24">
        <v>2904</v>
      </c>
      <c r="L295" s="25">
        <v>0.32</v>
      </c>
      <c r="M295" s="24">
        <v>1777</v>
      </c>
      <c r="N295" s="24">
        <f>(tbl_raw[[#This Row],[Selling_Price]]-tbl_raw[[#This Row],[Cost_Price]])*tbl_raw[[#This Row],[Units_Sold]]</f>
        <v>20286</v>
      </c>
      <c r="O295" s="25">
        <f>IFERROR((tbl_raw[[#This Row],[Selling_Price]]-tbl_raw[[#This Row],[Cost_Price]]) / tbl_raw[[#This Row],[Selling_Price]],0)</f>
        <v>0.38808539944903581</v>
      </c>
      <c r="P295" s="24">
        <v>55</v>
      </c>
      <c r="Q295" s="24">
        <f>tbl_raw[[#This Row],[Gross_Profit]]-(tbl_raw[[#This Row],[Shipping_Cost]]*tbl_raw[[#This Row],[Units_Sold]])</f>
        <v>19296</v>
      </c>
      <c r="R295" s="25">
        <f>IFERROR(tbl_raw[[#This Row],[Net_Profit]]/(tbl_raw[[#This Row],[Selling_Price]]*tbl_raw[[#This Row],[Units_Sold]]),0)</f>
        <v>0.36914600550964188</v>
      </c>
      <c r="S295" s="23" t="s">
        <v>40</v>
      </c>
      <c r="T295" s="23" t="s">
        <v>86</v>
      </c>
      <c r="U295" s="23">
        <f>IF(tbl_raw[[#This Row],[Order_Status]]="Returned",1,0)</f>
        <v>1</v>
      </c>
      <c r="V295" s="23">
        <f>IF(tbl_raw[[#This Row],[Payment_Method]]="COD",1,0)</f>
        <v>1</v>
      </c>
      <c r="W295" s="26">
        <f>MIN(1,(tbl_raw[[#This Row],[Discount_Pct]]*1.4)+(tbl_raw[[#This Row],[COD_Flag]]*0.35))</f>
        <v>0.79799999999999993</v>
      </c>
    </row>
    <row r="296" spans="1:23" ht="22.8" x14ac:dyDescent="0.3">
      <c r="A296" s="17" t="s">
        <v>894</v>
      </c>
      <c r="B296" s="18" t="s">
        <v>332</v>
      </c>
      <c r="C296" s="18" t="s">
        <v>52</v>
      </c>
      <c r="D296" s="18" t="s">
        <v>53</v>
      </c>
      <c r="E296" s="18" t="s">
        <v>54</v>
      </c>
      <c r="F296" s="18" t="s">
        <v>895</v>
      </c>
      <c r="G296" s="18" t="s">
        <v>29</v>
      </c>
      <c r="H296" s="18" t="s">
        <v>30</v>
      </c>
      <c r="I296" s="18">
        <v>4</v>
      </c>
      <c r="J296" s="19">
        <v>7456</v>
      </c>
      <c r="K296" s="19">
        <v>6114</v>
      </c>
      <c r="L296" s="20">
        <v>0.18</v>
      </c>
      <c r="M296" s="19">
        <v>4175</v>
      </c>
      <c r="N296" s="19">
        <f>(tbl_raw[[#This Row],[Selling_Price]]-tbl_raw[[#This Row],[Cost_Price]])*tbl_raw[[#This Row],[Units_Sold]]</f>
        <v>7756</v>
      </c>
      <c r="O296" s="20">
        <f>IFERROR((tbl_raw[[#This Row],[Selling_Price]]-tbl_raw[[#This Row],[Cost_Price]]) / tbl_raw[[#This Row],[Selling_Price]],0)</f>
        <v>0.3171409878966307</v>
      </c>
      <c r="P296" s="19">
        <v>147</v>
      </c>
      <c r="Q296" s="19">
        <f>tbl_raw[[#This Row],[Gross_Profit]]-(tbl_raw[[#This Row],[Shipping_Cost]]*tbl_raw[[#This Row],[Units_Sold]])</f>
        <v>7168</v>
      </c>
      <c r="R296" s="20">
        <f>IFERROR(tbl_raw[[#This Row],[Net_Profit]]/(tbl_raw[[#This Row],[Selling_Price]]*tbl_raw[[#This Row],[Units_Sold]]),0)</f>
        <v>0.2930978083087995</v>
      </c>
      <c r="S296" s="18" t="s">
        <v>107</v>
      </c>
      <c r="T296" s="18" t="s">
        <v>32</v>
      </c>
      <c r="U296" s="18">
        <f>IF(tbl_raw[[#This Row],[Order_Status]]="Returned",1,0)</f>
        <v>0</v>
      </c>
      <c r="V296" s="18">
        <f>IF(tbl_raw[[#This Row],[Payment_Method]]="COD",1,0)</f>
        <v>0</v>
      </c>
      <c r="W296" s="21">
        <f>MIN(1,(tbl_raw[[#This Row],[Discount_Pct]]*1.4)+(tbl_raw[[#This Row],[COD_Flag]]*0.35))</f>
        <v>0.252</v>
      </c>
    </row>
    <row r="297" spans="1:23" ht="22.8" x14ac:dyDescent="0.3">
      <c r="A297" s="22" t="s">
        <v>896</v>
      </c>
      <c r="B297" s="23" t="s">
        <v>897</v>
      </c>
      <c r="C297" s="23" t="s">
        <v>25</v>
      </c>
      <c r="D297" s="23" t="s">
        <v>175</v>
      </c>
      <c r="E297" s="23" t="s">
        <v>149</v>
      </c>
      <c r="F297" s="23" t="s">
        <v>898</v>
      </c>
      <c r="G297" s="23" t="s">
        <v>102</v>
      </c>
      <c r="H297" s="23" t="s">
        <v>39</v>
      </c>
      <c r="I297" s="23">
        <v>17</v>
      </c>
      <c r="J297" s="24">
        <v>1250</v>
      </c>
      <c r="K297" s="24">
        <v>975</v>
      </c>
      <c r="L297" s="25">
        <v>0.22</v>
      </c>
      <c r="M297" s="24">
        <v>732</v>
      </c>
      <c r="N297" s="24">
        <f>(tbl_raw[[#This Row],[Selling_Price]]-tbl_raw[[#This Row],[Cost_Price]])*tbl_raw[[#This Row],[Units_Sold]]</f>
        <v>4131</v>
      </c>
      <c r="O297" s="25">
        <f>IFERROR((tbl_raw[[#This Row],[Selling_Price]]-tbl_raw[[#This Row],[Cost_Price]]) / tbl_raw[[#This Row],[Selling_Price]],0)</f>
        <v>0.24923076923076923</v>
      </c>
      <c r="P297" s="24">
        <v>37</v>
      </c>
      <c r="Q297" s="24">
        <f>tbl_raw[[#This Row],[Gross_Profit]]-(tbl_raw[[#This Row],[Shipping_Cost]]*tbl_raw[[#This Row],[Units_Sold]])</f>
        <v>3502</v>
      </c>
      <c r="R297" s="25">
        <f>IFERROR(tbl_raw[[#This Row],[Net_Profit]]/(tbl_raw[[#This Row],[Selling_Price]]*tbl_raw[[#This Row],[Units_Sold]]),0)</f>
        <v>0.21128205128205127</v>
      </c>
      <c r="S297" s="23" t="s">
        <v>31</v>
      </c>
      <c r="T297" s="23" t="s">
        <v>32</v>
      </c>
      <c r="U297" s="23">
        <f>IF(tbl_raw[[#This Row],[Order_Status]]="Returned",1,0)</f>
        <v>0</v>
      </c>
      <c r="V297" s="23">
        <f>IF(tbl_raw[[#This Row],[Payment_Method]]="COD",1,0)</f>
        <v>0</v>
      </c>
      <c r="W297" s="26">
        <f>MIN(1,(tbl_raw[[#This Row],[Discount_Pct]]*1.4)+(tbl_raw[[#This Row],[COD_Flag]]*0.35))</f>
        <v>0.308</v>
      </c>
    </row>
    <row r="298" spans="1:23" ht="22.8" x14ac:dyDescent="0.3">
      <c r="A298" s="17" t="s">
        <v>899</v>
      </c>
      <c r="B298" s="18" t="s">
        <v>900</v>
      </c>
      <c r="C298" s="18" t="s">
        <v>105</v>
      </c>
      <c r="D298" s="18" t="s">
        <v>164</v>
      </c>
      <c r="E298" s="18" t="s">
        <v>345</v>
      </c>
      <c r="F298" s="18" t="s">
        <v>901</v>
      </c>
      <c r="G298" s="18" t="s">
        <v>81</v>
      </c>
      <c r="H298" s="18" t="s">
        <v>30</v>
      </c>
      <c r="I298" s="18">
        <v>4</v>
      </c>
      <c r="J298" s="19">
        <v>3222</v>
      </c>
      <c r="K298" s="19">
        <v>2352</v>
      </c>
      <c r="L298" s="20">
        <v>0.27</v>
      </c>
      <c r="M298" s="19">
        <v>2284</v>
      </c>
      <c r="N298" s="19">
        <f>(tbl_raw[[#This Row],[Selling_Price]]-tbl_raw[[#This Row],[Cost_Price]])*tbl_raw[[#This Row],[Units_Sold]]</f>
        <v>272</v>
      </c>
      <c r="O298" s="20">
        <f>IFERROR((tbl_raw[[#This Row],[Selling_Price]]-tbl_raw[[#This Row],[Cost_Price]]) / tbl_raw[[#This Row],[Selling_Price]],0)</f>
        <v>2.8911564625850341E-2</v>
      </c>
      <c r="P298" s="19">
        <v>106</v>
      </c>
      <c r="Q298" s="19">
        <f>tbl_raw[[#This Row],[Gross_Profit]]-(tbl_raw[[#This Row],[Shipping_Cost]]*tbl_raw[[#This Row],[Units_Sold]])</f>
        <v>-152</v>
      </c>
      <c r="R298" s="20">
        <f>IFERROR(tbl_raw[[#This Row],[Net_Profit]]/(tbl_raw[[#This Row],[Selling_Price]]*tbl_raw[[#This Row],[Units_Sold]]),0)</f>
        <v>-1.6156462585034014E-2</v>
      </c>
      <c r="S298" s="18" t="s">
        <v>31</v>
      </c>
      <c r="T298" s="18" t="s">
        <v>32</v>
      </c>
      <c r="U298" s="18">
        <f>IF(tbl_raw[[#This Row],[Order_Status]]="Returned",1,0)</f>
        <v>0</v>
      </c>
      <c r="V298" s="18">
        <f>IF(tbl_raw[[#This Row],[Payment_Method]]="COD",1,0)</f>
        <v>0</v>
      </c>
      <c r="W298" s="21">
        <f>MIN(1,(tbl_raw[[#This Row],[Discount_Pct]]*1.4)+(tbl_raw[[#This Row],[COD_Flag]]*0.35))</f>
        <v>0.378</v>
      </c>
    </row>
    <row r="299" spans="1:23" ht="22.8" x14ac:dyDescent="0.3">
      <c r="A299" s="22" t="s">
        <v>902</v>
      </c>
      <c r="B299" s="23" t="s">
        <v>421</v>
      </c>
      <c r="C299" s="23" t="s">
        <v>156</v>
      </c>
      <c r="D299" s="23" t="s">
        <v>94</v>
      </c>
      <c r="E299" s="23" t="s">
        <v>180</v>
      </c>
      <c r="F299" s="23" t="s">
        <v>903</v>
      </c>
      <c r="G299" s="23" t="s">
        <v>56</v>
      </c>
      <c r="H299" s="23" t="s">
        <v>57</v>
      </c>
      <c r="I299" s="23">
        <v>10</v>
      </c>
      <c r="J299" s="24">
        <v>3732</v>
      </c>
      <c r="K299" s="24">
        <v>3508</v>
      </c>
      <c r="L299" s="25">
        <v>0.06</v>
      </c>
      <c r="M299" s="24">
        <v>2032</v>
      </c>
      <c r="N299" s="24">
        <f>(tbl_raw[[#This Row],[Selling_Price]]-tbl_raw[[#This Row],[Cost_Price]])*tbl_raw[[#This Row],[Units_Sold]]</f>
        <v>14760</v>
      </c>
      <c r="O299" s="25">
        <f>IFERROR((tbl_raw[[#This Row],[Selling_Price]]-tbl_raw[[#This Row],[Cost_Price]]) / tbl_raw[[#This Row],[Selling_Price]],0)</f>
        <v>0.4207525655644242</v>
      </c>
      <c r="P299" s="24">
        <v>135</v>
      </c>
      <c r="Q299" s="24">
        <f>tbl_raw[[#This Row],[Gross_Profit]]-(tbl_raw[[#This Row],[Shipping_Cost]]*tbl_raw[[#This Row],[Units_Sold]])</f>
        <v>13410</v>
      </c>
      <c r="R299" s="25">
        <f>IFERROR(tbl_raw[[#This Row],[Net_Profit]]/(tbl_raw[[#This Row],[Selling_Price]]*tbl_raw[[#This Row],[Units_Sold]]),0)</f>
        <v>0.38226909920182439</v>
      </c>
      <c r="S299" s="23" t="s">
        <v>65</v>
      </c>
      <c r="T299" s="23" t="s">
        <v>32</v>
      </c>
      <c r="U299" s="23">
        <f>IF(tbl_raw[[#This Row],[Order_Status]]="Returned",1,0)</f>
        <v>0</v>
      </c>
      <c r="V299" s="23">
        <f>IF(tbl_raw[[#This Row],[Payment_Method]]="COD",1,0)</f>
        <v>0</v>
      </c>
      <c r="W299" s="26">
        <f>MIN(1,(tbl_raw[[#This Row],[Discount_Pct]]*1.4)+(tbl_raw[[#This Row],[COD_Flag]]*0.35))</f>
        <v>8.3999999999999991E-2</v>
      </c>
    </row>
    <row r="300" spans="1:23" ht="22.8" x14ac:dyDescent="0.3">
      <c r="A300" s="17" t="s">
        <v>904</v>
      </c>
      <c r="B300" s="18" t="s">
        <v>905</v>
      </c>
      <c r="C300" s="18" t="s">
        <v>89</v>
      </c>
      <c r="D300" s="18" t="s">
        <v>94</v>
      </c>
      <c r="E300" s="18" t="s">
        <v>95</v>
      </c>
      <c r="F300" s="18" t="s">
        <v>906</v>
      </c>
      <c r="G300" s="18" t="s">
        <v>102</v>
      </c>
      <c r="H300" s="18" t="s">
        <v>39</v>
      </c>
      <c r="I300" s="18">
        <v>10</v>
      </c>
      <c r="J300" s="19">
        <v>5556</v>
      </c>
      <c r="K300" s="19">
        <v>3278</v>
      </c>
      <c r="L300" s="20">
        <v>0.41</v>
      </c>
      <c r="M300" s="19">
        <v>2480</v>
      </c>
      <c r="N300" s="19">
        <f>(tbl_raw[[#This Row],[Selling_Price]]-tbl_raw[[#This Row],[Cost_Price]])*tbl_raw[[#This Row],[Units_Sold]]</f>
        <v>7980</v>
      </c>
      <c r="O300" s="20">
        <f>IFERROR((tbl_raw[[#This Row],[Selling_Price]]-tbl_raw[[#This Row],[Cost_Price]]) / tbl_raw[[#This Row],[Selling_Price]],0)</f>
        <v>0.24344112263575352</v>
      </c>
      <c r="P300" s="19">
        <v>137</v>
      </c>
      <c r="Q300" s="19">
        <f>tbl_raw[[#This Row],[Gross_Profit]]-(tbl_raw[[#This Row],[Shipping_Cost]]*tbl_raw[[#This Row],[Units_Sold]])</f>
        <v>6610</v>
      </c>
      <c r="R300" s="20">
        <f>IFERROR(tbl_raw[[#This Row],[Net_Profit]]/(tbl_raw[[#This Row],[Selling_Price]]*tbl_raw[[#This Row],[Units_Sold]]),0)</f>
        <v>0.20164734594264797</v>
      </c>
      <c r="S300" s="18" t="s">
        <v>40</v>
      </c>
      <c r="T300" s="18" t="s">
        <v>86</v>
      </c>
      <c r="U300" s="18">
        <f>IF(tbl_raw[[#This Row],[Order_Status]]="Returned",1,0)</f>
        <v>1</v>
      </c>
      <c r="V300" s="18">
        <f>IF(tbl_raw[[#This Row],[Payment_Method]]="COD",1,0)</f>
        <v>1</v>
      </c>
      <c r="W300" s="21">
        <f>MIN(1,(tbl_raw[[#This Row],[Discount_Pct]]*1.4)+(tbl_raw[[#This Row],[COD_Flag]]*0.35))</f>
        <v>0.92399999999999993</v>
      </c>
    </row>
    <row r="301" spans="1:23" ht="22.8" x14ac:dyDescent="0.3">
      <c r="A301" s="22" t="s">
        <v>907</v>
      </c>
      <c r="B301" s="23" t="s">
        <v>905</v>
      </c>
      <c r="C301" s="23" t="s">
        <v>89</v>
      </c>
      <c r="D301" s="23" t="s">
        <v>175</v>
      </c>
      <c r="E301" s="23" t="s">
        <v>190</v>
      </c>
      <c r="F301" s="23" t="s">
        <v>908</v>
      </c>
      <c r="G301" s="23" t="s">
        <v>75</v>
      </c>
      <c r="H301" s="23" t="s">
        <v>48</v>
      </c>
      <c r="I301" s="23">
        <v>19</v>
      </c>
      <c r="J301" s="24">
        <v>4651</v>
      </c>
      <c r="K301" s="24">
        <v>3256</v>
      </c>
      <c r="L301" s="25">
        <v>0.3</v>
      </c>
      <c r="M301" s="24">
        <v>2540</v>
      </c>
      <c r="N301" s="24">
        <f>(tbl_raw[[#This Row],[Selling_Price]]-tbl_raw[[#This Row],[Cost_Price]])*tbl_raw[[#This Row],[Units_Sold]]</f>
        <v>13604</v>
      </c>
      <c r="O301" s="25">
        <f>IFERROR((tbl_raw[[#This Row],[Selling_Price]]-tbl_raw[[#This Row],[Cost_Price]]) / tbl_raw[[#This Row],[Selling_Price]],0)</f>
        <v>0.21990171990171989</v>
      </c>
      <c r="P301" s="24">
        <v>142</v>
      </c>
      <c r="Q301" s="24">
        <f>tbl_raw[[#This Row],[Gross_Profit]]-(tbl_raw[[#This Row],[Shipping_Cost]]*tbl_raw[[#This Row],[Units_Sold]])</f>
        <v>10906</v>
      </c>
      <c r="R301" s="25">
        <f>IFERROR(tbl_raw[[#This Row],[Net_Profit]]/(tbl_raw[[#This Row],[Selling_Price]]*tbl_raw[[#This Row],[Units_Sold]]),0)</f>
        <v>0.17628992628992629</v>
      </c>
      <c r="S301" s="23" t="s">
        <v>65</v>
      </c>
      <c r="T301" s="23" t="s">
        <v>59</v>
      </c>
      <c r="U301" s="23">
        <f>IF(tbl_raw[[#This Row],[Order_Status]]="Returned",1,0)</f>
        <v>0</v>
      </c>
      <c r="V301" s="23">
        <f>IF(tbl_raw[[#This Row],[Payment_Method]]="COD",1,0)</f>
        <v>0</v>
      </c>
      <c r="W301" s="26">
        <f>MIN(1,(tbl_raw[[#This Row],[Discount_Pct]]*1.4)+(tbl_raw[[#This Row],[COD_Flag]]*0.35))</f>
        <v>0.42</v>
      </c>
    </row>
    <row r="302" spans="1:23" ht="22.8" x14ac:dyDescent="0.3">
      <c r="A302" s="17" t="s">
        <v>909</v>
      </c>
      <c r="B302" s="18" t="s">
        <v>179</v>
      </c>
      <c r="C302" s="18" t="s">
        <v>132</v>
      </c>
      <c r="D302" s="18" t="s">
        <v>175</v>
      </c>
      <c r="E302" s="18" t="s">
        <v>354</v>
      </c>
      <c r="F302" s="18" t="s">
        <v>910</v>
      </c>
      <c r="G302" s="18" t="s">
        <v>81</v>
      </c>
      <c r="H302" s="18" t="s">
        <v>30</v>
      </c>
      <c r="I302" s="18">
        <v>2</v>
      </c>
      <c r="J302" s="19">
        <v>5428</v>
      </c>
      <c r="K302" s="19">
        <v>4939</v>
      </c>
      <c r="L302" s="20">
        <v>0.09</v>
      </c>
      <c r="M302" s="19">
        <v>3596</v>
      </c>
      <c r="N302" s="19">
        <f>(tbl_raw[[#This Row],[Selling_Price]]-tbl_raw[[#This Row],[Cost_Price]])*tbl_raw[[#This Row],[Units_Sold]]</f>
        <v>2686</v>
      </c>
      <c r="O302" s="20">
        <f>IFERROR((tbl_raw[[#This Row],[Selling_Price]]-tbl_raw[[#This Row],[Cost_Price]]) / tbl_raw[[#This Row],[Selling_Price]],0)</f>
        <v>0.27191739218465277</v>
      </c>
      <c r="P302" s="19">
        <v>54</v>
      </c>
      <c r="Q302" s="19">
        <f>tbl_raw[[#This Row],[Gross_Profit]]-(tbl_raw[[#This Row],[Shipping_Cost]]*tbl_raw[[#This Row],[Units_Sold]])</f>
        <v>2578</v>
      </c>
      <c r="R302" s="20">
        <f>IFERROR(tbl_raw[[#This Row],[Net_Profit]]/(tbl_raw[[#This Row],[Selling_Price]]*tbl_raw[[#This Row],[Units_Sold]]),0)</f>
        <v>0.26098400485928325</v>
      </c>
      <c r="S302" s="18" t="s">
        <v>107</v>
      </c>
      <c r="T302" s="18" t="s">
        <v>32</v>
      </c>
      <c r="U302" s="18">
        <f>IF(tbl_raw[[#This Row],[Order_Status]]="Returned",1,0)</f>
        <v>0</v>
      </c>
      <c r="V302" s="18">
        <f>IF(tbl_raw[[#This Row],[Payment_Method]]="COD",1,0)</f>
        <v>0</v>
      </c>
      <c r="W302" s="21">
        <f>MIN(1,(tbl_raw[[#This Row],[Discount_Pct]]*1.4)+(tbl_raw[[#This Row],[COD_Flag]]*0.35))</f>
        <v>0.126</v>
      </c>
    </row>
    <row r="303" spans="1:23" ht="22.8" x14ac:dyDescent="0.3">
      <c r="A303" s="22" t="s">
        <v>911</v>
      </c>
      <c r="B303" s="23" t="s">
        <v>912</v>
      </c>
      <c r="C303" s="23" t="s">
        <v>132</v>
      </c>
      <c r="D303" s="23" t="s">
        <v>53</v>
      </c>
      <c r="E303" s="23" t="s">
        <v>145</v>
      </c>
      <c r="F303" s="23" t="s">
        <v>913</v>
      </c>
      <c r="G303" s="23" t="s">
        <v>38</v>
      </c>
      <c r="H303" s="23" t="s">
        <v>39</v>
      </c>
      <c r="I303" s="23">
        <v>2</v>
      </c>
      <c r="J303" s="24">
        <v>2998</v>
      </c>
      <c r="K303" s="24">
        <v>2398</v>
      </c>
      <c r="L303" s="25">
        <v>0.2</v>
      </c>
      <c r="M303" s="24">
        <v>1846</v>
      </c>
      <c r="N303" s="24">
        <f>(tbl_raw[[#This Row],[Selling_Price]]-tbl_raw[[#This Row],[Cost_Price]])*tbl_raw[[#This Row],[Units_Sold]]</f>
        <v>1104</v>
      </c>
      <c r="O303" s="25">
        <f>IFERROR((tbl_raw[[#This Row],[Selling_Price]]-tbl_raw[[#This Row],[Cost_Price]]) / tbl_raw[[#This Row],[Selling_Price]],0)</f>
        <v>0.23019182652210174</v>
      </c>
      <c r="P303" s="24">
        <v>131</v>
      </c>
      <c r="Q303" s="24">
        <f>tbl_raw[[#This Row],[Gross_Profit]]-(tbl_raw[[#This Row],[Shipping_Cost]]*tbl_raw[[#This Row],[Units_Sold]])</f>
        <v>842</v>
      </c>
      <c r="R303" s="25">
        <f>IFERROR(tbl_raw[[#This Row],[Net_Profit]]/(tbl_raw[[#This Row],[Selling_Price]]*tbl_raw[[#This Row],[Units_Sold]]),0)</f>
        <v>0.17556296914095079</v>
      </c>
      <c r="S303" s="23" t="s">
        <v>65</v>
      </c>
      <c r="T303" s="23" t="s">
        <v>32</v>
      </c>
      <c r="U303" s="23">
        <f>IF(tbl_raw[[#This Row],[Order_Status]]="Returned",1,0)</f>
        <v>0</v>
      </c>
      <c r="V303" s="23">
        <f>IF(tbl_raw[[#This Row],[Payment_Method]]="COD",1,0)</f>
        <v>0</v>
      </c>
      <c r="W303" s="26">
        <f>MIN(1,(tbl_raw[[#This Row],[Discount_Pct]]*1.4)+(tbl_raw[[#This Row],[COD_Flag]]*0.35))</f>
        <v>0.27999999999999997</v>
      </c>
    </row>
    <row r="304" spans="1:23" ht="22.8" x14ac:dyDescent="0.3">
      <c r="A304" s="17" t="s">
        <v>914</v>
      </c>
      <c r="B304" s="18" t="s">
        <v>521</v>
      </c>
      <c r="C304" s="18" t="s">
        <v>105</v>
      </c>
      <c r="D304" s="18" t="s">
        <v>94</v>
      </c>
      <c r="E304" s="18" t="s">
        <v>137</v>
      </c>
      <c r="F304" s="18" t="s">
        <v>915</v>
      </c>
      <c r="G304" s="18" t="s">
        <v>143</v>
      </c>
      <c r="H304" s="18" t="s">
        <v>30</v>
      </c>
      <c r="I304" s="18">
        <v>2</v>
      </c>
      <c r="J304" s="19">
        <v>7427</v>
      </c>
      <c r="K304" s="19">
        <v>6164</v>
      </c>
      <c r="L304" s="20">
        <v>0.17</v>
      </c>
      <c r="M304" s="19">
        <v>5458</v>
      </c>
      <c r="N304" s="19">
        <f>(tbl_raw[[#This Row],[Selling_Price]]-tbl_raw[[#This Row],[Cost_Price]])*tbl_raw[[#This Row],[Units_Sold]]</f>
        <v>1412</v>
      </c>
      <c r="O304" s="20">
        <f>IFERROR((tbl_raw[[#This Row],[Selling_Price]]-tbl_raw[[#This Row],[Cost_Price]]) / tbl_raw[[#This Row],[Selling_Price]],0)</f>
        <v>0.1145360155743024</v>
      </c>
      <c r="P304" s="19">
        <v>176</v>
      </c>
      <c r="Q304" s="19">
        <f>tbl_raw[[#This Row],[Gross_Profit]]-(tbl_raw[[#This Row],[Shipping_Cost]]*tbl_raw[[#This Row],[Units_Sold]])</f>
        <v>1060</v>
      </c>
      <c r="R304" s="20">
        <f>IFERROR(tbl_raw[[#This Row],[Net_Profit]]/(tbl_raw[[#This Row],[Selling_Price]]*tbl_raw[[#This Row],[Units_Sold]]),0)</f>
        <v>8.5983127839065546E-2</v>
      </c>
      <c r="S304" s="18" t="s">
        <v>107</v>
      </c>
      <c r="T304" s="18" t="s">
        <v>32</v>
      </c>
      <c r="U304" s="18">
        <f>IF(tbl_raw[[#This Row],[Order_Status]]="Returned",1,0)</f>
        <v>0</v>
      </c>
      <c r="V304" s="18">
        <f>IF(tbl_raw[[#This Row],[Payment_Method]]="COD",1,0)</f>
        <v>0</v>
      </c>
      <c r="W304" s="21">
        <f>MIN(1,(tbl_raw[[#This Row],[Discount_Pct]]*1.4)+(tbl_raw[[#This Row],[COD_Flag]]*0.35))</f>
        <v>0.23799999999999999</v>
      </c>
    </row>
    <row r="305" spans="1:23" ht="22.8" x14ac:dyDescent="0.3">
      <c r="A305" s="22" t="s">
        <v>916</v>
      </c>
      <c r="B305" s="23" t="s">
        <v>917</v>
      </c>
      <c r="C305" s="23" t="s">
        <v>156</v>
      </c>
      <c r="D305" s="23" t="s">
        <v>94</v>
      </c>
      <c r="E305" s="23" t="s">
        <v>137</v>
      </c>
      <c r="F305" s="23" t="s">
        <v>918</v>
      </c>
      <c r="G305" s="23" t="s">
        <v>75</v>
      </c>
      <c r="H305" s="23" t="s">
        <v>48</v>
      </c>
      <c r="I305" s="23">
        <v>8</v>
      </c>
      <c r="J305" s="24">
        <v>7310</v>
      </c>
      <c r="K305" s="24">
        <v>4971</v>
      </c>
      <c r="L305" s="25">
        <v>0.32</v>
      </c>
      <c r="M305" s="24">
        <v>4581</v>
      </c>
      <c r="N305" s="24">
        <f>(tbl_raw[[#This Row],[Selling_Price]]-tbl_raw[[#This Row],[Cost_Price]])*tbl_raw[[#This Row],[Units_Sold]]</f>
        <v>3120</v>
      </c>
      <c r="O305" s="25">
        <f>IFERROR((tbl_raw[[#This Row],[Selling_Price]]-tbl_raw[[#This Row],[Cost_Price]]) / tbl_raw[[#This Row],[Selling_Price]],0)</f>
        <v>7.8455039227519618E-2</v>
      </c>
      <c r="P305" s="24">
        <v>143</v>
      </c>
      <c r="Q305" s="24">
        <f>tbl_raw[[#This Row],[Gross_Profit]]-(tbl_raw[[#This Row],[Shipping_Cost]]*tbl_raw[[#This Row],[Units_Sold]])</f>
        <v>1976</v>
      </c>
      <c r="R305" s="25">
        <f>IFERROR(tbl_raw[[#This Row],[Net_Profit]]/(tbl_raw[[#This Row],[Selling_Price]]*tbl_raw[[#This Row],[Units_Sold]]),0)</f>
        <v>4.9688191510762425E-2</v>
      </c>
      <c r="S305" s="23" t="s">
        <v>65</v>
      </c>
      <c r="T305" s="23" t="s">
        <v>32</v>
      </c>
      <c r="U305" s="23">
        <f>IF(tbl_raw[[#This Row],[Order_Status]]="Returned",1,0)</f>
        <v>0</v>
      </c>
      <c r="V305" s="23">
        <f>IF(tbl_raw[[#This Row],[Payment_Method]]="COD",1,0)</f>
        <v>0</v>
      </c>
      <c r="W305" s="26">
        <f>MIN(1,(tbl_raw[[#This Row],[Discount_Pct]]*1.4)+(tbl_raw[[#This Row],[COD_Flag]]*0.35))</f>
        <v>0.44799999999999995</v>
      </c>
    </row>
    <row r="306" spans="1:23" ht="22.8" x14ac:dyDescent="0.3">
      <c r="A306" s="17" t="s">
        <v>919</v>
      </c>
      <c r="B306" s="18" t="s">
        <v>920</v>
      </c>
      <c r="C306" s="18" t="s">
        <v>156</v>
      </c>
      <c r="D306" s="18" t="s">
        <v>53</v>
      </c>
      <c r="E306" s="18" t="s">
        <v>90</v>
      </c>
      <c r="F306" s="18" t="s">
        <v>921</v>
      </c>
      <c r="G306" s="18" t="s">
        <v>120</v>
      </c>
      <c r="H306" s="18" t="s">
        <v>39</v>
      </c>
      <c r="I306" s="18">
        <v>6</v>
      </c>
      <c r="J306" s="19">
        <v>7707</v>
      </c>
      <c r="K306" s="19">
        <v>5164</v>
      </c>
      <c r="L306" s="20">
        <v>0.33</v>
      </c>
      <c r="M306" s="19">
        <v>3405</v>
      </c>
      <c r="N306" s="19">
        <f>(tbl_raw[[#This Row],[Selling_Price]]-tbl_raw[[#This Row],[Cost_Price]])*tbl_raw[[#This Row],[Units_Sold]]</f>
        <v>10554</v>
      </c>
      <c r="O306" s="20">
        <f>IFERROR((tbl_raw[[#This Row],[Selling_Price]]-tbl_raw[[#This Row],[Cost_Price]]) / tbl_raw[[#This Row],[Selling_Price]],0)</f>
        <v>0.34062742060418283</v>
      </c>
      <c r="P306" s="19">
        <v>36</v>
      </c>
      <c r="Q306" s="19">
        <f>tbl_raw[[#This Row],[Gross_Profit]]-(tbl_raw[[#This Row],[Shipping_Cost]]*tbl_raw[[#This Row],[Units_Sold]])</f>
        <v>10338</v>
      </c>
      <c r="R306" s="20">
        <f>IFERROR(tbl_raw[[#This Row],[Net_Profit]]/(tbl_raw[[#This Row],[Selling_Price]]*tbl_raw[[#This Row],[Units_Sold]]),0)</f>
        <v>0.33365608055770718</v>
      </c>
      <c r="S306" s="18" t="s">
        <v>107</v>
      </c>
      <c r="T306" s="18" t="s">
        <v>32</v>
      </c>
      <c r="U306" s="18">
        <f>IF(tbl_raw[[#This Row],[Order_Status]]="Returned",1,0)</f>
        <v>0</v>
      </c>
      <c r="V306" s="18">
        <f>IF(tbl_raw[[#This Row],[Payment_Method]]="COD",1,0)</f>
        <v>0</v>
      </c>
      <c r="W306" s="21">
        <f>MIN(1,(tbl_raw[[#This Row],[Discount_Pct]]*1.4)+(tbl_raw[[#This Row],[COD_Flag]]*0.35))</f>
        <v>0.46199999999999997</v>
      </c>
    </row>
    <row r="307" spans="1:23" ht="22.8" x14ac:dyDescent="0.3">
      <c r="A307" s="22" t="s">
        <v>922</v>
      </c>
      <c r="B307" s="23" t="s">
        <v>923</v>
      </c>
      <c r="C307" s="23" t="s">
        <v>199</v>
      </c>
      <c r="D307" s="23" t="s">
        <v>53</v>
      </c>
      <c r="E307" s="23" t="s">
        <v>149</v>
      </c>
      <c r="F307" s="23" t="s">
        <v>924</v>
      </c>
      <c r="G307" s="23" t="s">
        <v>75</v>
      </c>
      <c r="H307" s="23" t="s">
        <v>48</v>
      </c>
      <c r="I307" s="23">
        <v>5</v>
      </c>
      <c r="J307" s="24">
        <v>512</v>
      </c>
      <c r="K307" s="24">
        <v>297</v>
      </c>
      <c r="L307" s="25">
        <v>0.42</v>
      </c>
      <c r="M307" s="24">
        <v>312</v>
      </c>
      <c r="N307" s="24">
        <f>(tbl_raw[[#This Row],[Selling_Price]]-tbl_raw[[#This Row],[Cost_Price]])*tbl_raw[[#This Row],[Units_Sold]]</f>
        <v>-75</v>
      </c>
      <c r="O307" s="25">
        <f>IFERROR((tbl_raw[[#This Row],[Selling_Price]]-tbl_raw[[#This Row],[Cost_Price]]) / tbl_raw[[#This Row],[Selling_Price]],0)</f>
        <v>-5.0505050505050504E-2</v>
      </c>
      <c r="P307" s="24">
        <v>146</v>
      </c>
      <c r="Q307" s="24">
        <f>tbl_raw[[#This Row],[Gross_Profit]]-(tbl_raw[[#This Row],[Shipping_Cost]]*tbl_raw[[#This Row],[Units_Sold]])</f>
        <v>-805</v>
      </c>
      <c r="R307" s="25">
        <f>IFERROR(tbl_raw[[#This Row],[Net_Profit]]/(tbl_raw[[#This Row],[Selling_Price]]*tbl_raw[[#This Row],[Units_Sold]]),0)</f>
        <v>-0.54208754208754206</v>
      </c>
      <c r="S307" s="23" t="s">
        <v>65</v>
      </c>
      <c r="T307" s="23" t="s">
        <v>32</v>
      </c>
      <c r="U307" s="23">
        <f>IF(tbl_raw[[#This Row],[Order_Status]]="Returned",1,0)</f>
        <v>0</v>
      </c>
      <c r="V307" s="23">
        <f>IF(tbl_raw[[#This Row],[Payment_Method]]="COD",1,0)</f>
        <v>0</v>
      </c>
      <c r="W307" s="26">
        <f>MIN(1,(tbl_raw[[#This Row],[Discount_Pct]]*1.4)+(tbl_raw[[#This Row],[COD_Flag]]*0.35))</f>
        <v>0.58799999999999997</v>
      </c>
    </row>
    <row r="308" spans="1:23" ht="22.8" x14ac:dyDescent="0.3">
      <c r="A308" s="17" t="s">
        <v>925</v>
      </c>
      <c r="B308" s="18" t="s">
        <v>926</v>
      </c>
      <c r="C308" s="18" t="s">
        <v>199</v>
      </c>
      <c r="D308" s="18" t="s">
        <v>44</v>
      </c>
      <c r="E308" s="18" t="s">
        <v>45</v>
      </c>
      <c r="F308" s="18" t="s">
        <v>927</v>
      </c>
      <c r="G308" s="18" t="s">
        <v>56</v>
      </c>
      <c r="H308" s="18" t="s">
        <v>57</v>
      </c>
      <c r="I308" s="18">
        <v>17</v>
      </c>
      <c r="J308" s="19">
        <v>1916</v>
      </c>
      <c r="K308" s="19">
        <v>1763</v>
      </c>
      <c r="L308" s="20">
        <v>0.08</v>
      </c>
      <c r="M308" s="19">
        <v>812</v>
      </c>
      <c r="N308" s="19">
        <f>(tbl_raw[[#This Row],[Selling_Price]]-tbl_raw[[#This Row],[Cost_Price]])*tbl_raw[[#This Row],[Units_Sold]]</f>
        <v>16167</v>
      </c>
      <c r="O308" s="20">
        <f>IFERROR((tbl_raw[[#This Row],[Selling_Price]]-tbl_raw[[#This Row],[Cost_Price]]) / tbl_raw[[#This Row],[Selling_Price]],0)</f>
        <v>0.53942144072603515</v>
      </c>
      <c r="P308" s="19">
        <v>106</v>
      </c>
      <c r="Q308" s="19">
        <f>tbl_raw[[#This Row],[Gross_Profit]]-(tbl_raw[[#This Row],[Shipping_Cost]]*tbl_raw[[#This Row],[Units_Sold]])</f>
        <v>14365</v>
      </c>
      <c r="R308" s="20">
        <f>IFERROR(tbl_raw[[#This Row],[Net_Profit]]/(tbl_raw[[#This Row],[Selling_Price]]*tbl_raw[[#This Row],[Units_Sold]]),0)</f>
        <v>0.47929665343165062</v>
      </c>
      <c r="S308" s="18" t="s">
        <v>31</v>
      </c>
      <c r="T308" s="18" t="s">
        <v>32</v>
      </c>
      <c r="U308" s="18">
        <f>IF(tbl_raw[[#This Row],[Order_Status]]="Returned",1,0)</f>
        <v>0</v>
      </c>
      <c r="V308" s="18">
        <f>IF(tbl_raw[[#This Row],[Payment_Method]]="COD",1,0)</f>
        <v>0</v>
      </c>
      <c r="W308" s="21">
        <f>MIN(1,(tbl_raw[[#This Row],[Discount_Pct]]*1.4)+(tbl_raw[[#This Row],[COD_Flag]]*0.35))</f>
        <v>0.11199999999999999</v>
      </c>
    </row>
    <row r="309" spans="1:23" ht="22.8" x14ac:dyDescent="0.3">
      <c r="A309" s="22" t="s">
        <v>928</v>
      </c>
      <c r="B309" s="23" t="s">
        <v>432</v>
      </c>
      <c r="C309" s="23" t="s">
        <v>89</v>
      </c>
      <c r="D309" s="23" t="s">
        <v>94</v>
      </c>
      <c r="E309" s="23" t="s">
        <v>180</v>
      </c>
      <c r="F309" s="23" t="s">
        <v>929</v>
      </c>
      <c r="G309" s="23" t="s">
        <v>56</v>
      </c>
      <c r="H309" s="23" t="s">
        <v>57</v>
      </c>
      <c r="I309" s="23">
        <v>10</v>
      </c>
      <c r="J309" s="24">
        <v>1904</v>
      </c>
      <c r="K309" s="24">
        <v>1257</v>
      </c>
      <c r="L309" s="25">
        <v>0.34</v>
      </c>
      <c r="M309" s="24">
        <v>1115</v>
      </c>
      <c r="N309" s="24">
        <f>(tbl_raw[[#This Row],[Selling_Price]]-tbl_raw[[#This Row],[Cost_Price]])*tbl_raw[[#This Row],[Units_Sold]]</f>
        <v>1420</v>
      </c>
      <c r="O309" s="25">
        <f>IFERROR((tbl_raw[[#This Row],[Selling_Price]]-tbl_raw[[#This Row],[Cost_Price]]) / tbl_raw[[#This Row],[Selling_Price]],0)</f>
        <v>0.11296738265712013</v>
      </c>
      <c r="P309" s="24">
        <v>179</v>
      </c>
      <c r="Q309" s="24">
        <f>tbl_raw[[#This Row],[Gross_Profit]]-(tbl_raw[[#This Row],[Shipping_Cost]]*tbl_raw[[#This Row],[Units_Sold]])</f>
        <v>-370</v>
      </c>
      <c r="R309" s="25">
        <f>IFERROR(tbl_raw[[#This Row],[Net_Profit]]/(tbl_raw[[#This Row],[Selling_Price]]*tbl_raw[[#This Row],[Units_Sold]]),0)</f>
        <v>-2.94351630867144E-2</v>
      </c>
      <c r="S309" s="23" t="s">
        <v>58</v>
      </c>
      <c r="T309" s="23" t="s">
        <v>32</v>
      </c>
      <c r="U309" s="23">
        <f>IF(tbl_raw[[#This Row],[Order_Status]]="Returned",1,0)</f>
        <v>0</v>
      </c>
      <c r="V309" s="23">
        <f>IF(tbl_raw[[#This Row],[Payment_Method]]="COD",1,0)</f>
        <v>0</v>
      </c>
      <c r="W309" s="26">
        <f>MIN(1,(tbl_raw[[#This Row],[Discount_Pct]]*1.4)+(tbl_raw[[#This Row],[COD_Flag]]*0.35))</f>
        <v>0.47599999999999998</v>
      </c>
    </row>
    <row r="310" spans="1:23" ht="22.8" x14ac:dyDescent="0.3">
      <c r="A310" s="17" t="s">
        <v>930</v>
      </c>
      <c r="B310" s="18" t="s">
        <v>259</v>
      </c>
      <c r="C310" s="18" t="s">
        <v>35</v>
      </c>
      <c r="D310" s="18" t="s">
        <v>94</v>
      </c>
      <c r="E310" s="18" t="s">
        <v>207</v>
      </c>
      <c r="F310" s="18" t="s">
        <v>931</v>
      </c>
      <c r="G310" s="18" t="s">
        <v>56</v>
      </c>
      <c r="H310" s="18" t="s">
        <v>57</v>
      </c>
      <c r="I310" s="18">
        <v>13</v>
      </c>
      <c r="J310" s="19">
        <v>7344</v>
      </c>
      <c r="K310" s="19">
        <v>4186</v>
      </c>
      <c r="L310" s="20">
        <v>0.43</v>
      </c>
      <c r="M310" s="19">
        <v>3929</v>
      </c>
      <c r="N310" s="19">
        <f>(tbl_raw[[#This Row],[Selling_Price]]-tbl_raw[[#This Row],[Cost_Price]])*tbl_raw[[#This Row],[Units_Sold]]</f>
        <v>3341</v>
      </c>
      <c r="O310" s="20">
        <f>IFERROR((tbl_raw[[#This Row],[Selling_Price]]-tbl_raw[[#This Row],[Cost_Price]]) / tbl_raw[[#This Row],[Selling_Price]],0)</f>
        <v>6.139512661251792E-2</v>
      </c>
      <c r="P310" s="19">
        <v>111</v>
      </c>
      <c r="Q310" s="19">
        <f>tbl_raw[[#This Row],[Gross_Profit]]-(tbl_raw[[#This Row],[Shipping_Cost]]*tbl_raw[[#This Row],[Units_Sold]])</f>
        <v>1898</v>
      </c>
      <c r="R310" s="20">
        <f>IFERROR(tbl_raw[[#This Row],[Net_Profit]]/(tbl_raw[[#This Row],[Selling_Price]]*tbl_raw[[#This Row],[Units_Sold]]),0)</f>
        <v>3.487816531294792E-2</v>
      </c>
      <c r="S310" s="18" t="s">
        <v>107</v>
      </c>
      <c r="T310" s="18" t="s">
        <v>32</v>
      </c>
      <c r="U310" s="18">
        <f>IF(tbl_raw[[#This Row],[Order_Status]]="Returned",1,0)</f>
        <v>0</v>
      </c>
      <c r="V310" s="18">
        <f>IF(tbl_raw[[#This Row],[Payment_Method]]="COD",1,0)</f>
        <v>0</v>
      </c>
      <c r="W310" s="21">
        <f>MIN(1,(tbl_raw[[#This Row],[Discount_Pct]]*1.4)+(tbl_raw[[#This Row],[COD_Flag]]*0.35))</f>
        <v>0.60199999999999998</v>
      </c>
    </row>
    <row r="311" spans="1:23" ht="22.8" x14ac:dyDescent="0.3">
      <c r="A311" s="22" t="s">
        <v>932</v>
      </c>
      <c r="B311" s="23" t="s">
        <v>324</v>
      </c>
      <c r="C311" s="23" t="s">
        <v>89</v>
      </c>
      <c r="D311" s="23" t="s">
        <v>62</v>
      </c>
      <c r="E311" s="23" t="s">
        <v>68</v>
      </c>
      <c r="F311" s="23" t="s">
        <v>933</v>
      </c>
      <c r="G311" s="23" t="s">
        <v>143</v>
      </c>
      <c r="H311" s="23" t="s">
        <v>30</v>
      </c>
      <c r="I311" s="23">
        <v>7</v>
      </c>
      <c r="J311" s="24">
        <v>2698</v>
      </c>
      <c r="K311" s="24">
        <v>2590</v>
      </c>
      <c r="L311" s="25">
        <v>0.04</v>
      </c>
      <c r="M311" s="24">
        <v>1170</v>
      </c>
      <c r="N311" s="24">
        <f>(tbl_raw[[#This Row],[Selling_Price]]-tbl_raw[[#This Row],[Cost_Price]])*tbl_raw[[#This Row],[Units_Sold]]</f>
        <v>9940</v>
      </c>
      <c r="O311" s="25">
        <f>IFERROR((tbl_raw[[#This Row],[Selling_Price]]-tbl_raw[[#This Row],[Cost_Price]]) / tbl_raw[[#This Row],[Selling_Price]],0)</f>
        <v>0.54826254826254828</v>
      </c>
      <c r="P311" s="24">
        <v>176</v>
      </c>
      <c r="Q311" s="24">
        <f>tbl_raw[[#This Row],[Gross_Profit]]-(tbl_raw[[#This Row],[Shipping_Cost]]*tbl_raw[[#This Row],[Units_Sold]])</f>
        <v>8708</v>
      </c>
      <c r="R311" s="25">
        <f>IFERROR(tbl_raw[[#This Row],[Net_Profit]]/(tbl_raw[[#This Row],[Selling_Price]]*tbl_raw[[#This Row],[Units_Sold]]),0)</f>
        <v>0.4803088803088803</v>
      </c>
      <c r="S311" s="23" t="s">
        <v>65</v>
      </c>
      <c r="T311" s="23" t="s">
        <v>32</v>
      </c>
      <c r="U311" s="23">
        <f>IF(tbl_raw[[#This Row],[Order_Status]]="Returned",1,0)</f>
        <v>0</v>
      </c>
      <c r="V311" s="23">
        <f>IF(tbl_raw[[#This Row],[Payment_Method]]="COD",1,0)</f>
        <v>0</v>
      </c>
      <c r="W311" s="26">
        <f>MIN(1,(tbl_raw[[#This Row],[Discount_Pct]]*1.4)+(tbl_raw[[#This Row],[COD_Flag]]*0.35))</f>
        <v>5.5999999999999994E-2</v>
      </c>
    </row>
    <row r="312" spans="1:23" ht="22.8" x14ac:dyDescent="0.3">
      <c r="A312" s="17" t="s">
        <v>934</v>
      </c>
      <c r="B312" s="18" t="s">
        <v>935</v>
      </c>
      <c r="C312" s="18" t="s">
        <v>35</v>
      </c>
      <c r="D312" s="18" t="s">
        <v>94</v>
      </c>
      <c r="E312" s="18" t="s">
        <v>310</v>
      </c>
      <c r="F312" s="18" t="s">
        <v>936</v>
      </c>
      <c r="G312" s="18" t="s">
        <v>120</v>
      </c>
      <c r="H312" s="18" t="s">
        <v>39</v>
      </c>
      <c r="I312" s="18">
        <v>7</v>
      </c>
      <c r="J312" s="19">
        <v>4394</v>
      </c>
      <c r="K312" s="19">
        <v>2988</v>
      </c>
      <c r="L312" s="20">
        <v>0.32</v>
      </c>
      <c r="M312" s="19">
        <v>3259</v>
      </c>
      <c r="N312" s="19">
        <f>(tbl_raw[[#This Row],[Selling_Price]]-tbl_raw[[#This Row],[Cost_Price]])*tbl_raw[[#This Row],[Units_Sold]]</f>
        <v>-1897</v>
      </c>
      <c r="O312" s="20">
        <f>IFERROR((tbl_raw[[#This Row],[Selling_Price]]-tbl_raw[[#This Row],[Cost_Price]]) / tbl_raw[[#This Row],[Selling_Price]],0)</f>
        <v>-9.0696117804551543E-2</v>
      </c>
      <c r="P312" s="19">
        <v>146</v>
      </c>
      <c r="Q312" s="19">
        <f>tbl_raw[[#This Row],[Gross_Profit]]-(tbl_raw[[#This Row],[Shipping_Cost]]*tbl_raw[[#This Row],[Units_Sold]])</f>
        <v>-2919</v>
      </c>
      <c r="R312" s="20">
        <f>IFERROR(tbl_raw[[#This Row],[Net_Profit]]/(tbl_raw[[#This Row],[Selling_Price]]*tbl_raw[[#This Row],[Units_Sold]]),0)</f>
        <v>-0.13955823293172689</v>
      </c>
      <c r="S312" s="18" t="s">
        <v>58</v>
      </c>
      <c r="T312" s="18" t="s">
        <v>32</v>
      </c>
      <c r="U312" s="18">
        <f>IF(tbl_raw[[#This Row],[Order_Status]]="Returned",1,0)</f>
        <v>0</v>
      </c>
      <c r="V312" s="18">
        <f>IF(tbl_raw[[#This Row],[Payment_Method]]="COD",1,0)</f>
        <v>0</v>
      </c>
      <c r="W312" s="21">
        <f>MIN(1,(tbl_raw[[#This Row],[Discount_Pct]]*1.4)+(tbl_raw[[#This Row],[COD_Flag]]*0.35))</f>
        <v>0.44799999999999995</v>
      </c>
    </row>
    <row r="313" spans="1:23" ht="22.8" x14ac:dyDescent="0.3">
      <c r="A313" s="22" t="s">
        <v>937</v>
      </c>
      <c r="B313" s="23" t="s">
        <v>788</v>
      </c>
      <c r="C313" s="23" t="s">
        <v>117</v>
      </c>
      <c r="D313" s="23" t="s">
        <v>44</v>
      </c>
      <c r="E313" s="23" t="s">
        <v>45</v>
      </c>
      <c r="F313" s="23" t="s">
        <v>938</v>
      </c>
      <c r="G313" s="23" t="s">
        <v>120</v>
      </c>
      <c r="H313" s="23" t="s">
        <v>39</v>
      </c>
      <c r="I313" s="23">
        <v>2</v>
      </c>
      <c r="J313" s="24">
        <v>1588</v>
      </c>
      <c r="K313" s="24">
        <v>1413</v>
      </c>
      <c r="L313" s="25">
        <v>0.11</v>
      </c>
      <c r="M313" s="24">
        <v>674</v>
      </c>
      <c r="N313" s="24">
        <f>(tbl_raw[[#This Row],[Selling_Price]]-tbl_raw[[#This Row],[Cost_Price]])*tbl_raw[[#This Row],[Units_Sold]]</f>
        <v>1478</v>
      </c>
      <c r="O313" s="25">
        <f>IFERROR((tbl_raw[[#This Row],[Selling_Price]]-tbl_raw[[#This Row],[Cost_Price]]) / tbl_raw[[#This Row],[Selling_Price]],0)</f>
        <v>0.52300070771408347</v>
      </c>
      <c r="P313" s="24">
        <v>153</v>
      </c>
      <c r="Q313" s="24">
        <f>tbl_raw[[#This Row],[Gross_Profit]]-(tbl_raw[[#This Row],[Shipping_Cost]]*tbl_raw[[#This Row],[Units_Sold]])</f>
        <v>1172</v>
      </c>
      <c r="R313" s="25">
        <f>IFERROR(tbl_raw[[#This Row],[Net_Profit]]/(tbl_raw[[#This Row],[Selling_Price]]*tbl_raw[[#This Row],[Units_Sold]]),0)</f>
        <v>0.41472045293701343</v>
      </c>
      <c r="S313" s="23" t="s">
        <v>107</v>
      </c>
      <c r="T313" s="23" t="s">
        <v>32</v>
      </c>
      <c r="U313" s="23">
        <f>IF(tbl_raw[[#This Row],[Order_Status]]="Returned",1,0)</f>
        <v>0</v>
      </c>
      <c r="V313" s="23">
        <f>IF(tbl_raw[[#This Row],[Payment_Method]]="COD",1,0)</f>
        <v>0</v>
      </c>
      <c r="W313" s="26">
        <f>MIN(1,(tbl_raw[[#This Row],[Discount_Pct]]*1.4)+(tbl_raw[[#This Row],[COD_Flag]]*0.35))</f>
        <v>0.154</v>
      </c>
    </row>
    <row r="314" spans="1:23" ht="22.8" x14ac:dyDescent="0.3">
      <c r="A314" s="17" t="s">
        <v>939</v>
      </c>
      <c r="B314" s="18" t="s">
        <v>940</v>
      </c>
      <c r="C314" s="18" t="s">
        <v>52</v>
      </c>
      <c r="D314" s="18" t="s">
        <v>44</v>
      </c>
      <c r="E314" s="18" t="s">
        <v>45</v>
      </c>
      <c r="F314" s="18" t="s">
        <v>941</v>
      </c>
      <c r="G314" s="18" t="s">
        <v>120</v>
      </c>
      <c r="H314" s="18" t="s">
        <v>39</v>
      </c>
      <c r="I314" s="18">
        <v>18</v>
      </c>
      <c r="J314" s="19">
        <v>246</v>
      </c>
      <c r="K314" s="19">
        <v>167</v>
      </c>
      <c r="L314" s="20">
        <v>0.32</v>
      </c>
      <c r="M314" s="19">
        <v>104</v>
      </c>
      <c r="N314" s="19">
        <f>(tbl_raw[[#This Row],[Selling_Price]]-tbl_raw[[#This Row],[Cost_Price]])*tbl_raw[[#This Row],[Units_Sold]]</f>
        <v>1134</v>
      </c>
      <c r="O314" s="20">
        <f>IFERROR((tbl_raw[[#This Row],[Selling_Price]]-tbl_raw[[#This Row],[Cost_Price]]) / tbl_raw[[#This Row],[Selling_Price]],0)</f>
        <v>0.3772455089820359</v>
      </c>
      <c r="P314" s="19">
        <v>142</v>
      </c>
      <c r="Q314" s="19">
        <f>tbl_raw[[#This Row],[Gross_Profit]]-(tbl_raw[[#This Row],[Shipping_Cost]]*tbl_raw[[#This Row],[Units_Sold]])</f>
        <v>-1422</v>
      </c>
      <c r="R314" s="20">
        <f>IFERROR(tbl_raw[[#This Row],[Net_Profit]]/(tbl_raw[[#This Row],[Selling_Price]]*tbl_raw[[#This Row],[Units_Sold]]),0)</f>
        <v>-0.47305389221556887</v>
      </c>
      <c r="S314" s="18" t="s">
        <v>58</v>
      </c>
      <c r="T314" s="18" t="s">
        <v>32</v>
      </c>
      <c r="U314" s="18">
        <f>IF(tbl_raw[[#This Row],[Order_Status]]="Returned",1,0)</f>
        <v>0</v>
      </c>
      <c r="V314" s="18">
        <f>IF(tbl_raw[[#This Row],[Payment_Method]]="COD",1,0)</f>
        <v>0</v>
      </c>
      <c r="W314" s="21">
        <f>MIN(1,(tbl_raw[[#This Row],[Discount_Pct]]*1.4)+(tbl_raw[[#This Row],[COD_Flag]]*0.35))</f>
        <v>0.44799999999999995</v>
      </c>
    </row>
    <row r="315" spans="1:23" ht="22.8" x14ac:dyDescent="0.3">
      <c r="A315" s="22" t="s">
        <v>942</v>
      </c>
      <c r="B315" s="23" t="s">
        <v>943</v>
      </c>
      <c r="C315" s="23" t="s">
        <v>105</v>
      </c>
      <c r="D315" s="23" t="s">
        <v>53</v>
      </c>
      <c r="E315" s="23" t="s">
        <v>160</v>
      </c>
      <c r="F315" s="23" t="s">
        <v>944</v>
      </c>
      <c r="G315" s="23" t="s">
        <v>120</v>
      </c>
      <c r="H315" s="23" t="s">
        <v>39</v>
      </c>
      <c r="I315" s="23">
        <v>10</v>
      </c>
      <c r="J315" s="24">
        <v>6169</v>
      </c>
      <c r="K315" s="24">
        <v>4935</v>
      </c>
      <c r="L315" s="25">
        <v>0.2</v>
      </c>
      <c r="M315" s="24">
        <v>3321</v>
      </c>
      <c r="N315" s="24">
        <f>(tbl_raw[[#This Row],[Selling_Price]]-tbl_raw[[#This Row],[Cost_Price]])*tbl_raw[[#This Row],[Units_Sold]]</f>
        <v>16140</v>
      </c>
      <c r="O315" s="25">
        <f>IFERROR((tbl_raw[[#This Row],[Selling_Price]]-tbl_raw[[#This Row],[Cost_Price]]) / tbl_raw[[#This Row],[Selling_Price]],0)</f>
        <v>0.32705167173252281</v>
      </c>
      <c r="P315" s="24">
        <v>129</v>
      </c>
      <c r="Q315" s="24">
        <f>tbl_raw[[#This Row],[Gross_Profit]]-(tbl_raw[[#This Row],[Shipping_Cost]]*tbl_raw[[#This Row],[Units_Sold]])</f>
        <v>14850</v>
      </c>
      <c r="R315" s="25">
        <f>IFERROR(tbl_raw[[#This Row],[Net_Profit]]/(tbl_raw[[#This Row],[Selling_Price]]*tbl_raw[[#This Row],[Units_Sold]]),0)</f>
        <v>0.30091185410334348</v>
      </c>
      <c r="S315" s="23" t="s">
        <v>31</v>
      </c>
      <c r="T315" s="23" t="s">
        <v>32</v>
      </c>
      <c r="U315" s="23">
        <f>IF(tbl_raw[[#This Row],[Order_Status]]="Returned",1,0)</f>
        <v>0</v>
      </c>
      <c r="V315" s="23">
        <f>IF(tbl_raw[[#This Row],[Payment_Method]]="COD",1,0)</f>
        <v>0</v>
      </c>
      <c r="W315" s="26">
        <f>MIN(1,(tbl_raw[[#This Row],[Discount_Pct]]*1.4)+(tbl_raw[[#This Row],[COD_Flag]]*0.35))</f>
        <v>0.27999999999999997</v>
      </c>
    </row>
    <row r="316" spans="1:23" ht="22.8" x14ac:dyDescent="0.3">
      <c r="A316" s="17" t="s">
        <v>945</v>
      </c>
      <c r="B316" s="18" t="s">
        <v>946</v>
      </c>
      <c r="C316" s="18" t="s">
        <v>156</v>
      </c>
      <c r="D316" s="18" t="s">
        <v>53</v>
      </c>
      <c r="E316" s="18" t="s">
        <v>145</v>
      </c>
      <c r="F316" s="18" t="s">
        <v>947</v>
      </c>
      <c r="G316" s="18" t="s">
        <v>56</v>
      </c>
      <c r="H316" s="18" t="s">
        <v>57</v>
      </c>
      <c r="I316" s="18">
        <v>1</v>
      </c>
      <c r="J316" s="19">
        <v>4517</v>
      </c>
      <c r="K316" s="19">
        <v>3388</v>
      </c>
      <c r="L316" s="20">
        <v>0.25</v>
      </c>
      <c r="M316" s="19">
        <v>2002</v>
      </c>
      <c r="N316" s="19">
        <f>(tbl_raw[[#This Row],[Selling_Price]]-tbl_raw[[#This Row],[Cost_Price]])*tbl_raw[[#This Row],[Units_Sold]]</f>
        <v>1386</v>
      </c>
      <c r="O316" s="20">
        <f>IFERROR((tbl_raw[[#This Row],[Selling_Price]]-tbl_raw[[#This Row],[Cost_Price]]) / tbl_raw[[#This Row],[Selling_Price]],0)</f>
        <v>0.40909090909090912</v>
      </c>
      <c r="P316" s="19">
        <v>31</v>
      </c>
      <c r="Q316" s="19">
        <f>tbl_raw[[#This Row],[Gross_Profit]]-(tbl_raw[[#This Row],[Shipping_Cost]]*tbl_raw[[#This Row],[Units_Sold]])</f>
        <v>1355</v>
      </c>
      <c r="R316" s="20">
        <f>IFERROR(tbl_raw[[#This Row],[Net_Profit]]/(tbl_raw[[#This Row],[Selling_Price]]*tbl_raw[[#This Row],[Units_Sold]]),0)</f>
        <v>0.39994096812278629</v>
      </c>
      <c r="S316" s="18" t="s">
        <v>65</v>
      </c>
      <c r="T316" s="18" t="s">
        <v>32</v>
      </c>
      <c r="U316" s="18">
        <f>IF(tbl_raw[[#This Row],[Order_Status]]="Returned",1,0)</f>
        <v>0</v>
      </c>
      <c r="V316" s="18">
        <f>IF(tbl_raw[[#This Row],[Payment_Method]]="COD",1,0)</f>
        <v>0</v>
      </c>
      <c r="W316" s="21">
        <f>MIN(1,(tbl_raw[[#This Row],[Discount_Pct]]*1.4)+(tbl_raw[[#This Row],[COD_Flag]]*0.35))</f>
        <v>0.35</v>
      </c>
    </row>
    <row r="317" spans="1:23" ht="22.8" x14ac:dyDescent="0.3">
      <c r="A317" s="22" t="s">
        <v>948</v>
      </c>
      <c r="B317" s="23" t="s">
        <v>949</v>
      </c>
      <c r="C317" s="23" t="s">
        <v>72</v>
      </c>
      <c r="D317" s="23" t="s">
        <v>94</v>
      </c>
      <c r="E317" s="23" t="s">
        <v>180</v>
      </c>
      <c r="F317" s="23" t="s">
        <v>950</v>
      </c>
      <c r="G317" s="23" t="s">
        <v>47</v>
      </c>
      <c r="H317" s="23" t="s">
        <v>48</v>
      </c>
      <c r="I317" s="23">
        <v>17</v>
      </c>
      <c r="J317" s="24">
        <v>1311</v>
      </c>
      <c r="K317" s="24">
        <v>1206</v>
      </c>
      <c r="L317" s="25">
        <v>0.08</v>
      </c>
      <c r="M317" s="24">
        <v>807</v>
      </c>
      <c r="N317" s="24">
        <f>(tbl_raw[[#This Row],[Selling_Price]]-tbl_raw[[#This Row],[Cost_Price]])*tbl_raw[[#This Row],[Units_Sold]]</f>
        <v>6783</v>
      </c>
      <c r="O317" s="25">
        <f>IFERROR((tbl_raw[[#This Row],[Selling_Price]]-tbl_raw[[#This Row],[Cost_Price]]) / tbl_raw[[#This Row],[Selling_Price]],0)</f>
        <v>0.3308457711442786</v>
      </c>
      <c r="P317" s="24">
        <v>68</v>
      </c>
      <c r="Q317" s="24">
        <f>tbl_raw[[#This Row],[Gross_Profit]]-(tbl_raw[[#This Row],[Shipping_Cost]]*tbl_raw[[#This Row],[Units_Sold]])</f>
        <v>5627</v>
      </c>
      <c r="R317" s="25">
        <f>IFERROR(tbl_raw[[#This Row],[Net_Profit]]/(tbl_raw[[#This Row],[Selling_Price]]*tbl_raw[[#This Row],[Units_Sold]]),0)</f>
        <v>0.2744610281923715</v>
      </c>
      <c r="S317" s="23" t="s">
        <v>58</v>
      </c>
      <c r="T317" s="23" t="s">
        <v>86</v>
      </c>
      <c r="U317" s="23">
        <f>IF(tbl_raw[[#This Row],[Order_Status]]="Returned",1,0)</f>
        <v>1</v>
      </c>
      <c r="V317" s="23">
        <f>IF(tbl_raw[[#This Row],[Payment_Method]]="COD",1,0)</f>
        <v>0</v>
      </c>
      <c r="W317" s="26">
        <f>MIN(1,(tbl_raw[[#This Row],[Discount_Pct]]*1.4)+(tbl_raw[[#This Row],[COD_Flag]]*0.35))</f>
        <v>0.11199999999999999</v>
      </c>
    </row>
    <row r="318" spans="1:23" ht="22.8" x14ac:dyDescent="0.3">
      <c r="A318" s="17" t="s">
        <v>951</v>
      </c>
      <c r="B318" s="18" t="s">
        <v>952</v>
      </c>
      <c r="C318" s="18" t="s">
        <v>132</v>
      </c>
      <c r="D318" s="18" t="s">
        <v>62</v>
      </c>
      <c r="E318" s="18" t="s">
        <v>133</v>
      </c>
      <c r="F318" s="18" t="s">
        <v>953</v>
      </c>
      <c r="G318" s="18" t="s">
        <v>143</v>
      </c>
      <c r="H318" s="18" t="s">
        <v>30</v>
      </c>
      <c r="I318" s="18">
        <v>3</v>
      </c>
      <c r="J318" s="19">
        <v>2155</v>
      </c>
      <c r="K318" s="19">
        <v>1961</v>
      </c>
      <c r="L318" s="20">
        <v>0.09</v>
      </c>
      <c r="M318" s="19">
        <v>1300</v>
      </c>
      <c r="N318" s="19">
        <f>(tbl_raw[[#This Row],[Selling_Price]]-tbl_raw[[#This Row],[Cost_Price]])*tbl_raw[[#This Row],[Units_Sold]]</f>
        <v>1983</v>
      </c>
      <c r="O318" s="20">
        <f>IFERROR((tbl_raw[[#This Row],[Selling_Price]]-tbl_raw[[#This Row],[Cost_Price]]) / tbl_raw[[#This Row],[Selling_Price]],0)</f>
        <v>0.33707292197858235</v>
      </c>
      <c r="P318" s="19">
        <v>173</v>
      </c>
      <c r="Q318" s="19">
        <f>tbl_raw[[#This Row],[Gross_Profit]]-(tbl_raw[[#This Row],[Shipping_Cost]]*tbl_raw[[#This Row],[Units_Sold]])</f>
        <v>1464</v>
      </c>
      <c r="R318" s="20">
        <f>IFERROR(tbl_raw[[#This Row],[Net_Profit]]/(tbl_raw[[#This Row],[Selling_Price]]*tbl_raw[[#This Row],[Units_Sold]]),0)</f>
        <v>0.24885262621111678</v>
      </c>
      <c r="S318" s="18" t="s">
        <v>107</v>
      </c>
      <c r="T318" s="18" t="s">
        <v>32</v>
      </c>
      <c r="U318" s="18">
        <f>IF(tbl_raw[[#This Row],[Order_Status]]="Returned",1,0)</f>
        <v>0</v>
      </c>
      <c r="V318" s="18">
        <f>IF(tbl_raw[[#This Row],[Payment_Method]]="COD",1,0)</f>
        <v>0</v>
      </c>
      <c r="W318" s="21">
        <f>MIN(1,(tbl_raw[[#This Row],[Discount_Pct]]*1.4)+(tbl_raw[[#This Row],[COD_Flag]]*0.35))</f>
        <v>0.126</v>
      </c>
    </row>
    <row r="319" spans="1:23" ht="22.8" x14ac:dyDescent="0.3">
      <c r="A319" s="22" t="s">
        <v>954</v>
      </c>
      <c r="B319" s="23" t="s">
        <v>949</v>
      </c>
      <c r="C319" s="23" t="s">
        <v>72</v>
      </c>
      <c r="D319" s="23" t="s">
        <v>175</v>
      </c>
      <c r="E319" s="23" t="s">
        <v>225</v>
      </c>
      <c r="F319" s="23" t="s">
        <v>955</v>
      </c>
      <c r="G319" s="23" t="s">
        <v>75</v>
      </c>
      <c r="H319" s="23" t="s">
        <v>48</v>
      </c>
      <c r="I319" s="23">
        <v>15</v>
      </c>
      <c r="J319" s="24">
        <v>2761</v>
      </c>
      <c r="K319" s="24">
        <v>1933</v>
      </c>
      <c r="L319" s="25">
        <v>0.3</v>
      </c>
      <c r="M319" s="24">
        <v>1775</v>
      </c>
      <c r="N319" s="24">
        <f>(tbl_raw[[#This Row],[Selling_Price]]-tbl_raw[[#This Row],[Cost_Price]])*tbl_raw[[#This Row],[Units_Sold]]</f>
        <v>2370</v>
      </c>
      <c r="O319" s="25">
        <f>IFERROR((tbl_raw[[#This Row],[Selling_Price]]-tbl_raw[[#This Row],[Cost_Price]]) / tbl_raw[[#This Row],[Selling_Price]],0)</f>
        <v>8.1738230729436104E-2</v>
      </c>
      <c r="P319" s="24">
        <v>53</v>
      </c>
      <c r="Q319" s="24">
        <f>tbl_raw[[#This Row],[Gross_Profit]]-(tbl_raw[[#This Row],[Shipping_Cost]]*tbl_raw[[#This Row],[Units_Sold]])</f>
        <v>1575</v>
      </c>
      <c r="R319" s="25">
        <f>IFERROR(tbl_raw[[#This Row],[Net_Profit]]/(tbl_raw[[#This Row],[Selling_Price]]*tbl_raw[[#This Row],[Units_Sold]]),0)</f>
        <v>5.4319710294878427E-2</v>
      </c>
      <c r="S319" s="23" t="s">
        <v>65</v>
      </c>
      <c r="T319" s="23" t="s">
        <v>32</v>
      </c>
      <c r="U319" s="23">
        <f>IF(tbl_raw[[#This Row],[Order_Status]]="Returned",1,0)</f>
        <v>0</v>
      </c>
      <c r="V319" s="23">
        <f>IF(tbl_raw[[#This Row],[Payment_Method]]="COD",1,0)</f>
        <v>0</v>
      </c>
      <c r="W319" s="26">
        <f>MIN(1,(tbl_raw[[#This Row],[Discount_Pct]]*1.4)+(tbl_raw[[#This Row],[COD_Flag]]*0.35))</f>
        <v>0.42</v>
      </c>
    </row>
    <row r="320" spans="1:23" ht="22.8" x14ac:dyDescent="0.3">
      <c r="A320" s="17" t="s">
        <v>956</v>
      </c>
      <c r="B320" s="18" t="s">
        <v>622</v>
      </c>
      <c r="C320" s="18" t="s">
        <v>52</v>
      </c>
      <c r="D320" s="18" t="s">
        <v>26</v>
      </c>
      <c r="E320" s="18" t="s">
        <v>27</v>
      </c>
      <c r="F320" s="18" t="s">
        <v>957</v>
      </c>
      <c r="G320" s="18" t="s">
        <v>29</v>
      </c>
      <c r="H320" s="18" t="s">
        <v>30</v>
      </c>
      <c r="I320" s="18">
        <v>14</v>
      </c>
      <c r="J320" s="19">
        <v>2358</v>
      </c>
      <c r="K320" s="19">
        <v>1981</v>
      </c>
      <c r="L320" s="20">
        <v>0.16</v>
      </c>
      <c r="M320" s="19">
        <v>1504</v>
      </c>
      <c r="N320" s="19">
        <f>(tbl_raw[[#This Row],[Selling_Price]]-tbl_raw[[#This Row],[Cost_Price]])*tbl_raw[[#This Row],[Units_Sold]]</f>
        <v>6678</v>
      </c>
      <c r="O320" s="20">
        <f>IFERROR((tbl_raw[[#This Row],[Selling_Price]]-tbl_raw[[#This Row],[Cost_Price]]) / tbl_raw[[#This Row],[Selling_Price]],0)</f>
        <v>0.24078748107016659</v>
      </c>
      <c r="P320" s="19">
        <v>80</v>
      </c>
      <c r="Q320" s="19">
        <f>tbl_raw[[#This Row],[Gross_Profit]]-(tbl_raw[[#This Row],[Shipping_Cost]]*tbl_raw[[#This Row],[Units_Sold]])</f>
        <v>5558</v>
      </c>
      <c r="R320" s="20">
        <f>IFERROR(tbl_raw[[#This Row],[Net_Profit]]/(tbl_raw[[#This Row],[Selling_Price]]*tbl_raw[[#This Row],[Units_Sold]]),0)</f>
        <v>0.20040383644623927</v>
      </c>
      <c r="S320" s="18" t="s">
        <v>31</v>
      </c>
      <c r="T320" s="18" t="s">
        <v>32</v>
      </c>
      <c r="U320" s="18">
        <f>IF(tbl_raw[[#This Row],[Order_Status]]="Returned",1,0)</f>
        <v>0</v>
      </c>
      <c r="V320" s="18">
        <f>IF(tbl_raw[[#This Row],[Payment_Method]]="COD",1,0)</f>
        <v>0</v>
      </c>
      <c r="W320" s="21">
        <f>MIN(1,(tbl_raw[[#This Row],[Discount_Pct]]*1.4)+(tbl_raw[[#This Row],[COD_Flag]]*0.35))</f>
        <v>0.22399999999999998</v>
      </c>
    </row>
    <row r="321" spans="1:23" ht="22.8" x14ac:dyDescent="0.3">
      <c r="A321" s="22" t="s">
        <v>958</v>
      </c>
      <c r="B321" s="23" t="s">
        <v>959</v>
      </c>
      <c r="C321" s="23" t="s">
        <v>99</v>
      </c>
      <c r="D321" s="23" t="s">
        <v>175</v>
      </c>
      <c r="E321" s="23" t="s">
        <v>225</v>
      </c>
      <c r="F321" s="23" t="s">
        <v>960</v>
      </c>
      <c r="G321" s="23" t="s">
        <v>102</v>
      </c>
      <c r="H321" s="23" t="s">
        <v>39</v>
      </c>
      <c r="I321" s="23">
        <v>3</v>
      </c>
      <c r="J321" s="24">
        <v>6766</v>
      </c>
      <c r="K321" s="24">
        <v>4127</v>
      </c>
      <c r="L321" s="25">
        <v>0.39</v>
      </c>
      <c r="M321" s="24">
        <v>3038</v>
      </c>
      <c r="N321" s="24">
        <f>(tbl_raw[[#This Row],[Selling_Price]]-tbl_raw[[#This Row],[Cost_Price]])*tbl_raw[[#This Row],[Units_Sold]]</f>
        <v>3267</v>
      </c>
      <c r="O321" s="25">
        <f>IFERROR((tbl_raw[[#This Row],[Selling_Price]]-tbl_raw[[#This Row],[Cost_Price]]) / tbl_raw[[#This Row],[Selling_Price]],0)</f>
        <v>0.26387206203053065</v>
      </c>
      <c r="P321" s="24">
        <v>111</v>
      </c>
      <c r="Q321" s="24">
        <f>tbl_raw[[#This Row],[Gross_Profit]]-(tbl_raw[[#This Row],[Shipping_Cost]]*tbl_raw[[#This Row],[Units_Sold]])</f>
        <v>2934</v>
      </c>
      <c r="R321" s="25">
        <f>IFERROR(tbl_raw[[#This Row],[Net_Profit]]/(tbl_raw[[#This Row],[Selling_Price]]*tbl_raw[[#This Row],[Units_Sold]]),0)</f>
        <v>0.23697601163072449</v>
      </c>
      <c r="S321" s="23" t="s">
        <v>107</v>
      </c>
      <c r="T321" s="23" t="s">
        <v>32</v>
      </c>
      <c r="U321" s="23">
        <f>IF(tbl_raw[[#This Row],[Order_Status]]="Returned",1,0)</f>
        <v>0</v>
      </c>
      <c r="V321" s="23">
        <f>IF(tbl_raw[[#This Row],[Payment_Method]]="COD",1,0)</f>
        <v>0</v>
      </c>
      <c r="W321" s="26">
        <f>MIN(1,(tbl_raw[[#This Row],[Discount_Pct]]*1.4)+(tbl_raw[[#This Row],[COD_Flag]]*0.35))</f>
        <v>0.54599999999999993</v>
      </c>
    </row>
    <row r="322" spans="1:23" ht="22.8" x14ac:dyDescent="0.3">
      <c r="A322" s="17" t="s">
        <v>961</v>
      </c>
      <c r="B322" s="18" t="s">
        <v>822</v>
      </c>
      <c r="C322" s="18" t="s">
        <v>156</v>
      </c>
      <c r="D322" s="18" t="s">
        <v>26</v>
      </c>
      <c r="E322" s="18" t="s">
        <v>36</v>
      </c>
      <c r="F322" s="18" t="s">
        <v>962</v>
      </c>
      <c r="G322" s="18" t="s">
        <v>139</v>
      </c>
      <c r="H322" s="18" t="s">
        <v>48</v>
      </c>
      <c r="I322" s="18">
        <v>19</v>
      </c>
      <c r="J322" s="19">
        <v>4715</v>
      </c>
      <c r="K322" s="19">
        <v>3065</v>
      </c>
      <c r="L322" s="20">
        <v>0.35</v>
      </c>
      <c r="M322" s="19">
        <v>2237</v>
      </c>
      <c r="N322" s="19">
        <f>(tbl_raw[[#This Row],[Selling_Price]]-tbl_raw[[#This Row],[Cost_Price]])*tbl_raw[[#This Row],[Units_Sold]]</f>
        <v>15732</v>
      </c>
      <c r="O322" s="20">
        <f>IFERROR((tbl_raw[[#This Row],[Selling_Price]]-tbl_raw[[#This Row],[Cost_Price]]) / tbl_raw[[#This Row],[Selling_Price]],0)</f>
        <v>0.27014681892332787</v>
      </c>
      <c r="P322" s="19">
        <v>35</v>
      </c>
      <c r="Q322" s="19">
        <f>tbl_raw[[#This Row],[Gross_Profit]]-(tbl_raw[[#This Row],[Shipping_Cost]]*tbl_raw[[#This Row],[Units_Sold]])</f>
        <v>15067</v>
      </c>
      <c r="R322" s="20">
        <f>IFERROR(tbl_raw[[#This Row],[Net_Profit]]/(tbl_raw[[#This Row],[Selling_Price]]*tbl_raw[[#This Row],[Units_Sold]]),0)</f>
        <v>0.25872756933115826</v>
      </c>
      <c r="S322" s="18" t="s">
        <v>107</v>
      </c>
      <c r="T322" s="18" t="s">
        <v>49</v>
      </c>
      <c r="U322" s="18">
        <f>IF(tbl_raw[[#This Row],[Order_Status]]="Returned",1,0)</f>
        <v>0</v>
      </c>
      <c r="V322" s="18">
        <f>IF(tbl_raw[[#This Row],[Payment_Method]]="COD",1,0)</f>
        <v>0</v>
      </c>
      <c r="W322" s="21">
        <f>MIN(1,(tbl_raw[[#This Row],[Discount_Pct]]*1.4)+(tbl_raw[[#This Row],[COD_Flag]]*0.35))</f>
        <v>0.48999999999999994</v>
      </c>
    </row>
    <row r="323" spans="1:23" ht="22.8" x14ac:dyDescent="0.3">
      <c r="A323" s="22" t="s">
        <v>963</v>
      </c>
      <c r="B323" s="23" t="s">
        <v>661</v>
      </c>
      <c r="C323" s="23" t="s">
        <v>117</v>
      </c>
      <c r="D323" s="23" t="s">
        <v>164</v>
      </c>
      <c r="E323" s="23" t="s">
        <v>413</v>
      </c>
      <c r="F323" s="23" t="s">
        <v>964</v>
      </c>
      <c r="G323" s="23" t="s">
        <v>29</v>
      </c>
      <c r="H323" s="23" t="s">
        <v>30</v>
      </c>
      <c r="I323" s="23">
        <v>19</v>
      </c>
      <c r="J323" s="24">
        <v>5919</v>
      </c>
      <c r="K323" s="24">
        <v>5150</v>
      </c>
      <c r="L323" s="25">
        <v>0.13</v>
      </c>
      <c r="M323" s="24">
        <v>3330</v>
      </c>
      <c r="N323" s="24">
        <f>(tbl_raw[[#This Row],[Selling_Price]]-tbl_raw[[#This Row],[Cost_Price]])*tbl_raw[[#This Row],[Units_Sold]]</f>
        <v>34580</v>
      </c>
      <c r="O323" s="25">
        <f>IFERROR((tbl_raw[[#This Row],[Selling_Price]]-tbl_raw[[#This Row],[Cost_Price]]) / tbl_raw[[#This Row],[Selling_Price]],0)</f>
        <v>0.35339805825242721</v>
      </c>
      <c r="P323" s="24">
        <v>107</v>
      </c>
      <c r="Q323" s="24">
        <f>tbl_raw[[#This Row],[Gross_Profit]]-(tbl_raw[[#This Row],[Shipping_Cost]]*tbl_raw[[#This Row],[Units_Sold]])</f>
        <v>32547</v>
      </c>
      <c r="R323" s="25">
        <f>IFERROR(tbl_raw[[#This Row],[Net_Profit]]/(tbl_raw[[#This Row],[Selling_Price]]*tbl_raw[[#This Row],[Units_Sold]]),0)</f>
        <v>0.33262135922330099</v>
      </c>
      <c r="S323" s="23" t="s">
        <v>31</v>
      </c>
      <c r="T323" s="23" t="s">
        <v>32</v>
      </c>
      <c r="U323" s="23">
        <f>IF(tbl_raw[[#This Row],[Order_Status]]="Returned",1,0)</f>
        <v>0</v>
      </c>
      <c r="V323" s="23">
        <f>IF(tbl_raw[[#This Row],[Payment_Method]]="COD",1,0)</f>
        <v>0</v>
      </c>
      <c r="W323" s="26">
        <f>MIN(1,(tbl_raw[[#This Row],[Discount_Pct]]*1.4)+(tbl_raw[[#This Row],[COD_Flag]]*0.35))</f>
        <v>0.182</v>
      </c>
    </row>
    <row r="324" spans="1:23" ht="22.8" x14ac:dyDescent="0.3">
      <c r="A324" s="17" t="s">
        <v>965</v>
      </c>
      <c r="B324" s="18" t="s">
        <v>163</v>
      </c>
      <c r="C324" s="18" t="s">
        <v>35</v>
      </c>
      <c r="D324" s="18" t="s">
        <v>164</v>
      </c>
      <c r="E324" s="18" t="s">
        <v>345</v>
      </c>
      <c r="F324" s="18" t="s">
        <v>966</v>
      </c>
      <c r="G324" s="18" t="s">
        <v>75</v>
      </c>
      <c r="H324" s="18" t="s">
        <v>48</v>
      </c>
      <c r="I324" s="18">
        <v>6</v>
      </c>
      <c r="J324" s="19">
        <v>1597</v>
      </c>
      <c r="K324" s="19">
        <v>910</v>
      </c>
      <c r="L324" s="20">
        <v>0.43</v>
      </c>
      <c r="M324" s="19">
        <v>1007</v>
      </c>
      <c r="N324" s="19">
        <f>(tbl_raw[[#This Row],[Selling_Price]]-tbl_raw[[#This Row],[Cost_Price]])*tbl_raw[[#This Row],[Units_Sold]]</f>
        <v>-582</v>
      </c>
      <c r="O324" s="20">
        <f>IFERROR((tbl_raw[[#This Row],[Selling_Price]]-tbl_raw[[#This Row],[Cost_Price]]) / tbl_raw[[#This Row],[Selling_Price]],0)</f>
        <v>-0.10659340659340659</v>
      </c>
      <c r="P324" s="19">
        <v>175</v>
      </c>
      <c r="Q324" s="19">
        <f>tbl_raw[[#This Row],[Gross_Profit]]-(tbl_raw[[#This Row],[Shipping_Cost]]*tbl_raw[[#This Row],[Units_Sold]])</f>
        <v>-1632</v>
      </c>
      <c r="R324" s="20">
        <f>IFERROR(tbl_raw[[#This Row],[Net_Profit]]/(tbl_raw[[#This Row],[Selling_Price]]*tbl_raw[[#This Row],[Units_Sold]]),0)</f>
        <v>-0.29890109890109889</v>
      </c>
      <c r="S324" s="18" t="s">
        <v>31</v>
      </c>
      <c r="T324" s="18" t="s">
        <v>32</v>
      </c>
      <c r="U324" s="18">
        <f>IF(tbl_raw[[#This Row],[Order_Status]]="Returned",1,0)</f>
        <v>0</v>
      </c>
      <c r="V324" s="18">
        <f>IF(tbl_raw[[#This Row],[Payment_Method]]="COD",1,0)</f>
        <v>0</v>
      </c>
      <c r="W324" s="21">
        <f>MIN(1,(tbl_raw[[#This Row],[Discount_Pct]]*1.4)+(tbl_raw[[#This Row],[COD_Flag]]*0.35))</f>
        <v>0.60199999999999998</v>
      </c>
    </row>
    <row r="325" spans="1:23" ht="22.8" x14ac:dyDescent="0.3">
      <c r="A325" s="22" t="s">
        <v>967</v>
      </c>
      <c r="B325" s="23" t="s">
        <v>213</v>
      </c>
      <c r="C325" s="23" t="s">
        <v>117</v>
      </c>
      <c r="D325" s="23" t="s">
        <v>175</v>
      </c>
      <c r="E325" s="23" t="s">
        <v>190</v>
      </c>
      <c r="F325" s="23" t="s">
        <v>968</v>
      </c>
      <c r="G325" s="23" t="s">
        <v>29</v>
      </c>
      <c r="H325" s="23" t="s">
        <v>30</v>
      </c>
      <c r="I325" s="23">
        <v>2</v>
      </c>
      <c r="J325" s="24">
        <v>5415</v>
      </c>
      <c r="K325" s="24">
        <v>4170</v>
      </c>
      <c r="L325" s="25">
        <v>0.23</v>
      </c>
      <c r="M325" s="24">
        <v>3666</v>
      </c>
      <c r="N325" s="24">
        <f>(tbl_raw[[#This Row],[Selling_Price]]-tbl_raw[[#This Row],[Cost_Price]])*tbl_raw[[#This Row],[Units_Sold]]</f>
        <v>1008</v>
      </c>
      <c r="O325" s="25">
        <f>IFERROR((tbl_raw[[#This Row],[Selling_Price]]-tbl_raw[[#This Row],[Cost_Price]]) / tbl_raw[[#This Row],[Selling_Price]],0)</f>
        <v>0.12086330935251799</v>
      </c>
      <c r="P325" s="24">
        <v>88</v>
      </c>
      <c r="Q325" s="24">
        <f>tbl_raw[[#This Row],[Gross_Profit]]-(tbl_raw[[#This Row],[Shipping_Cost]]*tbl_raw[[#This Row],[Units_Sold]])</f>
        <v>832</v>
      </c>
      <c r="R325" s="25">
        <f>IFERROR(tbl_raw[[#This Row],[Net_Profit]]/(tbl_raw[[#This Row],[Selling_Price]]*tbl_raw[[#This Row],[Units_Sold]]),0)</f>
        <v>9.976019184652278E-2</v>
      </c>
      <c r="S325" s="23" t="s">
        <v>31</v>
      </c>
      <c r="T325" s="23" t="s">
        <v>32</v>
      </c>
      <c r="U325" s="23">
        <f>IF(tbl_raw[[#This Row],[Order_Status]]="Returned",1,0)</f>
        <v>0</v>
      </c>
      <c r="V325" s="23">
        <f>IF(tbl_raw[[#This Row],[Payment_Method]]="COD",1,0)</f>
        <v>0</v>
      </c>
      <c r="W325" s="26">
        <f>MIN(1,(tbl_raw[[#This Row],[Discount_Pct]]*1.4)+(tbl_raw[[#This Row],[COD_Flag]]*0.35))</f>
        <v>0.32200000000000001</v>
      </c>
    </row>
    <row r="326" spans="1:23" ht="22.8" x14ac:dyDescent="0.3">
      <c r="A326" s="17" t="s">
        <v>969</v>
      </c>
      <c r="B326" s="18" t="s">
        <v>839</v>
      </c>
      <c r="C326" s="18" t="s">
        <v>25</v>
      </c>
      <c r="D326" s="18" t="s">
        <v>175</v>
      </c>
      <c r="E326" s="18" t="s">
        <v>176</v>
      </c>
      <c r="F326" s="18" t="s">
        <v>970</v>
      </c>
      <c r="G326" s="18" t="s">
        <v>143</v>
      </c>
      <c r="H326" s="18" t="s">
        <v>30</v>
      </c>
      <c r="I326" s="18">
        <v>9</v>
      </c>
      <c r="J326" s="19">
        <v>4713</v>
      </c>
      <c r="K326" s="19">
        <v>3488</v>
      </c>
      <c r="L326" s="20">
        <v>0.26</v>
      </c>
      <c r="M326" s="19">
        <v>2507</v>
      </c>
      <c r="N326" s="19">
        <f>(tbl_raw[[#This Row],[Selling_Price]]-tbl_raw[[#This Row],[Cost_Price]])*tbl_raw[[#This Row],[Units_Sold]]</f>
        <v>8829</v>
      </c>
      <c r="O326" s="20">
        <f>IFERROR((tbl_raw[[#This Row],[Selling_Price]]-tbl_raw[[#This Row],[Cost_Price]]) / tbl_raw[[#This Row],[Selling_Price]],0)</f>
        <v>0.28125</v>
      </c>
      <c r="P326" s="19">
        <v>87</v>
      </c>
      <c r="Q326" s="19">
        <f>tbl_raw[[#This Row],[Gross_Profit]]-(tbl_raw[[#This Row],[Shipping_Cost]]*tbl_raw[[#This Row],[Units_Sold]])</f>
        <v>8046</v>
      </c>
      <c r="R326" s="20">
        <f>IFERROR(tbl_raw[[#This Row],[Net_Profit]]/(tbl_raw[[#This Row],[Selling_Price]]*tbl_raw[[#This Row],[Units_Sold]]),0)</f>
        <v>0.25630733944954126</v>
      </c>
      <c r="S326" s="18" t="s">
        <v>65</v>
      </c>
      <c r="T326" s="18" t="s">
        <v>59</v>
      </c>
      <c r="U326" s="18">
        <f>IF(tbl_raw[[#This Row],[Order_Status]]="Returned",1,0)</f>
        <v>0</v>
      </c>
      <c r="V326" s="18">
        <f>IF(tbl_raw[[#This Row],[Payment_Method]]="COD",1,0)</f>
        <v>0</v>
      </c>
      <c r="W326" s="21">
        <f>MIN(1,(tbl_raw[[#This Row],[Discount_Pct]]*1.4)+(tbl_raw[[#This Row],[COD_Flag]]*0.35))</f>
        <v>0.36399999999999999</v>
      </c>
    </row>
    <row r="327" spans="1:23" ht="22.8" x14ac:dyDescent="0.3">
      <c r="A327" s="22" t="s">
        <v>971</v>
      </c>
      <c r="B327" s="23" t="s">
        <v>524</v>
      </c>
      <c r="C327" s="23" t="s">
        <v>105</v>
      </c>
      <c r="D327" s="23" t="s">
        <v>78</v>
      </c>
      <c r="E327" s="23" t="s">
        <v>118</v>
      </c>
      <c r="F327" s="23" t="s">
        <v>972</v>
      </c>
      <c r="G327" s="23" t="s">
        <v>47</v>
      </c>
      <c r="H327" s="23" t="s">
        <v>48</v>
      </c>
      <c r="I327" s="23">
        <v>12</v>
      </c>
      <c r="J327" s="24">
        <v>6574</v>
      </c>
      <c r="K327" s="24">
        <v>5522</v>
      </c>
      <c r="L327" s="25">
        <v>0.16</v>
      </c>
      <c r="M327" s="24">
        <v>4453</v>
      </c>
      <c r="N327" s="24">
        <f>(tbl_raw[[#This Row],[Selling_Price]]-tbl_raw[[#This Row],[Cost_Price]])*tbl_raw[[#This Row],[Units_Sold]]</f>
        <v>12828</v>
      </c>
      <c r="O327" s="25">
        <f>IFERROR((tbl_raw[[#This Row],[Selling_Price]]-tbl_raw[[#This Row],[Cost_Price]]) / tbl_raw[[#This Row],[Selling_Price]],0)</f>
        <v>0.19358927924664976</v>
      </c>
      <c r="P327" s="24">
        <v>163</v>
      </c>
      <c r="Q327" s="24">
        <f>tbl_raw[[#This Row],[Gross_Profit]]-(tbl_raw[[#This Row],[Shipping_Cost]]*tbl_raw[[#This Row],[Units_Sold]])</f>
        <v>10872</v>
      </c>
      <c r="R327" s="25">
        <f>IFERROR(tbl_raw[[#This Row],[Net_Profit]]/(tbl_raw[[#This Row],[Selling_Price]]*tbl_raw[[#This Row],[Units_Sold]]),0)</f>
        <v>0.16407098877218398</v>
      </c>
      <c r="S327" s="23" t="s">
        <v>58</v>
      </c>
      <c r="T327" s="23" t="s">
        <v>32</v>
      </c>
      <c r="U327" s="23">
        <f>IF(tbl_raw[[#This Row],[Order_Status]]="Returned",1,0)</f>
        <v>0</v>
      </c>
      <c r="V327" s="23">
        <f>IF(tbl_raw[[#This Row],[Payment_Method]]="COD",1,0)</f>
        <v>0</v>
      </c>
      <c r="W327" s="26">
        <f>MIN(1,(tbl_raw[[#This Row],[Discount_Pct]]*1.4)+(tbl_raw[[#This Row],[COD_Flag]]*0.35))</f>
        <v>0.22399999999999998</v>
      </c>
    </row>
    <row r="328" spans="1:23" ht="22.8" x14ac:dyDescent="0.3">
      <c r="A328" s="17" t="s">
        <v>973</v>
      </c>
      <c r="B328" s="18" t="s">
        <v>730</v>
      </c>
      <c r="C328" s="18" t="s">
        <v>43</v>
      </c>
      <c r="D328" s="18" t="s">
        <v>175</v>
      </c>
      <c r="E328" s="18" t="s">
        <v>176</v>
      </c>
      <c r="F328" s="18" t="s">
        <v>974</v>
      </c>
      <c r="G328" s="18" t="s">
        <v>143</v>
      </c>
      <c r="H328" s="18" t="s">
        <v>30</v>
      </c>
      <c r="I328" s="18">
        <v>7</v>
      </c>
      <c r="J328" s="19">
        <v>1372</v>
      </c>
      <c r="K328" s="19">
        <v>1276</v>
      </c>
      <c r="L328" s="20">
        <v>7.0000000000000007E-2</v>
      </c>
      <c r="M328" s="19">
        <v>838</v>
      </c>
      <c r="N328" s="19">
        <f>(tbl_raw[[#This Row],[Selling_Price]]-tbl_raw[[#This Row],[Cost_Price]])*tbl_raw[[#This Row],[Units_Sold]]</f>
        <v>3066</v>
      </c>
      <c r="O328" s="20">
        <f>IFERROR((tbl_raw[[#This Row],[Selling_Price]]-tbl_raw[[#This Row],[Cost_Price]]) / tbl_raw[[#This Row],[Selling_Price]],0)</f>
        <v>0.34326018808777431</v>
      </c>
      <c r="P328" s="19">
        <v>153</v>
      </c>
      <c r="Q328" s="19">
        <f>tbl_raw[[#This Row],[Gross_Profit]]-(tbl_raw[[#This Row],[Shipping_Cost]]*tbl_raw[[#This Row],[Units_Sold]])</f>
        <v>1995</v>
      </c>
      <c r="R328" s="20">
        <f>IFERROR(tbl_raw[[#This Row],[Net_Profit]]/(tbl_raw[[#This Row],[Selling_Price]]*tbl_raw[[#This Row],[Units_Sold]]),0)</f>
        <v>0.22335423197492163</v>
      </c>
      <c r="S328" s="18" t="s">
        <v>40</v>
      </c>
      <c r="T328" s="18" t="s">
        <v>32</v>
      </c>
      <c r="U328" s="18">
        <f>IF(tbl_raw[[#This Row],[Order_Status]]="Returned",1,0)</f>
        <v>0</v>
      </c>
      <c r="V328" s="18">
        <f>IF(tbl_raw[[#This Row],[Payment_Method]]="COD",1,0)</f>
        <v>1</v>
      </c>
      <c r="W328" s="21">
        <f>MIN(1,(tbl_raw[[#This Row],[Discount_Pct]]*1.4)+(tbl_raw[[#This Row],[COD_Flag]]*0.35))</f>
        <v>0.44799999999999995</v>
      </c>
    </row>
    <row r="329" spans="1:23" ht="22.8" x14ac:dyDescent="0.3">
      <c r="A329" s="22" t="s">
        <v>975</v>
      </c>
      <c r="B329" s="23" t="s">
        <v>274</v>
      </c>
      <c r="C329" s="23" t="s">
        <v>72</v>
      </c>
      <c r="D329" s="23" t="s">
        <v>62</v>
      </c>
      <c r="E329" s="23" t="s">
        <v>68</v>
      </c>
      <c r="F329" s="23" t="s">
        <v>976</v>
      </c>
      <c r="G329" s="23" t="s">
        <v>102</v>
      </c>
      <c r="H329" s="23" t="s">
        <v>39</v>
      </c>
      <c r="I329" s="23">
        <v>6</v>
      </c>
      <c r="J329" s="24">
        <v>5249</v>
      </c>
      <c r="K329" s="24">
        <v>4304</v>
      </c>
      <c r="L329" s="25">
        <v>0.18</v>
      </c>
      <c r="M329" s="24">
        <v>2547</v>
      </c>
      <c r="N329" s="24">
        <f>(tbl_raw[[#This Row],[Selling_Price]]-tbl_raw[[#This Row],[Cost_Price]])*tbl_raw[[#This Row],[Units_Sold]]</f>
        <v>10542</v>
      </c>
      <c r="O329" s="25">
        <f>IFERROR((tbl_raw[[#This Row],[Selling_Price]]-tbl_raw[[#This Row],[Cost_Price]]) / tbl_raw[[#This Row],[Selling_Price]],0)</f>
        <v>0.40822490706319703</v>
      </c>
      <c r="P329" s="24">
        <v>49</v>
      </c>
      <c r="Q329" s="24">
        <f>tbl_raw[[#This Row],[Gross_Profit]]-(tbl_raw[[#This Row],[Shipping_Cost]]*tbl_raw[[#This Row],[Units_Sold]])</f>
        <v>10248</v>
      </c>
      <c r="R329" s="25">
        <f>IFERROR(tbl_raw[[#This Row],[Net_Profit]]/(tbl_raw[[#This Row],[Selling_Price]]*tbl_raw[[#This Row],[Units_Sold]]),0)</f>
        <v>0.39684014869888473</v>
      </c>
      <c r="S329" s="23" t="s">
        <v>65</v>
      </c>
      <c r="T329" s="23" t="s">
        <v>32</v>
      </c>
      <c r="U329" s="23">
        <f>IF(tbl_raw[[#This Row],[Order_Status]]="Returned",1,0)</f>
        <v>0</v>
      </c>
      <c r="V329" s="23">
        <f>IF(tbl_raw[[#This Row],[Payment_Method]]="COD",1,0)</f>
        <v>0</v>
      </c>
      <c r="W329" s="26">
        <f>MIN(1,(tbl_raw[[#This Row],[Discount_Pct]]*1.4)+(tbl_raw[[#This Row],[COD_Flag]]*0.35))</f>
        <v>0.252</v>
      </c>
    </row>
    <row r="330" spans="1:23" ht="22.8" x14ac:dyDescent="0.3">
      <c r="A330" s="17" t="s">
        <v>977</v>
      </c>
      <c r="B330" s="18" t="s">
        <v>131</v>
      </c>
      <c r="C330" s="18" t="s">
        <v>132</v>
      </c>
      <c r="D330" s="18" t="s">
        <v>164</v>
      </c>
      <c r="E330" s="18" t="s">
        <v>265</v>
      </c>
      <c r="F330" s="18" t="s">
        <v>978</v>
      </c>
      <c r="G330" s="18" t="s">
        <v>143</v>
      </c>
      <c r="H330" s="18" t="s">
        <v>30</v>
      </c>
      <c r="I330" s="18">
        <v>6</v>
      </c>
      <c r="J330" s="19">
        <v>4230</v>
      </c>
      <c r="K330" s="19">
        <v>3469</v>
      </c>
      <c r="L330" s="20">
        <v>0.18</v>
      </c>
      <c r="M330" s="19">
        <v>3127</v>
      </c>
      <c r="N330" s="19">
        <f>(tbl_raw[[#This Row],[Selling_Price]]-tbl_raw[[#This Row],[Cost_Price]])*tbl_raw[[#This Row],[Units_Sold]]</f>
        <v>2052</v>
      </c>
      <c r="O330" s="20">
        <f>IFERROR((tbl_raw[[#This Row],[Selling_Price]]-tbl_raw[[#This Row],[Cost_Price]]) / tbl_raw[[#This Row],[Selling_Price]],0)</f>
        <v>9.8587489189968291E-2</v>
      </c>
      <c r="P330" s="19">
        <v>126</v>
      </c>
      <c r="Q330" s="19">
        <f>tbl_raw[[#This Row],[Gross_Profit]]-(tbl_raw[[#This Row],[Shipping_Cost]]*tbl_raw[[#This Row],[Units_Sold]])</f>
        <v>1296</v>
      </c>
      <c r="R330" s="20">
        <f>IFERROR(tbl_raw[[#This Row],[Net_Profit]]/(tbl_raw[[#This Row],[Selling_Price]]*tbl_raw[[#This Row],[Units_Sold]]),0)</f>
        <v>6.2265782646295766E-2</v>
      </c>
      <c r="S330" s="18" t="s">
        <v>107</v>
      </c>
      <c r="T330" s="18" t="s">
        <v>32</v>
      </c>
      <c r="U330" s="18">
        <f>IF(tbl_raw[[#This Row],[Order_Status]]="Returned",1,0)</f>
        <v>0</v>
      </c>
      <c r="V330" s="18">
        <f>IF(tbl_raw[[#This Row],[Payment_Method]]="COD",1,0)</f>
        <v>0</v>
      </c>
      <c r="W330" s="21">
        <f>MIN(1,(tbl_raw[[#This Row],[Discount_Pct]]*1.4)+(tbl_raw[[#This Row],[COD_Flag]]*0.35))</f>
        <v>0.252</v>
      </c>
    </row>
    <row r="331" spans="1:23" ht="22.8" x14ac:dyDescent="0.3">
      <c r="A331" s="22" t="s">
        <v>979</v>
      </c>
      <c r="B331" s="23" t="s">
        <v>511</v>
      </c>
      <c r="C331" s="23" t="s">
        <v>199</v>
      </c>
      <c r="D331" s="23" t="s">
        <v>62</v>
      </c>
      <c r="E331" s="23" t="s">
        <v>203</v>
      </c>
      <c r="F331" s="23" t="s">
        <v>980</v>
      </c>
      <c r="G331" s="23" t="s">
        <v>47</v>
      </c>
      <c r="H331" s="23" t="s">
        <v>48</v>
      </c>
      <c r="I331" s="23">
        <v>20</v>
      </c>
      <c r="J331" s="24">
        <v>1313</v>
      </c>
      <c r="K331" s="24">
        <v>972</v>
      </c>
      <c r="L331" s="25">
        <v>0.26</v>
      </c>
      <c r="M331" s="24">
        <v>878</v>
      </c>
      <c r="N331" s="24">
        <f>(tbl_raw[[#This Row],[Selling_Price]]-tbl_raw[[#This Row],[Cost_Price]])*tbl_raw[[#This Row],[Units_Sold]]</f>
        <v>1880</v>
      </c>
      <c r="O331" s="25">
        <f>IFERROR((tbl_raw[[#This Row],[Selling_Price]]-tbl_raw[[#This Row],[Cost_Price]]) / tbl_raw[[#This Row],[Selling_Price]],0)</f>
        <v>9.6707818930041156E-2</v>
      </c>
      <c r="P331" s="24">
        <v>123</v>
      </c>
      <c r="Q331" s="24">
        <f>tbl_raw[[#This Row],[Gross_Profit]]-(tbl_raw[[#This Row],[Shipping_Cost]]*tbl_raw[[#This Row],[Units_Sold]])</f>
        <v>-580</v>
      </c>
      <c r="R331" s="25">
        <f>IFERROR(tbl_raw[[#This Row],[Net_Profit]]/(tbl_raw[[#This Row],[Selling_Price]]*tbl_raw[[#This Row],[Units_Sold]]),0)</f>
        <v>-2.9835390946502057E-2</v>
      </c>
      <c r="S331" s="23" t="s">
        <v>65</v>
      </c>
      <c r="T331" s="23" t="s">
        <v>32</v>
      </c>
      <c r="U331" s="23">
        <f>IF(tbl_raw[[#This Row],[Order_Status]]="Returned",1,0)</f>
        <v>0</v>
      </c>
      <c r="V331" s="23">
        <f>IF(tbl_raw[[#This Row],[Payment_Method]]="COD",1,0)</f>
        <v>0</v>
      </c>
      <c r="W331" s="26">
        <f>MIN(1,(tbl_raw[[#This Row],[Discount_Pct]]*1.4)+(tbl_raw[[#This Row],[COD_Flag]]*0.35))</f>
        <v>0.36399999999999999</v>
      </c>
    </row>
    <row r="332" spans="1:23" ht="22.8" x14ac:dyDescent="0.3">
      <c r="A332" s="17" t="s">
        <v>981</v>
      </c>
      <c r="B332" s="18" t="s">
        <v>109</v>
      </c>
      <c r="C332" s="18" t="s">
        <v>89</v>
      </c>
      <c r="D332" s="18" t="s">
        <v>175</v>
      </c>
      <c r="E332" s="18" t="s">
        <v>225</v>
      </c>
      <c r="F332" s="18" t="s">
        <v>982</v>
      </c>
      <c r="G332" s="18" t="s">
        <v>47</v>
      </c>
      <c r="H332" s="18" t="s">
        <v>48</v>
      </c>
      <c r="I332" s="18">
        <v>5</v>
      </c>
      <c r="J332" s="19">
        <v>1047</v>
      </c>
      <c r="K332" s="19">
        <v>953</v>
      </c>
      <c r="L332" s="20">
        <v>0.09</v>
      </c>
      <c r="M332" s="19">
        <v>734</v>
      </c>
      <c r="N332" s="19">
        <f>(tbl_raw[[#This Row],[Selling_Price]]-tbl_raw[[#This Row],[Cost_Price]])*tbl_raw[[#This Row],[Units_Sold]]</f>
        <v>1095</v>
      </c>
      <c r="O332" s="20">
        <f>IFERROR((tbl_raw[[#This Row],[Selling_Price]]-tbl_raw[[#This Row],[Cost_Price]]) / tbl_raw[[#This Row],[Selling_Price]],0)</f>
        <v>0.229800629590766</v>
      </c>
      <c r="P332" s="19">
        <v>106</v>
      </c>
      <c r="Q332" s="19">
        <f>tbl_raw[[#This Row],[Gross_Profit]]-(tbl_raw[[#This Row],[Shipping_Cost]]*tbl_raw[[#This Row],[Units_Sold]])</f>
        <v>565</v>
      </c>
      <c r="R332" s="20">
        <f>IFERROR(tbl_raw[[#This Row],[Net_Profit]]/(tbl_raw[[#This Row],[Selling_Price]]*tbl_raw[[#This Row],[Units_Sold]]),0)</f>
        <v>0.11857292759706191</v>
      </c>
      <c r="S332" s="18" t="s">
        <v>31</v>
      </c>
      <c r="T332" s="18" t="s">
        <v>32</v>
      </c>
      <c r="U332" s="18">
        <f>IF(tbl_raw[[#This Row],[Order_Status]]="Returned",1,0)</f>
        <v>0</v>
      </c>
      <c r="V332" s="18">
        <f>IF(tbl_raw[[#This Row],[Payment_Method]]="COD",1,0)</f>
        <v>0</v>
      </c>
      <c r="W332" s="21">
        <f>MIN(1,(tbl_raw[[#This Row],[Discount_Pct]]*1.4)+(tbl_raw[[#This Row],[COD_Flag]]*0.35))</f>
        <v>0.126</v>
      </c>
    </row>
    <row r="333" spans="1:23" ht="22.8" x14ac:dyDescent="0.3">
      <c r="A333" s="22" t="s">
        <v>983</v>
      </c>
      <c r="B333" s="23" t="s">
        <v>287</v>
      </c>
      <c r="C333" s="23" t="s">
        <v>43</v>
      </c>
      <c r="D333" s="23" t="s">
        <v>26</v>
      </c>
      <c r="E333" s="23" t="s">
        <v>36</v>
      </c>
      <c r="F333" s="23" t="s">
        <v>984</v>
      </c>
      <c r="G333" s="23" t="s">
        <v>120</v>
      </c>
      <c r="H333" s="23" t="s">
        <v>39</v>
      </c>
      <c r="I333" s="23">
        <v>3</v>
      </c>
      <c r="J333" s="24">
        <v>3961</v>
      </c>
      <c r="K333" s="24">
        <v>3723</v>
      </c>
      <c r="L333" s="25">
        <v>0.06</v>
      </c>
      <c r="M333" s="24">
        <v>2421</v>
      </c>
      <c r="N333" s="24">
        <f>(tbl_raw[[#This Row],[Selling_Price]]-tbl_raw[[#This Row],[Cost_Price]])*tbl_raw[[#This Row],[Units_Sold]]</f>
        <v>3906</v>
      </c>
      <c r="O333" s="25">
        <f>IFERROR((tbl_raw[[#This Row],[Selling_Price]]-tbl_raw[[#This Row],[Cost_Price]]) / tbl_raw[[#This Row],[Selling_Price]],0)</f>
        <v>0.34971796937953264</v>
      </c>
      <c r="P333" s="24">
        <v>154</v>
      </c>
      <c r="Q333" s="24">
        <f>tbl_raw[[#This Row],[Gross_Profit]]-(tbl_raw[[#This Row],[Shipping_Cost]]*tbl_raw[[#This Row],[Units_Sold]])</f>
        <v>3444</v>
      </c>
      <c r="R333" s="25">
        <f>IFERROR(tbl_raw[[#This Row],[Net_Profit]]/(tbl_raw[[#This Row],[Selling_Price]]*tbl_raw[[#This Row],[Units_Sold]]),0)</f>
        <v>0.30835347837765242</v>
      </c>
      <c r="S333" s="23" t="s">
        <v>31</v>
      </c>
      <c r="T333" s="23" t="s">
        <v>32</v>
      </c>
      <c r="U333" s="23">
        <f>IF(tbl_raw[[#This Row],[Order_Status]]="Returned",1,0)</f>
        <v>0</v>
      </c>
      <c r="V333" s="23">
        <f>IF(tbl_raw[[#This Row],[Payment_Method]]="COD",1,0)</f>
        <v>0</v>
      </c>
      <c r="W333" s="26">
        <f>MIN(1,(tbl_raw[[#This Row],[Discount_Pct]]*1.4)+(tbl_raw[[#This Row],[COD_Flag]]*0.35))</f>
        <v>8.3999999999999991E-2</v>
      </c>
    </row>
    <row r="334" spans="1:23" ht="22.8" x14ac:dyDescent="0.3">
      <c r="A334" s="17" t="s">
        <v>985</v>
      </c>
      <c r="B334" s="18" t="s">
        <v>912</v>
      </c>
      <c r="C334" s="18" t="s">
        <v>132</v>
      </c>
      <c r="D334" s="18" t="s">
        <v>78</v>
      </c>
      <c r="E334" s="18" t="s">
        <v>118</v>
      </c>
      <c r="F334" s="18" t="s">
        <v>986</v>
      </c>
      <c r="G334" s="18" t="s">
        <v>75</v>
      </c>
      <c r="H334" s="18" t="s">
        <v>48</v>
      </c>
      <c r="I334" s="18">
        <v>13</v>
      </c>
      <c r="J334" s="19">
        <v>2934</v>
      </c>
      <c r="K334" s="19">
        <v>1878</v>
      </c>
      <c r="L334" s="20">
        <v>0.36</v>
      </c>
      <c r="M334" s="19">
        <v>2106</v>
      </c>
      <c r="N334" s="19">
        <f>(tbl_raw[[#This Row],[Selling_Price]]-tbl_raw[[#This Row],[Cost_Price]])*tbl_raw[[#This Row],[Units_Sold]]</f>
        <v>-2964</v>
      </c>
      <c r="O334" s="20">
        <f>IFERROR((tbl_raw[[#This Row],[Selling_Price]]-tbl_raw[[#This Row],[Cost_Price]]) / tbl_raw[[#This Row],[Selling_Price]],0)</f>
        <v>-0.12140575079872204</v>
      </c>
      <c r="P334" s="19">
        <v>156</v>
      </c>
      <c r="Q334" s="19">
        <f>tbl_raw[[#This Row],[Gross_Profit]]-(tbl_raw[[#This Row],[Shipping_Cost]]*tbl_raw[[#This Row],[Units_Sold]])</f>
        <v>-4992</v>
      </c>
      <c r="R334" s="20">
        <f>IFERROR(tbl_raw[[#This Row],[Net_Profit]]/(tbl_raw[[#This Row],[Selling_Price]]*tbl_raw[[#This Row],[Units_Sold]]),0)</f>
        <v>-0.20447284345047922</v>
      </c>
      <c r="S334" s="18" t="s">
        <v>65</v>
      </c>
      <c r="T334" s="18" t="s">
        <v>32</v>
      </c>
      <c r="U334" s="18">
        <f>IF(tbl_raw[[#This Row],[Order_Status]]="Returned",1,0)</f>
        <v>0</v>
      </c>
      <c r="V334" s="18">
        <f>IF(tbl_raw[[#This Row],[Payment_Method]]="COD",1,0)</f>
        <v>0</v>
      </c>
      <c r="W334" s="21">
        <f>MIN(1,(tbl_raw[[#This Row],[Discount_Pct]]*1.4)+(tbl_raw[[#This Row],[COD_Flag]]*0.35))</f>
        <v>0.504</v>
      </c>
    </row>
    <row r="335" spans="1:23" ht="22.8" x14ac:dyDescent="0.3">
      <c r="A335" s="22" t="s">
        <v>987</v>
      </c>
      <c r="B335" s="23" t="s">
        <v>500</v>
      </c>
      <c r="C335" s="23" t="s">
        <v>117</v>
      </c>
      <c r="D335" s="23" t="s">
        <v>94</v>
      </c>
      <c r="E335" s="23" t="s">
        <v>207</v>
      </c>
      <c r="F335" s="23" t="s">
        <v>988</v>
      </c>
      <c r="G335" s="23" t="s">
        <v>102</v>
      </c>
      <c r="H335" s="23" t="s">
        <v>39</v>
      </c>
      <c r="I335" s="23">
        <v>18</v>
      </c>
      <c r="J335" s="24">
        <v>3387</v>
      </c>
      <c r="K335" s="24">
        <v>3082</v>
      </c>
      <c r="L335" s="25">
        <v>0.09</v>
      </c>
      <c r="M335" s="24">
        <v>2195</v>
      </c>
      <c r="N335" s="24">
        <f>(tbl_raw[[#This Row],[Selling_Price]]-tbl_raw[[#This Row],[Cost_Price]])*tbl_raw[[#This Row],[Units_Sold]]</f>
        <v>15966</v>
      </c>
      <c r="O335" s="25">
        <f>IFERROR((tbl_raw[[#This Row],[Selling_Price]]-tbl_raw[[#This Row],[Cost_Price]]) / tbl_raw[[#This Row],[Selling_Price]],0)</f>
        <v>0.28780012978585334</v>
      </c>
      <c r="P335" s="24">
        <v>148</v>
      </c>
      <c r="Q335" s="24">
        <f>tbl_raw[[#This Row],[Gross_Profit]]-(tbl_raw[[#This Row],[Shipping_Cost]]*tbl_raw[[#This Row],[Units_Sold]])</f>
        <v>13302</v>
      </c>
      <c r="R335" s="25">
        <f>IFERROR(tbl_raw[[#This Row],[Net_Profit]]/(tbl_raw[[#This Row],[Selling_Price]]*tbl_raw[[#This Row],[Units_Sold]]),0)</f>
        <v>0.23977936404931863</v>
      </c>
      <c r="S335" s="23" t="s">
        <v>65</v>
      </c>
      <c r="T335" s="23" t="s">
        <v>32</v>
      </c>
      <c r="U335" s="23">
        <f>IF(tbl_raw[[#This Row],[Order_Status]]="Returned",1,0)</f>
        <v>0</v>
      </c>
      <c r="V335" s="23">
        <f>IF(tbl_raw[[#This Row],[Payment_Method]]="COD",1,0)</f>
        <v>0</v>
      </c>
      <c r="W335" s="26">
        <f>MIN(1,(tbl_raw[[#This Row],[Discount_Pct]]*1.4)+(tbl_raw[[#This Row],[COD_Flag]]*0.35))</f>
        <v>0.126</v>
      </c>
    </row>
    <row r="336" spans="1:23" ht="22.8" x14ac:dyDescent="0.3">
      <c r="A336" s="17" t="s">
        <v>989</v>
      </c>
      <c r="B336" s="18" t="s">
        <v>603</v>
      </c>
      <c r="C336" s="18" t="s">
        <v>52</v>
      </c>
      <c r="D336" s="18" t="s">
        <v>94</v>
      </c>
      <c r="E336" s="18" t="s">
        <v>180</v>
      </c>
      <c r="F336" s="18" t="s">
        <v>990</v>
      </c>
      <c r="G336" s="18" t="s">
        <v>56</v>
      </c>
      <c r="H336" s="18" t="s">
        <v>57</v>
      </c>
      <c r="I336" s="18">
        <v>4</v>
      </c>
      <c r="J336" s="19">
        <v>1407</v>
      </c>
      <c r="K336" s="19">
        <v>999</v>
      </c>
      <c r="L336" s="20">
        <v>0.28999999999999998</v>
      </c>
      <c r="M336" s="19">
        <v>688</v>
      </c>
      <c r="N336" s="19">
        <f>(tbl_raw[[#This Row],[Selling_Price]]-tbl_raw[[#This Row],[Cost_Price]])*tbl_raw[[#This Row],[Units_Sold]]</f>
        <v>1244</v>
      </c>
      <c r="O336" s="20">
        <f>IFERROR((tbl_raw[[#This Row],[Selling_Price]]-tbl_raw[[#This Row],[Cost_Price]]) / tbl_raw[[#This Row],[Selling_Price]],0)</f>
        <v>0.31131131131131129</v>
      </c>
      <c r="P336" s="19">
        <v>158</v>
      </c>
      <c r="Q336" s="19">
        <f>tbl_raw[[#This Row],[Gross_Profit]]-(tbl_raw[[#This Row],[Shipping_Cost]]*tbl_raw[[#This Row],[Units_Sold]])</f>
        <v>612</v>
      </c>
      <c r="R336" s="20">
        <f>IFERROR(tbl_raw[[#This Row],[Net_Profit]]/(tbl_raw[[#This Row],[Selling_Price]]*tbl_raw[[#This Row],[Units_Sold]]),0)</f>
        <v>0.15315315315315314</v>
      </c>
      <c r="S336" s="18" t="s">
        <v>31</v>
      </c>
      <c r="T336" s="18" t="s">
        <v>32</v>
      </c>
      <c r="U336" s="18">
        <f>IF(tbl_raw[[#This Row],[Order_Status]]="Returned",1,0)</f>
        <v>0</v>
      </c>
      <c r="V336" s="18">
        <f>IF(tbl_raw[[#This Row],[Payment_Method]]="COD",1,0)</f>
        <v>0</v>
      </c>
      <c r="W336" s="21">
        <f>MIN(1,(tbl_raw[[#This Row],[Discount_Pct]]*1.4)+(tbl_raw[[#This Row],[COD_Flag]]*0.35))</f>
        <v>0.40599999999999997</v>
      </c>
    </row>
    <row r="337" spans="1:23" ht="22.8" x14ac:dyDescent="0.3">
      <c r="A337" s="22" t="s">
        <v>991</v>
      </c>
      <c r="B337" s="23" t="s">
        <v>884</v>
      </c>
      <c r="C337" s="23" t="s">
        <v>25</v>
      </c>
      <c r="D337" s="23" t="s">
        <v>94</v>
      </c>
      <c r="E337" s="23" t="s">
        <v>310</v>
      </c>
      <c r="F337" s="23" t="s">
        <v>992</v>
      </c>
      <c r="G337" s="23" t="s">
        <v>38</v>
      </c>
      <c r="H337" s="23" t="s">
        <v>39</v>
      </c>
      <c r="I337" s="23">
        <v>16</v>
      </c>
      <c r="J337" s="24">
        <v>1594</v>
      </c>
      <c r="K337" s="24">
        <v>1196</v>
      </c>
      <c r="L337" s="25">
        <v>0.25</v>
      </c>
      <c r="M337" s="24">
        <v>907</v>
      </c>
      <c r="N337" s="24">
        <f>(tbl_raw[[#This Row],[Selling_Price]]-tbl_raw[[#This Row],[Cost_Price]])*tbl_raw[[#This Row],[Units_Sold]]</f>
        <v>4624</v>
      </c>
      <c r="O337" s="25">
        <f>IFERROR((tbl_raw[[#This Row],[Selling_Price]]-tbl_raw[[#This Row],[Cost_Price]]) / tbl_raw[[#This Row],[Selling_Price]],0)</f>
        <v>0.24163879598662208</v>
      </c>
      <c r="P337" s="24">
        <v>178</v>
      </c>
      <c r="Q337" s="24">
        <f>tbl_raw[[#This Row],[Gross_Profit]]-(tbl_raw[[#This Row],[Shipping_Cost]]*tbl_raw[[#This Row],[Units_Sold]])</f>
        <v>1776</v>
      </c>
      <c r="R337" s="25">
        <f>IFERROR(tbl_raw[[#This Row],[Net_Profit]]/(tbl_raw[[#This Row],[Selling_Price]]*tbl_raw[[#This Row],[Units_Sold]]),0)</f>
        <v>9.2809364548494977E-2</v>
      </c>
      <c r="S337" s="23" t="s">
        <v>65</v>
      </c>
      <c r="T337" s="23" t="s">
        <v>32</v>
      </c>
      <c r="U337" s="23">
        <f>IF(tbl_raw[[#This Row],[Order_Status]]="Returned",1,0)</f>
        <v>0</v>
      </c>
      <c r="V337" s="23">
        <f>IF(tbl_raw[[#This Row],[Payment_Method]]="COD",1,0)</f>
        <v>0</v>
      </c>
      <c r="W337" s="26">
        <f>MIN(1,(tbl_raw[[#This Row],[Discount_Pct]]*1.4)+(tbl_raw[[#This Row],[COD_Flag]]*0.35))</f>
        <v>0.35</v>
      </c>
    </row>
    <row r="338" spans="1:23" ht="22.8" x14ac:dyDescent="0.3">
      <c r="A338" s="17" t="s">
        <v>993</v>
      </c>
      <c r="B338" s="18" t="s">
        <v>206</v>
      </c>
      <c r="C338" s="18" t="s">
        <v>156</v>
      </c>
      <c r="D338" s="18" t="s">
        <v>175</v>
      </c>
      <c r="E338" s="18" t="s">
        <v>225</v>
      </c>
      <c r="F338" s="18" t="s">
        <v>994</v>
      </c>
      <c r="G338" s="18" t="s">
        <v>81</v>
      </c>
      <c r="H338" s="18" t="s">
        <v>30</v>
      </c>
      <c r="I338" s="18">
        <v>4</v>
      </c>
      <c r="J338" s="19">
        <v>1873</v>
      </c>
      <c r="K338" s="19">
        <v>1536</v>
      </c>
      <c r="L338" s="20">
        <v>0.18</v>
      </c>
      <c r="M338" s="19">
        <v>971</v>
      </c>
      <c r="N338" s="19">
        <f>(tbl_raw[[#This Row],[Selling_Price]]-tbl_raw[[#This Row],[Cost_Price]])*tbl_raw[[#This Row],[Units_Sold]]</f>
        <v>2260</v>
      </c>
      <c r="O338" s="20">
        <f>IFERROR((tbl_raw[[#This Row],[Selling_Price]]-tbl_raw[[#This Row],[Cost_Price]]) / tbl_raw[[#This Row],[Selling_Price]],0)</f>
        <v>0.36783854166666669</v>
      </c>
      <c r="P338" s="19">
        <v>113</v>
      </c>
      <c r="Q338" s="19">
        <f>tbl_raw[[#This Row],[Gross_Profit]]-(tbl_raw[[#This Row],[Shipping_Cost]]*tbl_raw[[#This Row],[Units_Sold]])</f>
        <v>1808</v>
      </c>
      <c r="R338" s="20">
        <f>IFERROR(tbl_raw[[#This Row],[Net_Profit]]/(tbl_raw[[#This Row],[Selling_Price]]*tbl_raw[[#This Row],[Units_Sold]]),0)</f>
        <v>0.29427083333333331</v>
      </c>
      <c r="S338" s="18" t="s">
        <v>58</v>
      </c>
      <c r="T338" s="18" t="s">
        <v>49</v>
      </c>
      <c r="U338" s="18">
        <f>IF(tbl_raw[[#This Row],[Order_Status]]="Returned",1,0)</f>
        <v>0</v>
      </c>
      <c r="V338" s="18">
        <f>IF(tbl_raw[[#This Row],[Payment_Method]]="COD",1,0)</f>
        <v>0</v>
      </c>
      <c r="W338" s="21">
        <f>MIN(1,(tbl_raw[[#This Row],[Discount_Pct]]*1.4)+(tbl_raw[[#This Row],[COD_Flag]]*0.35))</f>
        <v>0.252</v>
      </c>
    </row>
    <row r="339" spans="1:23" ht="22.8" x14ac:dyDescent="0.3">
      <c r="A339" s="22" t="s">
        <v>995</v>
      </c>
      <c r="B339" s="23" t="s">
        <v>996</v>
      </c>
      <c r="C339" s="23" t="s">
        <v>132</v>
      </c>
      <c r="D339" s="23" t="s">
        <v>175</v>
      </c>
      <c r="E339" s="23" t="s">
        <v>225</v>
      </c>
      <c r="F339" s="23" t="s">
        <v>997</v>
      </c>
      <c r="G339" s="23" t="s">
        <v>102</v>
      </c>
      <c r="H339" s="23" t="s">
        <v>39</v>
      </c>
      <c r="I339" s="23">
        <v>14</v>
      </c>
      <c r="J339" s="24">
        <v>887</v>
      </c>
      <c r="K339" s="24">
        <v>781</v>
      </c>
      <c r="L339" s="25">
        <v>0.12</v>
      </c>
      <c r="M339" s="24">
        <v>470</v>
      </c>
      <c r="N339" s="24">
        <f>(tbl_raw[[#This Row],[Selling_Price]]-tbl_raw[[#This Row],[Cost_Price]])*tbl_raw[[#This Row],[Units_Sold]]</f>
        <v>4354</v>
      </c>
      <c r="O339" s="25">
        <f>IFERROR((tbl_raw[[#This Row],[Selling_Price]]-tbl_raw[[#This Row],[Cost_Price]]) / tbl_raw[[#This Row],[Selling_Price]],0)</f>
        <v>0.39820742637644047</v>
      </c>
      <c r="P339" s="24">
        <v>121</v>
      </c>
      <c r="Q339" s="24">
        <f>tbl_raw[[#This Row],[Gross_Profit]]-(tbl_raw[[#This Row],[Shipping_Cost]]*tbl_raw[[#This Row],[Units_Sold]])</f>
        <v>2660</v>
      </c>
      <c r="R339" s="25">
        <f>IFERROR(tbl_raw[[#This Row],[Net_Profit]]/(tbl_raw[[#This Row],[Selling_Price]]*tbl_raw[[#This Row],[Units_Sold]]),0)</f>
        <v>0.24327784891165172</v>
      </c>
      <c r="S339" s="23" t="s">
        <v>31</v>
      </c>
      <c r="T339" s="23" t="s">
        <v>32</v>
      </c>
      <c r="U339" s="23">
        <f>IF(tbl_raw[[#This Row],[Order_Status]]="Returned",1,0)</f>
        <v>0</v>
      </c>
      <c r="V339" s="23">
        <f>IF(tbl_raw[[#This Row],[Payment_Method]]="COD",1,0)</f>
        <v>0</v>
      </c>
      <c r="W339" s="26">
        <f>MIN(1,(tbl_raw[[#This Row],[Discount_Pct]]*1.4)+(tbl_raw[[#This Row],[COD_Flag]]*0.35))</f>
        <v>0.16799999999999998</v>
      </c>
    </row>
    <row r="340" spans="1:23" ht="22.8" x14ac:dyDescent="0.3">
      <c r="A340" s="17" t="s">
        <v>998</v>
      </c>
      <c r="B340" s="18" t="s">
        <v>475</v>
      </c>
      <c r="C340" s="18" t="s">
        <v>25</v>
      </c>
      <c r="D340" s="18" t="s">
        <v>53</v>
      </c>
      <c r="E340" s="18" t="s">
        <v>54</v>
      </c>
      <c r="F340" s="18" t="s">
        <v>999</v>
      </c>
      <c r="G340" s="18" t="s">
        <v>81</v>
      </c>
      <c r="H340" s="18" t="s">
        <v>30</v>
      </c>
      <c r="I340" s="18">
        <v>16</v>
      </c>
      <c r="J340" s="19">
        <v>3624</v>
      </c>
      <c r="K340" s="19">
        <v>3298</v>
      </c>
      <c r="L340" s="20">
        <v>0.09</v>
      </c>
      <c r="M340" s="19">
        <v>2283</v>
      </c>
      <c r="N340" s="19">
        <f>(tbl_raw[[#This Row],[Selling_Price]]-tbl_raw[[#This Row],[Cost_Price]])*tbl_raw[[#This Row],[Units_Sold]]</f>
        <v>16240</v>
      </c>
      <c r="O340" s="20">
        <f>IFERROR((tbl_raw[[#This Row],[Selling_Price]]-tbl_raw[[#This Row],[Cost_Price]]) / tbl_raw[[#This Row],[Selling_Price]],0)</f>
        <v>0.3077622801697999</v>
      </c>
      <c r="P340" s="19">
        <v>151</v>
      </c>
      <c r="Q340" s="19">
        <f>tbl_raw[[#This Row],[Gross_Profit]]-(tbl_raw[[#This Row],[Shipping_Cost]]*tbl_raw[[#This Row],[Units_Sold]])</f>
        <v>13824</v>
      </c>
      <c r="R340" s="20">
        <f>IFERROR(tbl_raw[[#This Row],[Net_Profit]]/(tbl_raw[[#This Row],[Selling_Price]]*tbl_raw[[#This Row],[Units_Sold]]),0)</f>
        <v>0.26197695573074592</v>
      </c>
      <c r="S340" s="18" t="s">
        <v>107</v>
      </c>
      <c r="T340" s="18" t="s">
        <v>86</v>
      </c>
      <c r="U340" s="18">
        <f>IF(tbl_raw[[#This Row],[Order_Status]]="Returned",1,0)</f>
        <v>1</v>
      </c>
      <c r="V340" s="18">
        <f>IF(tbl_raw[[#This Row],[Payment_Method]]="COD",1,0)</f>
        <v>0</v>
      </c>
      <c r="W340" s="21">
        <f>MIN(1,(tbl_raw[[#This Row],[Discount_Pct]]*1.4)+(tbl_raw[[#This Row],[COD_Flag]]*0.35))</f>
        <v>0.126</v>
      </c>
    </row>
    <row r="341" spans="1:23" ht="22.8" x14ac:dyDescent="0.3">
      <c r="A341" s="22" t="s">
        <v>1000</v>
      </c>
      <c r="B341" s="23" t="s">
        <v>1001</v>
      </c>
      <c r="C341" s="23" t="s">
        <v>105</v>
      </c>
      <c r="D341" s="23" t="s">
        <v>94</v>
      </c>
      <c r="E341" s="23" t="s">
        <v>137</v>
      </c>
      <c r="F341" s="23" t="s">
        <v>1002</v>
      </c>
      <c r="G341" s="23" t="s">
        <v>139</v>
      </c>
      <c r="H341" s="23" t="s">
        <v>48</v>
      </c>
      <c r="I341" s="23">
        <v>12</v>
      </c>
      <c r="J341" s="24">
        <v>2066</v>
      </c>
      <c r="K341" s="24">
        <v>2066</v>
      </c>
      <c r="L341" s="25">
        <v>0</v>
      </c>
      <c r="M341" s="24">
        <v>940</v>
      </c>
      <c r="N341" s="24">
        <f>(tbl_raw[[#This Row],[Selling_Price]]-tbl_raw[[#This Row],[Cost_Price]])*tbl_raw[[#This Row],[Units_Sold]]</f>
        <v>13512</v>
      </c>
      <c r="O341" s="25">
        <f>IFERROR((tbl_raw[[#This Row],[Selling_Price]]-tbl_raw[[#This Row],[Cost_Price]]) / tbl_raw[[#This Row],[Selling_Price]],0)</f>
        <v>0.54501452081316559</v>
      </c>
      <c r="P341" s="24">
        <v>180</v>
      </c>
      <c r="Q341" s="24">
        <f>tbl_raw[[#This Row],[Gross_Profit]]-(tbl_raw[[#This Row],[Shipping_Cost]]*tbl_raw[[#This Row],[Units_Sold]])</f>
        <v>11352</v>
      </c>
      <c r="R341" s="25">
        <f>IFERROR(tbl_raw[[#This Row],[Net_Profit]]/(tbl_raw[[#This Row],[Selling_Price]]*tbl_raw[[#This Row],[Units_Sold]]),0)</f>
        <v>0.45788964181994191</v>
      </c>
      <c r="S341" s="23" t="s">
        <v>31</v>
      </c>
      <c r="T341" s="23" t="s">
        <v>32</v>
      </c>
      <c r="U341" s="23">
        <f>IF(tbl_raw[[#This Row],[Order_Status]]="Returned",1,0)</f>
        <v>0</v>
      </c>
      <c r="V341" s="23">
        <f>IF(tbl_raw[[#This Row],[Payment_Method]]="COD",1,0)</f>
        <v>0</v>
      </c>
      <c r="W341" s="26">
        <f>MIN(1,(tbl_raw[[#This Row],[Discount_Pct]]*1.4)+(tbl_raw[[#This Row],[COD_Flag]]*0.35))</f>
        <v>0</v>
      </c>
    </row>
    <row r="342" spans="1:23" ht="22.8" x14ac:dyDescent="0.3">
      <c r="A342" s="17" t="s">
        <v>1003</v>
      </c>
      <c r="B342" s="18" t="s">
        <v>768</v>
      </c>
      <c r="C342" s="18" t="s">
        <v>199</v>
      </c>
      <c r="D342" s="18" t="s">
        <v>26</v>
      </c>
      <c r="E342" s="18" t="s">
        <v>125</v>
      </c>
      <c r="F342" s="18" t="s">
        <v>1004</v>
      </c>
      <c r="G342" s="18" t="s">
        <v>38</v>
      </c>
      <c r="H342" s="18" t="s">
        <v>39</v>
      </c>
      <c r="I342" s="18">
        <v>10</v>
      </c>
      <c r="J342" s="19">
        <v>5864</v>
      </c>
      <c r="K342" s="19">
        <v>4398</v>
      </c>
      <c r="L342" s="20">
        <v>0.25</v>
      </c>
      <c r="M342" s="19">
        <v>3542</v>
      </c>
      <c r="N342" s="19">
        <f>(tbl_raw[[#This Row],[Selling_Price]]-tbl_raw[[#This Row],[Cost_Price]])*tbl_raw[[#This Row],[Units_Sold]]</f>
        <v>8560</v>
      </c>
      <c r="O342" s="20">
        <f>IFERROR((tbl_raw[[#This Row],[Selling_Price]]-tbl_raw[[#This Row],[Cost_Price]]) / tbl_raw[[#This Row],[Selling_Price]],0)</f>
        <v>0.19463392451114142</v>
      </c>
      <c r="P342" s="19">
        <v>82</v>
      </c>
      <c r="Q342" s="19">
        <f>tbl_raw[[#This Row],[Gross_Profit]]-(tbl_raw[[#This Row],[Shipping_Cost]]*tbl_raw[[#This Row],[Units_Sold]])</f>
        <v>7740</v>
      </c>
      <c r="R342" s="20">
        <f>IFERROR(tbl_raw[[#This Row],[Net_Profit]]/(tbl_raw[[#This Row],[Selling_Price]]*tbl_raw[[#This Row],[Units_Sold]]),0)</f>
        <v>0.17598908594815826</v>
      </c>
      <c r="S342" s="18" t="s">
        <v>107</v>
      </c>
      <c r="T342" s="18" t="s">
        <v>49</v>
      </c>
      <c r="U342" s="18">
        <f>IF(tbl_raw[[#This Row],[Order_Status]]="Returned",1,0)</f>
        <v>0</v>
      </c>
      <c r="V342" s="18">
        <f>IF(tbl_raw[[#This Row],[Payment_Method]]="COD",1,0)</f>
        <v>0</v>
      </c>
      <c r="W342" s="21">
        <f>MIN(1,(tbl_raw[[#This Row],[Discount_Pct]]*1.4)+(tbl_raw[[#This Row],[COD_Flag]]*0.35))</f>
        <v>0.35</v>
      </c>
    </row>
    <row r="343" spans="1:23" ht="22.8" x14ac:dyDescent="0.3">
      <c r="A343" s="22" t="s">
        <v>1005</v>
      </c>
      <c r="B343" s="23" t="s">
        <v>860</v>
      </c>
      <c r="C343" s="23" t="s">
        <v>117</v>
      </c>
      <c r="D343" s="23" t="s">
        <v>26</v>
      </c>
      <c r="E343" s="23" t="s">
        <v>27</v>
      </c>
      <c r="F343" s="23" t="s">
        <v>1006</v>
      </c>
      <c r="G343" s="23" t="s">
        <v>47</v>
      </c>
      <c r="H343" s="23" t="s">
        <v>48</v>
      </c>
      <c r="I343" s="23">
        <v>17</v>
      </c>
      <c r="J343" s="24">
        <v>1030</v>
      </c>
      <c r="K343" s="24">
        <v>999</v>
      </c>
      <c r="L343" s="25">
        <v>0.03</v>
      </c>
      <c r="M343" s="24">
        <v>518</v>
      </c>
      <c r="N343" s="24">
        <f>(tbl_raw[[#This Row],[Selling_Price]]-tbl_raw[[#This Row],[Cost_Price]])*tbl_raw[[#This Row],[Units_Sold]]</f>
        <v>8177</v>
      </c>
      <c r="O343" s="25">
        <f>IFERROR((tbl_raw[[#This Row],[Selling_Price]]-tbl_raw[[#This Row],[Cost_Price]]) / tbl_raw[[#This Row],[Selling_Price]],0)</f>
        <v>0.48148148148148145</v>
      </c>
      <c r="P343" s="24">
        <v>172</v>
      </c>
      <c r="Q343" s="24">
        <f>tbl_raw[[#This Row],[Gross_Profit]]-(tbl_raw[[#This Row],[Shipping_Cost]]*tbl_raw[[#This Row],[Units_Sold]])</f>
        <v>5253</v>
      </c>
      <c r="R343" s="25">
        <f>IFERROR(tbl_raw[[#This Row],[Net_Profit]]/(tbl_raw[[#This Row],[Selling_Price]]*tbl_raw[[#This Row],[Units_Sold]]),0)</f>
        <v>0.30930930930930933</v>
      </c>
      <c r="S343" s="23" t="s">
        <v>65</v>
      </c>
      <c r="T343" s="23" t="s">
        <v>59</v>
      </c>
      <c r="U343" s="23">
        <f>IF(tbl_raw[[#This Row],[Order_Status]]="Returned",1,0)</f>
        <v>0</v>
      </c>
      <c r="V343" s="23">
        <f>IF(tbl_raw[[#This Row],[Payment_Method]]="COD",1,0)</f>
        <v>0</v>
      </c>
      <c r="W343" s="26">
        <f>MIN(1,(tbl_raw[[#This Row],[Discount_Pct]]*1.4)+(tbl_raw[[#This Row],[COD_Flag]]*0.35))</f>
        <v>4.1999999999999996E-2</v>
      </c>
    </row>
    <row r="344" spans="1:23" ht="22.8" x14ac:dyDescent="0.3">
      <c r="A344" s="17" t="s">
        <v>1007</v>
      </c>
      <c r="B344" s="18" t="s">
        <v>1008</v>
      </c>
      <c r="C344" s="18" t="s">
        <v>199</v>
      </c>
      <c r="D344" s="18" t="s">
        <v>62</v>
      </c>
      <c r="E344" s="18" t="s">
        <v>68</v>
      </c>
      <c r="F344" s="18" t="s">
        <v>1009</v>
      </c>
      <c r="G344" s="18" t="s">
        <v>75</v>
      </c>
      <c r="H344" s="18" t="s">
        <v>48</v>
      </c>
      <c r="I344" s="18">
        <v>8</v>
      </c>
      <c r="J344" s="19">
        <v>6108</v>
      </c>
      <c r="K344" s="19">
        <v>3482</v>
      </c>
      <c r="L344" s="20">
        <v>0.43</v>
      </c>
      <c r="M344" s="19">
        <v>3424</v>
      </c>
      <c r="N344" s="19">
        <f>(tbl_raw[[#This Row],[Selling_Price]]-tbl_raw[[#This Row],[Cost_Price]])*tbl_raw[[#This Row],[Units_Sold]]</f>
        <v>464</v>
      </c>
      <c r="O344" s="20">
        <f>IFERROR((tbl_raw[[#This Row],[Selling_Price]]-tbl_raw[[#This Row],[Cost_Price]]) / tbl_raw[[#This Row],[Selling_Price]],0)</f>
        <v>1.665709362435382E-2</v>
      </c>
      <c r="P344" s="19">
        <v>99</v>
      </c>
      <c r="Q344" s="19">
        <f>tbl_raw[[#This Row],[Gross_Profit]]-(tbl_raw[[#This Row],[Shipping_Cost]]*tbl_raw[[#This Row],[Units_Sold]])</f>
        <v>-328</v>
      </c>
      <c r="R344" s="20">
        <f>IFERROR(tbl_raw[[#This Row],[Net_Profit]]/(tbl_raw[[#This Row],[Selling_Price]]*tbl_raw[[#This Row],[Units_Sold]]),0)</f>
        <v>-1.1774842044801838E-2</v>
      </c>
      <c r="S344" s="18" t="s">
        <v>65</v>
      </c>
      <c r="T344" s="18" t="s">
        <v>32</v>
      </c>
      <c r="U344" s="18">
        <f>IF(tbl_raw[[#This Row],[Order_Status]]="Returned",1,0)</f>
        <v>0</v>
      </c>
      <c r="V344" s="18">
        <f>IF(tbl_raw[[#This Row],[Payment_Method]]="COD",1,0)</f>
        <v>0</v>
      </c>
      <c r="W344" s="21">
        <f>MIN(1,(tbl_raw[[#This Row],[Discount_Pct]]*1.4)+(tbl_raw[[#This Row],[COD_Flag]]*0.35))</f>
        <v>0.60199999999999998</v>
      </c>
    </row>
    <row r="345" spans="1:23" ht="22.8" x14ac:dyDescent="0.3">
      <c r="A345" s="22" t="s">
        <v>1010</v>
      </c>
      <c r="B345" s="23" t="s">
        <v>691</v>
      </c>
      <c r="C345" s="23" t="s">
        <v>99</v>
      </c>
      <c r="D345" s="23" t="s">
        <v>78</v>
      </c>
      <c r="E345" s="23" t="s">
        <v>118</v>
      </c>
      <c r="F345" s="23" t="s">
        <v>1011</v>
      </c>
      <c r="G345" s="23" t="s">
        <v>29</v>
      </c>
      <c r="H345" s="23" t="s">
        <v>30</v>
      </c>
      <c r="I345" s="23">
        <v>11</v>
      </c>
      <c r="J345" s="24">
        <v>3417</v>
      </c>
      <c r="K345" s="24">
        <v>2870</v>
      </c>
      <c r="L345" s="25">
        <v>0.16</v>
      </c>
      <c r="M345" s="24">
        <v>2007</v>
      </c>
      <c r="N345" s="24">
        <f>(tbl_raw[[#This Row],[Selling_Price]]-tbl_raw[[#This Row],[Cost_Price]])*tbl_raw[[#This Row],[Units_Sold]]</f>
        <v>9493</v>
      </c>
      <c r="O345" s="25">
        <f>IFERROR((tbl_raw[[#This Row],[Selling_Price]]-tbl_raw[[#This Row],[Cost_Price]]) / tbl_raw[[#This Row],[Selling_Price]],0)</f>
        <v>0.30069686411149826</v>
      </c>
      <c r="P345" s="24">
        <v>135</v>
      </c>
      <c r="Q345" s="24">
        <f>tbl_raw[[#This Row],[Gross_Profit]]-(tbl_raw[[#This Row],[Shipping_Cost]]*tbl_raw[[#This Row],[Units_Sold]])</f>
        <v>8008</v>
      </c>
      <c r="R345" s="25">
        <f>IFERROR(tbl_raw[[#This Row],[Net_Profit]]/(tbl_raw[[#This Row],[Selling_Price]]*tbl_raw[[#This Row],[Units_Sold]]),0)</f>
        <v>0.25365853658536586</v>
      </c>
      <c r="S345" s="23" t="s">
        <v>107</v>
      </c>
      <c r="T345" s="23" t="s">
        <v>32</v>
      </c>
      <c r="U345" s="23">
        <f>IF(tbl_raw[[#This Row],[Order_Status]]="Returned",1,0)</f>
        <v>0</v>
      </c>
      <c r="V345" s="23">
        <f>IF(tbl_raw[[#This Row],[Payment_Method]]="COD",1,0)</f>
        <v>0</v>
      </c>
      <c r="W345" s="26">
        <f>MIN(1,(tbl_raw[[#This Row],[Discount_Pct]]*1.4)+(tbl_raw[[#This Row],[COD_Flag]]*0.35))</f>
        <v>0.22399999999999998</v>
      </c>
    </row>
    <row r="346" spans="1:23" ht="22.8" x14ac:dyDescent="0.3">
      <c r="A346" s="17" t="s">
        <v>1012</v>
      </c>
      <c r="B346" s="18" t="s">
        <v>327</v>
      </c>
      <c r="C346" s="18" t="s">
        <v>25</v>
      </c>
      <c r="D346" s="18" t="s">
        <v>44</v>
      </c>
      <c r="E346" s="18" t="s">
        <v>45</v>
      </c>
      <c r="F346" s="18" t="s">
        <v>1013</v>
      </c>
      <c r="G346" s="18" t="s">
        <v>81</v>
      </c>
      <c r="H346" s="18" t="s">
        <v>30</v>
      </c>
      <c r="I346" s="18">
        <v>16</v>
      </c>
      <c r="J346" s="19">
        <v>2648</v>
      </c>
      <c r="K346" s="19">
        <v>2383</v>
      </c>
      <c r="L346" s="20">
        <v>0.1</v>
      </c>
      <c r="M346" s="19">
        <v>1591</v>
      </c>
      <c r="N346" s="19">
        <f>(tbl_raw[[#This Row],[Selling_Price]]-tbl_raw[[#This Row],[Cost_Price]])*tbl_raw[[#This Row],[Units_Sold]]</f>
        <v>12672</v>
      </c>
      <c r="O346" s="20">
        <f>IFERROR((tbl_raw[[#This Row],[Selling_Price]]-tbl_raw[[#This Row],[Cost_Price]]) / tbl_raw[[#This Row],[Selling_Price]],0)</f>
        <v>0.33235417540914813</v>
      </c>
      <c r="P346" s="19">
        <v>57</v>
      </c>
      <c r="Q346" s="19">
        <f>tbl_raw[[#This Row],[Gross_Profit]]-(tbl_raw[[#This Row],[Shipping_Cost]]*tbl_raw[[#This Row],[Units_Sold]])</f>
        <v>11760</v>
      </c>
      <c r="R346" s="20">
        <f>IFERROR(tbl_raw[[#This Row],[Net_Profit]]/(tbl_raw[[#This Row],[Selling_Price]]*tbl_raw[[#This Row],[Units_Sold]]),0)</f>
        <v>0.30843474611833821</v>
      </c>
      <c r="S346" s="18" t="s">
        <v>40</v>
      </c>
      <c r="T346" s="18" t="s">
        <v>32</v>
      </c>
      <c r="U346" s="18">
        <f>IF(tbl_raw[[#This Row],[Order_Status]]="Returned",1,0)</f>
        <v>0</v>
      </c>
      <c r="V346" s="18">
        <f>IF(tbl_raw[[#This Row],[Payment_Method]]="COD",1,0)</f>
        <v>1</v>
      </c>
      <c r="W346" s="21">
        <f>MIN(1,(tbl_raw[[#This Row],[Discount_Pct]]*1.4)+(tbl_raw[[#This Row],[COD_Flag]]*0.35))</f>
        <v>0.49</v>
      </c>
    </row>
    <row r="347" spans="1:23" ht="22.8" x14ac:dyDescent="0.3">
      <c r="A347" s="22" t="s">
        <v>1014</v>
      </c>
      <c r="B347" s="23" t="s">
        <v>1015</v>
      </c>
      <c r="C347" s="23" t="s">
        <v>156</v>
      </c>
      <c r="D347" s="23" t="s">
        <v>53</v>
      </c>
      <c r="E347" s="23" t="s">
        <v>145</v>
      </c>
      <c r="F347" s="23" t="s">
        <v>1016</v>
      </c>
      <c r="G347" s="23" t="s">
        <v>29</v>
      </c>
      <c r="H347" s="23" t="s">
        <v>30</v>
      </c>
      <c r="I347" s="23">
        <v>8</v>
      </c>
      <c r="J347" s="24">
        <v>6723</v>
      </c>
      <c r="K347" s="24">
        <v>5647</v>
      </c>
      <c r="L347" s="25">
        <v>0.16</v>
      </c>
      <c r="M347" s="24">
        <v>4522</v>
      </c>
      <c r="N347" s="24">
        <f>(tbl_raw[[#This Row],[Selling_Price]]-tbl_raw[[#This Row],[Cost_Price]])*tbl_raw[[#This Row],[Units_Sold]]</f>
        <v>9000</v>
      </c>
      <c r="O347" s="25">
        <f>IFERROR((tbl_raw[[#This Row],[Selling_Price]]-tbl_raw[[#This Row],[Cost_Price]]) / tbl_raw[[#This Row],[Selling_Price]],0)</f>
        <v>0.19922082521692935</v>
      </c>
      <c r="P347" s="24">
        <v>48</v>
      </c>
      <c r="Q347" s="24">
        <f>tbl_raw[[#This Row],[Gross_Profit]]-(tbl_raw[[#This Row],[Shipping_Cost]]*tbl_raw[[#This Row],[Units_Sold]])</f>
        <v>8616</v>
      </c>
      <c r="R347" s="25">
        <f>IFERROR(tbl_raw[[#This Row],[Net_Profit]]/(tbl_raw[[#This Row],[Selling_Price]]*tbl_raw[[#This Row],[Units_Sold]]),0)</f>
        <v>0.19072073667434036</v>
      </c>
      <c r="S347" s="23" t="s">
        <v>58</v>
      </c>
      <c r="T347" s="23" t="s">
        <v>32</v>
      </c>
      <c r="U347" s="23">
        <f>IF(tbl_raw[[#This Row],[Order_Status]]="Returned",1,0)</f>
        <v>0</v>
      </c>
      <c r="V347" s="23">
        <f>IF(tbl_raw[[#This Row],[Payment_Method]]="COD",1,0)</f>
        <v>0</v>
      </c>
      <c r="W347" s="26">
        <f>MIN(1,(tbl_raw[[#This Row],[Discount_Pct]]*1.4)+(tbl_raw[[#This Row],[COD_Flag]]*0.35))</f>
        <v>0.22399999999999998</v>
      </c>
    </row>
    <row r="348" spans="1:23" ht="22.8" x14ac:dyDescent="0.3">
      <c r="A348" s="17" t="s">
        <v>1017</v>
      </c>
      <c r="B348" s="18" t="s">
        <v>435</v>
      </c>
      <c r="C348" s="18" t="s">
        <v>199</v>
      </c>
      <c r="D348" s="18" t="s">
        <v>26</v>
      </c>
      <c r="E348" s="18" t="s">
        <v>168</v>
      </c>
      <c r="F348" s="18" t="s">
        <v>1018</v>
      </c>
      <c r="G348" s="18" t="s">
        <v>102</v>
      </c>
      <c r="H348" s="18" t="s">
        <v>39</v>
      </c>
      <c r="I348" s="18">
        <v>11</v>
      </c>
      <c r="J348" s="19">
        <v>4040</v>
      </c>
      <c r="K348" s="19">
        <v>2262</v>
      </c>
      <c r="L348" s="20">
        <v>0.44</v>
      </c>
      <c r="M348" s="19">
        <v>2884</v>
      </c>
      <c r="N348" s="19">
        <f>(tbl_raw[[#This Row],[Selling_Price]]-tbl_raw[[#This Row],[Cost_Price]])*tbl_raw[[#This Row],[Units_Sold]]</f>
        <v>-6842</v>
      </c>
      <c r="O348" s="20">
        <f>IFERROR((tbl_raw[[#This Row],[Selling_Price]]-tbl_raw[[#This Row],[Cost_Price]]) / tbl_raw[[#This Row],[Selling_Price]],0)</f>
        <v>-0.27497789566755082</v>
      </c>
      <c r="P348" s="19">
        <v>160</v>
      </c>
      <c r="Q348" s="19">
        <f>tbl_raw[[#This Row],[Gross_Profit]]-(tbl_raw[[#This Row],[Shipping_Cost]]*tbl_raw[[#This Row],[Units_Sold]])</f>
        <v>-8602</v>
      </c>
      <c r="R348" s="20">
        <f>IFERROR(tbl_raw[[#This Row],[Net_Profit]]/(tbl_raw[[#This Row],[Selling_Price]]*tbl_raw[[#This Row],[Units_Sold]]),0)</f>
        <v>-0.34571175950486294</v>
      </c>
      <c r="S348" s="18" t="s">
        <v>31</v>
      </c>
      <c r="T348" s="18" t="s">
        <v>86</v>
      </c>
      <c r="U348" s="18">
        <f>IF(tbl_raw[[#This Row],[Order_Status]]="Returned",1,0)</f>
        <v>1</v>
      </c>
      <c r="V348" s="18">
        <f>IF(tbl_raw[[#This Row],[Payment_Method]]="COD",1,0)</f>
        <v>0</v>
      </c>
      <c r="W348" s="21">
        <f>MIN(1,(tbl_raw[[#This Row],[Discount_Pct]]*1.4)+(tbl_raw[[#This Row],[COD_Flag]]*0.35))</f>
        <v>0.61599999999999999</v>
      </c>
    </row>
    <row r="349" spans="1:23" ht="22.8" x14ac:dyDescent="0.3">
      <c r="A349" s="22" t="s">
        <v>1019</v>
      </c>
      <c r="B349" s="23" t="s">
        <v>524</v>
      </c>
      <c r="C349" s="23" t="s">
        <v>105</v>
      </c>
      <c r="D349" s="23" t="s">
        <v>78</v>
      </c>
      <c r="E349" s="23" t="s">
        <v>118</v>
      </c>
      <c r="F349" s="23" t="s">
        <v>1020</v>
      </c>
      <c r="G349" s="23" t="s">
        <v>102</v>
      </c>
      <c r="H349" s="23" t="s">
        <v>39</v>
      </c>
      <c r="I349" s="23">
        <v>5</v>
      </c>
      <c r="J349" s="24">
        <v>622</v>
      </c>
      <c r="K349" s="24">
        <v>398</v>
      </c>
      <c r="L349" s="25">
        <v>0.36</v>
      </c>
      <c r="M349" s="24">
        <v>353</v>
      </c>
      <c r="N349" s="24">
        <f>(tbl_raw[[#This Row],[Selling_Price]]-tbl_raw[[#This Row],[Cost_Price]])*tbl_raw[[#This Row],[Units_Sold]]</f>
        <v>225</v>
      </c>
      <c r="O349" s="25">
        <f>IFERROR((tbl_raw[[#This Row],[Selling_Price]]-tbl_raw[[#This Row],[Cost_Price]]) / tbl_raw[[#This Row],[Selling_Price]],0)</f>
        <v>0.11306532663316583</v>
      </c>
      <c r="P349" s="24">
        <v>111</v>
      </c>
      <c r="Q349" s="24">
        <f>tbl_raw[[#This Row],[Gross_Profit]]-(tbl_raw[[#This Row],[Shipping_Cost]]*tbl_raw[[#This Row],[Units_Sold]])</f>
        <v>-330</v>
      </c>
      <c r="R349" s="25">
        <f>IFERROR(tbl_raw[[#This Row],[Net_Profit]]/(tbl_raw[[#This Row],[Selling_Price]]*tbl_raw[[#This Row],[Units_Sold]]),0)</f>
        <v>-0.16582914572864321</v>
      </c>
      <c r="S349" s="23" t="s">
        <v>65</v>
      </c>
      <c r="T349" s="23" t="s">
        <v>59</v>
      </c>
      <c r="U349" s="23">
        <f>IF(tbl_raw[[#This Row],[Order_Status]]="Returned",1,0)</f>
        <v>0</v>
      </c>
      <c r="V349" s="23">
        <f>IF(tbl_raw[[#This Row],[Payment_Method]]="COD",1,0)</f>
        <v>0</v>
      </c>
      <c r="W349" s="26">
        <f>MIN(1,(tbl_raw[[#This Row],[Discount_Pct]]*1.4)+(tbl_raw[[#This Row],[COD_Flag]]*0.35))</f>
        <v>0.504</v>
      </c>
    </row>
    <row r="350" spans="1:23" ht="22.8" x14ac:dyDescent="0.3">
      <c r="A350" s="17" t="s">
        <v>1021</v>
      </c>
      <c r="B350" s="18" t="s">
        <v>1022</v>
      </c>
      <c r="C350" s="18" t="s">
        <v>43</v>
      </c>
      <c r="D350" s="18" t="s">
        <v>175</v>
      </c>
      <c r="E350" s="18" t="s">
        <v>176</v>
      </c>
      <c r="F350" s="18" t="s">
        <v>1023</v>
      </c>
      <c r="G350" s="18" t="s">
        <v>56</v>
      </c>
      <c r="H350" s="18" t="s">
        <v>57</v>
      </c>
      <c r="I350" s="18">
        <v>1</v>
      </c>
      <c r="J350" s="19">
        <v>292</v>
      </c>
      <c r="K350" s="19">
        <v>266</v>
      </c>
      <c r="L350" s="20">
        <v>0.09</v>
      </c>
      <c r="M350" s="19">
        <v>176</v>
      </c>
      <c r="N350" s="19">
        <f>(tbl_raw[[#This Row],[Selling_Price]]-tbl_raw[[#This Row],[Cost_Price]])*tbl_raw[[#This Row],[Units_Sold]]</f>
        <v>90</v>
      </c>
      <c r="O350" s="20">
        <f>IFERROR((tbl_raw[[#This Row],[Selling_Price]]-tbl_raw[[#This Row],[Cost_Price]]) / tbl_raw[[#This Row],[Selling_Price]],0)</f>
        <v>0.33834586466165412</v>
      </c>
      <c r="P350" s="19">
        <v>79</v>
      </c>
      <c r="Q350" s="19">
        <f>tbl_raw[[#This Row],[Gross_Profit]]-(tbl_raw[[#This Row],[Shipping_Cost]]*tbl_raw[[#This Row],[Units_Sold]])</f>
        <v>11</v>
      </c>
      <c r="R350" s="20">
        <f>IFERROR(tbl_raw[[#This Row],[Net_Profit]]/(tbl_raw[[#This Row],[Selling_Price]]*tbl_raw[[#This Row],[Units_Sold]]),0)</f>
        <v>4.1353383458646614E-2</v>
      </c>
      <c r="S350" s="18" t="s">
        <v>65</v>
      </c>
      <c r="T350" s="18" t="s">
        <v>32</v>
      </c>
      <c r="U350" s="18">
        <f>IF(tbl_raw[[#This Row],[Order_Status]]="Returned",1,0)</f>
        <v>0</v>
      </c>
      <c r="V350" s="18">
        <f>IF(tbl_raw[[#This Row],[Payment_Method]]="COD",1,0)</f>
        <v>0</v>
      </c>
      <c r="W350" s="21">
        <f>MIN(1,(tbl_raw[[#This Row],[Discount_Pct]]*1.4)+(tbl_raw[[#This Row],[COD_Flag]]*0.35))</f>
        <v>0.126</v>
      </c>
    </row>
    <row r="351" spans="1:23" ht="22.8" x14ac:dyDescent="0.3">
      <c r="A351" s="22" t="s">
        <v>1024</v>
      </c>
      <c r="B351" s="23" t="s">
        <v>98</v>
      </c>
      <c r="C351" s="23" t="s">
        <v>99</v>
      </c>
      <c r="D351" s="23" t="s">
        <v>53</v>
      </c>
      <c r="E351" s="23" t="s">
        <v>90</v>
      </c>
      <c r="F351" s="23" t="s">
        <v>1025</v>
      </c>
      <c r="G351" s="23" t="s">
        <v>56</v>
      </c>
      <c r="H351" s="23" t="s">
        <v>57</v>
      </c>
      <c r="I351" s="23">
        <v>12</v>
      </c>
      <c r="J351" s="24">
        <v>1635</v>
      </c>
      <c r="K351" s="24">
        <v>1324</v>
      </c>
      <c r="L351" s="25">
        <v>0.19</v>
      </c>
      <c r="M351" s="24">
        <v>894</v>
      </c>
      <c r="N351" s="24">
        <f>(tbl_raw[[#This Row],[Selling_Price]]-tbl_raw[[#This Row],[Cost_Price]])*tbl_raw[[#This Row],[Units_Sold]]</f>
        <v>5160</v>
      </c>
      <c r="O351" s="25">
        <f>IFERROR((tbl_raw[[#This Row],[Selling_Price]]-tbl_raw[[#This Row],[Cost_Price]]) / tbl_raw[[#This Row],[Selling_Price]],0)</f>
        <v>0.32477341389728098</v>
      </c>
      <c r="P351" s="24">
        <v>143</v>
      </c>
      <c r="Q351" s="24">
        <f>tbl_raw[[#This Row],[Gross_Profit]]-(tbl_raw[[#This Row],[Shipping_Cost]]*tbl_raw[[#This Row],[Units_Sold]])</f>
        <v>3444</v>
      </c>
      <c r="R351" s="25">
        <f>IFERROR(tbl_raw[[#This Row],[Net_Profit]]/(tbl_raw[[#This Row],[Selling_Price]]*tbl_raw[[#This Row],[Units_Sold]]),0)</f>
        <v>0.21676737160120846</v>
      </c>
      <c r="S351" s="23" t="s">
        <v>107</v>
      </c>
      <c r="T351" s="23" t="s">
        <v>32</v>
      </c>
      <c r="U351" s="23">
        <f>IF(tbl_raw[[#This Row],[Order_Status]]="Returned",1,0)</f>
        <v>0</v>
      </c>
      <c r="V351" s="23">
        <f>IF(tbl_raw[[#This Row],[Payment_Method]]="COD",1,0)</f>
        <v>0</v>
      </c>
      <c r="W351" s="26">
        <f>MIN(1,(tbl_raw[[#This Row],[Discount_Pct]]*1.4)+(tbl_raw[[#This Row],[COD_Flag]]*0.35))</f>
        <v>0.26599999999999996</v>
      </c>
    </row>
    <row r="352" spans="1:23" ht="22.8" x14ac:dyDescent="0.3">
      <c r="A352" s="17" t="s">
        <v>1026</v>
      </c>
      <c r="B352" s="18" t="s">
        <v>847</v>
      </c>
      <c r="C352" s="18" t="s">
        <v>43</v>
      </c>
      <c r="D352" s="18" t="s">
        <v>164</v>
      </c>
      <c r="E352" s="18" t="s">
        <v>345</v>
      </c>
      <c r="F352" s="18" t="s">
        <v>1027</v>
      </c>
      <c r="G352" s="18" t="s">
        <v>29</v>
      </c>
      <c r="H352" s="18" t="s">
        <v>30</v>
      </c>
      <c r="I352" s="18">
        <v>4</v>
      </c>
      <c r="J352" s="19">
        <v>5822</v>
      </c>
      <c r="K352" s="19">
        <v>3726</v>
      </c>
      <c r="L352" s="20">
        <v>0.36</v>
      </c>
      <c r="M352" s="19">
        <v>3460</v>
      </c>
      <c r="N352" s="19">
        <f>(tbl_raw[[#This Row],[Selling_Price]]-tbl_raw[[#This Row],[Cost_Price]])*tbl_raw[[#This Row],[Units_Sold]]</f>
        <v>1064</v>
      </c>
      <c r="O352" s="20">
        <f>IFERROR((tbl_raw[[#This Row],[Selling_Price]]-tbl_raw[[#This Row],[Cost_Price]]) / tbl_raw[[#This Row],[Selling_Price]],0)</f>
        <v>7.1390230810520663E-2</v>
      </c>
      <c r="P352" s="19">
        <v>158</v>
      </c>
      <c r="Q352" s="19">
        <f>tbl_raw[[#This Row],[Gross_Profit]]-(tbl_raw[[#This Row],[Shipping_Cost]]*tbl_raw[[#This Row],[Units_Sold]])</f>
        <v>432</v>
      </c>
      <c r="R352" s="20">
        <f>IFERROR(tbl_raw[[#This Row],[Net_Profit]]/(tbl_raw[[#This Row],[Selling_Price]]*tbl_raw[[#This Row],[Units_Sold]]),0)</f>
        <v>2.8985507246376812E-2</v>
      </c>
      <c r="S352" s="18" t="s">
        <v>40</v>
      </c>
      <c r="T352" s="18" t="s">
        <v>49</v>
      </c>
      <c r="U352" s="18">
        <f>IF(tbl_raw[[#This Row],[Order_Status]]="Returned",1,0)</f>
        <v>0</v>
      </c>
      <c r="V352" s="18">
        <f>IF(tbl_raw[[#This Row],[Payment_Method]]="COD",1,0)</f>
        <v>1</v>
      </c>
      <c r="W352" s="21">
        <f>MIN(1,(tbl_raw[[#This Row],[Discount_Pct]]*1.4)+(tbl_raw[[#This Row],[COD_Flag]]*0.35))</f>
        <v>0.85399999999999998</v>
      </c>
    </row>
    <row r="353" spans="1:23" ht="22.8" x14ac:dyDescent="0.3">
      <c r="A353" s="22" t="s">
        <v>1028</v>
      </c>
      <c r="B353" s="23" t="s">
        <v>287</v>
      </c>
      <c r="C353" s="23" t="s">
        <v>43</v>
      </c>
      <c r="D353" s="23" t="s">
        <v>26</v>
      </c>
      <c r="E353" s="23" t="s">
        <v>100</v>
      </c>
      <c r="F353" s="23" t="s">
        <v>1029</v>
      </c>
      <c r="G353" s="23" t="s">
        <v>75</v>
      </c>
      <c r="H353" s="23" t="s">
        <v>48</v>
      </c>
      <c r="I353" s="23">
        <v>5</v>
      </c>
      <c r="J353" s="24">
        <v>7965</v>
      </c>
      <c r="K353" s="24">
        <v>4938</v>
      </c>
      <c r="L353" s="25">
        <v>0.38</v>
      </c>
      <c r="M353" s="24">
        <v>4627</v>
      </c>
      <c r="N353" s="24">
        <f>(tbl_raw[[#This Row],[Selling_Price]]-tbl_raw[[#This Row],[Cost_Price]])*tbl_raw[[#This Row],[Units_Sold]]</f>
        <v>1555</v>
      </c>
      <c r="O353" s="25">
        <f>IFERROR((tbl_raw[[#This Row],[Selling_Price]]-tbl_raw[[#This Row],[Cost_Price]]) / tbl_raw[[#This Row],[Selling_Price]],0)</f>
        <v>6.2980963953017416E-2</v>
      </c>
      <c r="P353" s="24">
        <v>138</v>
      </c>
      <c r="Q353" s="24">
        <f>tbl_raw[[#This Row],[Gross_Profit]]-(tbl_raw[[#This Row],[Shipping_Cost]]*tbl_raw[[#This Row],[Units_Sold]])</f>
        <v>865</v>
      </c>
      <c r="R353" s="25">
        <f>IFERROR(tbl_raw[[#This Row],[Net_Profit]]/(tbl_raw[[#This Row],[Selling_Price]]*tbl_raw[[#This Row],[Units_Sold]]),0)</f>
        <v>3.5034426893479138E-2</v>
      </c>
      <c r="S353" s="23" t="s">
        <v>31</v>
      </c>
      <c r="T353" s="23" t="s">
        <v>32</v>
      </c>
      <c r="U353" s="23">
        <f>IF(tbl_raw[[#This Row],[Order_Status]]="Returned",1,0)</f>
        <v>0</v>
      </c>
      <c r="V353" s="23">
        <f>IF(tbl_raw[[#This Row],[Payment_Method]]="COD",1,0)</f>
        <v>0</v>
      </c>
      <c r="W353" s="26">
        <f>MIN(1,(tbl_raw[[#This Row],[Discount_Pct]]*1.4)+(tbl_raw[[#This Row],[COD_Flag]]*0.35))</f>
        <v>0.53199999999999992</v>
      </c>
    </row>
    <row r="354" spans="1:23" ht="22.8" x14ac:dyDescent="0.3">
      <c r="A354" s="17" t="s">
        <v>1030</v>
      </c>
      <c r="B354" s="18" t="s">
        <v>484</v>
      </c>
      <c r="C354" s="18" t="s">
        <v>199</v>
      </c>
      <c r="D354" s="18" t="s">
        <v>78</v>
      </c>
      <c r="E354" s="18" t="s">
        <v>296</v>
      </c>
      <c r="F354" s="18" t="s">
        <v>1031</v>
      </c>
      <c r="G354" s="18" t="s">
        <v>81</v>
      </c>
      <c r="H354" s="18" t="s">
        <v>30</v>
      </c>
      <c r="I354" s="18">
        <v>2</v>
      </c>
      <c r="J354" s="19">
        <v>1881</v>
      </c>
      <c r="K354" s="19">
        <v>1674</v>
      </c>
      <c r="L354" s="20">
        <v>0.11</v>
      </c>
      <c r="M354" s="19">
        <v>1305</v>
      </c>
      <c r="N354" s="19">
        <f>(tbl_raw[[#This Row],[Selling_Price]]-tbl_raw[[#This Row],[Cost_Price]])*tbl_raw[[#This Row],[Units_Sold]]</f>
        <v>738</v>
      </c>
      <c r="O354" s="20">
        <f>IFERROR((tbl_raw[[#This Row],[Selling_Price]]-tbl_raw[[#This Row],[Cost_Price]]) / tbl_raw[[#This Row],[Selling_Price]],0)</f>
        <v>0.22043010752688172</v>
      </c>
      <c r="P354" s="19">
        <v>44</v>
      </c>
      <c r="Q354" s="19">
        <f>tbl_raw[[#This Row],[Gross_Profit]]-(tbl_raw[[#This Row],[Shipping_Cost]]*tbl_raw[[#This Row],[Units_Sold]])</f>
        <v>650</v>
      </c>
      <c r="R354" s="20">
        <f>IFERROR(tbl_raw[[#This Row],[Net_Profit]]/(tbl_raw[[#This Row],[Selling_Price]]*tbl_raw[[#This Row],[Units_Sold]]),0)</f>
        <v>0.19414575866188769</v>
      </c>
      <c r="S354" s="18" t="s">
        <v>107</v>
      </c>
      <c r="T354" s="18" t="s">
        <v>32</v>
      </c>
      <c r="U354" s="18">
        <f>IF(tbl_raw[[#This Row],[Order_Status]]="Returned",1,0)</f>
        <v>0</v>
      </c>
      <c r="V354" s="18">
        <f>IF(tbl_raw[[#This Row],[Payment_Method]]="COD",1,0)</f>
        <v>0</v>
      </c>
      <c r="W354" s="21">
        <f>MIN(1,(tbl_raw[[#This Row],[Discount_Pct]]*1.4)+(tbl_raw[[#This Row],[COD_Flag]]*0.35))</f>
        <v>0.154</v>
      </c>
    </row>
    <row r="355" spans="1:23" ht="22.8" x14ac:dyDescent="0.3">
      <c r="A355" s="22" t="s">
        <v>1032</v>
      </c>
      <c r="B355" s="23" t="s">
        <v>459</v>
      </c>
      <c r="C355" s="23" t="s">
        <v>105</v>
      </c>
      <c r="D355" s="23" t="s">
        <v>53</v>
      </c>
      <c r="E355" s="23" t="s">
        <v>160</v>
      </c>
      <c r="F355" s="23" t="s">
        <v>1033</v>
      </c>
      <c r="G355" s="23" t="s">
        <v>47</v>
      </c>
      <c r="H355" s="23" t="s">
        <v>48</v>
      </c>
      <c r="I355" s="23">
        <v>4</v>
      </c>
      <c r="J355" s="24">
        <v>2939</v>
      </c>
      <c r="K355" s="24">
        <v>2028</v>
      </c>
      <c r="L355" s="25">
        <v>0.31</v>
      </c>
      <c r="M355" s="24">
        <v>1799</v>
      </c>
      <c r="N355" s="24">
        <f>(tbl_raw[[#This Row],[Selling_Price]]-tbl_raw[[#This Row],[Cost_Price]])*tbl_raw[[#This Row],[Units_Sold]]</f>
        <v>916</v>
      </c>
      <c r="O355" s="25">
        <f>IFERROR((tbl_raw[[#This Row],[Selling_Price]]-tbl_raw[[#This Row],[Cost_Price]]) / tbl_raw[[#This Row],[Selling_Price]],0)</f>
        <v>0.11291913214990137</v>
      </c>
      <c r="P355" s="24">
        <v>117</v>
      </c>
      <c r="Q355" s="24">
        <f>tbl_raw[[#This Row],[Gross_Profit]]-(tbl_raw[[#This Row],[Shipping_Cost]]*tbl_raw[[#This Row],[Units_Sold]])</f>
        <v>448</v>
      </c>
      <c r="R355" s="25">
        <f>IFERROR(tbl_raw[[#This Row],[Net_Profit]]/(tbl_raw[[#This Row],[Selling_Price]]*tbl_raw[[#This Row],[Units_Sold]]),0)</f>
        <v>5.5226824457593686E-2</v>
      </c>
      <c r="S355" s="23" t="s">
        <v>65</v>
      </c>
      <c r="T355" s="23" t="s">
        <v>86</v>
      </c>
      <c r="U355" s="23">
        <f>IF(tbl_raw[[#This Row],[Order_Status]]="Returned",1,0)</f>
        <v>1</v>
      </c>
      <c r="V355" s="23">
        <f>IF(tbl_raw[[#This Row],[Payment_Method]]="COD",1,0)</f>
        <v>0</v>
      </c>
      <c r="W355" s="26">
        <f>MIN(1,(tbl_raw[[#This Row],[Discount_Pct]]*1.4)+(tbl_raw[[#This Row],[COD_Flag]]*0.35))</f>
        <v>0.434</v>
      </c>
    </row>
    <row r="356" spans="1:23" ht="22.8" x14ac:dyDescent="0.3">
      <c r="A356" s="17" t="s">
        <v>1034</v>
      </c>
      <c r="B356" s="18" t="s">
        <v>1035</v>
      </c>
      <c r="C356" s="18" t="s">
        <v>89</v>
      </c>
      <c r="D356" s="18" t="s">
        <v>62</v>
      </c>
      <c r="E356" s="18" t="s">
        <v>68</v>
      </c>
      <c r="F356" s="18" t="s">
        <v>1036</v>
      </c>
      <c r="G356" s="18" t="s">
        <v>47</v>
      </c>
      <c r="H356" s="18" t="s">
        <v>48</v>
      </c>
      <c r="I356" s="18">
        <v>20</v>
      </c>
      <c r="J356" s="19">
        <v>2435</v>
      </c>
      <c r="K356" s="19">
        <v>1753</v>
      </c>
      <c r="L356" s="20">
        <v>0.28000000000000003</v>
      </c>
      <c r="M356" s="19">
        <v>1097</v>
      </c>
      <c r="N356" s="19">
        <f>(tbl_raw[[#This Row],[Selling_Price]]-tbl_raw[[#This Row],[Cost_Price]])*tbl_raw[[#This Row],[Units_Sold]]</f>
        <v>13120</v>
      </c>
      <c r="O356" s="20">
        <f>IFERROR((tbl_raw[[#This Row],[Selling_Price]]-tbl_raw[[#This Row],[Cost_Price]]) / tbl_raw[[#This Row],[Selling_Price]],0)</f>
        <v>0.37421563034797489</v>
      </c>
      <c r="P356" s="19">
        <v>55</v>
      </c>
      <c r="Q356" s="19">
        <f>tbl_raw[[#This Row],[Gross_Profit]]-(tbl_raw[[#This Row],[Shipping_Cost]]*tbl_raw[[#This Row],[Units_Sold]])</f>
        <v>12020</v>
      </c>
      <c r="R356" s="20">
        <f>IFERROR(tbl_raw[[#This Row],[Net_Profit]]/(tbl_raw[[#This Row],[Selling_Price]]*tbl_raw[[#This Row],[Units_Sold]]),0)</f>
        <v>0.34284084426697092</v>
      </c>
      <c r="S356" s="18" t="s">
        <v>107</v>
      </c>
      <c r="T356" s="18" t="s">
        <v>32</v>
      </c>
      <c r="U356" s="18">
        <f>IF(tbl_raw[[#This Row],[Order_Status]]="Returned",1,0)</f>
        <v>0</v>
      </c>
      <c r="V356" s="18">
        <f>IF(tbl_raw[[#This Row],[Payment_Method]]="COD",1,0)</f>
        <v>0</v>
      </c>
      <c r="W356" s="21">
        <f>MIN(1,(tbl_raw[[#This Row],[Discount_Pct]]*1.4)+(tbl_raw[[#This Row],[COD_Flag]]*0.35))</f>
        <v>0.39200000000000002</v>
      </c>
    </row>
    <row r="357" spans="1:23" ht="22.8" x14ac:dyDescent="0.3">
      <c r="A357" s="22" t="s">
        <v>1037</v>
      </c>
      <c r="B357" s="23" t="s">
        <v>779</v>
      </c>
      <c r="C357" s="23" t="s">
        <v>52</v>
      </c>
      <c r="D357" s="23" t="s">
        <v>175</v>
      </c>
      <c r="E357" s="23" t="s">
        <v>354</v>
      </c>
      <c r="F357" s="23" t="s">
        <v>1038</v>
      </c>
      <c r="G357" s="23" t="s">
        <v>56</v>
      </c>
      <c r="H357" s="23" t="s">
        <v>57</v>
      </c>
      <c r="I357" s="23">
        <v>8</v>
      </c>
      <c r="J357" s="24">
        <v>2645</v>
      </c>
      <c r="K357" s="24">
        <v>1878</v>
      </c>
      <c r="L357" s="25">
        <v>0.28999999999999998</v>
      </c>
      <c r="M357" s="24">
        <v>1716</v>
      </c>
      <c r="N357" s="24">
        <f>(tbl_raw[[#This Row],[Selling_Price]]-tbl_raw[[#This Row],[Cost_Price]])*tbl_raw[[#This Row],[Units_Sold]]</f>
        <v>1296</v>
      </c>
      <c r="O357" s="25">
        <f>IFERROR((tbl_raw[[#This Row],[Selling_Price]]-tbl_raw[[#This Row],[Cost_Price]]) / tbl_raw[[#This Row],[Selling_Price]],0)</f>
        <v>8.6261980830670923E-2</v>
      </c>
      <c r="P357" s="24">
        <v>121</v>
      </c>
      <c r="Q357" s="24">
        <f>tbl_raw[[#This Row],[Gross_Profit]]-(tbl_raw[[#This Row],[Shipping_Cost]]*tbl_raw[[#This Row],[Units_Sold]])</f>
        <v>328</v>
      </c>
      <c r="R357" s="25">
        <f>IFERROR(tbl_raw[[#This Row],[Net_Profit]]/(tbl_raw[[#This Row],[Selling_Price]]*tbl_raw[[#This Row],[Units_Sold]]),0)</f>
        <v>2.1831735889243878E-2</v>
      </c>
      <c r="S357" s="23" t="s">
        <v>31</v>
      </c>
      <c r="T357" s="23" t="s">
        <v>32</v>
      </c>
      <c r="U357" s="23">
        <f>IF(tbl_raw[[#This Row],[Order_Status]]="Returned",1,0)</f>
        <v>0</v>
      </c>
      <c r="V357" s="23">
        <f>IF(tbl_raw[[#This Row],[Payment_Method]]="COD",1,0)</f>
        <v>0</v>
      </c>
      <c r="W357" s="26">
        <f>MIN(1,(tbl_raw[[#This Row],[Discount_Pct]]*1.4)+(tbl_raw[[#This Row],[COD_Flag]]*0.35))</f>
        <v>0.40599999999999997</v>
      </c>
    </row>
    <row r="358" spans="1:23" ht="22.8" x14ac:dyDescent="0.3">
      <c r="A358" s="17" t="s">
        <v>1039</v>
      </c>
      <c r="B358" s="18" t="s">
        <v>1040</v>
      </c>
      <c r="C358" s="18" t="s">
        <v>89</v>
      </c>
      <c r="D358" s="18" t="s">
        <v>62</v>
      </c>
      <c r="E358" s="18" t="s">
        <v>68</v>
      </c>
      <c r="F358" s="18" t="s">
        <v>1041</v>
      </c>
      <c r="G358" s="18" t="s">
        <v>81</v>
      </c>
      <c r="H358" s="18" t="s">
        <v>30</v>
      </c>
      <c r="I358" s="18">
        <v>1</v>
      </c>
      <c r="J358" s="19">
        <v>1175</v>
      </c>
      <c r="K358" s="19">
        <v>1046</v>
      </c>
      <c r="L358" s="20">
        <v>0.11</v>
      </c>
      <c r="M358" s="19">
        <v>573</v>
      </c>
      <c r="N358" s="19">
        <f>(tbl_raw[[#This Row],[Selling_Price]]-tbl_raw[[#This Row],[Cost_Price]])*tbl_raw[[#This Row],[Units_Sold]]</f>
        <v>473</v>
      </c>
      <c r="O358" s="20">
        <f>IFERROR((tbl_raw[[#This Row],[Selling_Price]]-tbl_raw[[#This Row],[Cost_Price]]) / tbl_raw[[#This Row],[Selling_Price]],0)</f>
        <v>0.45219885277246652</v>
      </c>
      <c r="P358" s="19">
        <v>142</v>
      </c>
      <c r="Q358" s="19">
        <f>tbl_raw[[#This Row],[Gross_Profit]]-(tbl_raw[[#This Row],[Shipping_Cost]]*tbl_raw[[#This Row],[Units_Sold]])</f>
        <v>331</v>
      </c>
      <c r="R358" s="20">
        <f>IFERROR(tbl_raw[[#This Row],[Net_Profit]]/(tbl_raw[[#This Row],[Selling_Price]]*tbl_raw[[#This Row],[Units_Sold]]),0)</f>
        <v>0.31644359464627153</v>
      </c>
      <c r="S358" s="18" t="s">
        <v>58</v>
      </c>
      <c r="T358" s="18" t="s">
        <v>32</v>
      </c>
      <c r="U358" s="18">
        <f>IF(tbl_raw[[#This Row],[Order_Status]]="Returned",1,0)</f>
        <v>0</v>
      </c>
      <c r="V358" s="18">
        <f>IF(tbl_raw[[#This Row],[Payment_Method]]="COD",1,0)</f>
        <v>0</v>
      </c>
      <c r="W358" s="21">
        <f>MIN(1,(tbl_raw[[#This Row],[Discount_Pct]]*1.4)+(tbl_raw[[#This Row],[COD_Flag]]*0.35))</f>
        <v>0.154</v>
      </c>
    </row>
    <row r="359" spans="1:23" ht="22.8" x14ac:dyDescent="0.3">
      <c r="A359" s="22" t="s">
        <v>1042</v>
      </c>
      <c r="B359" s="23" t="s">
        <v>745</v>
      </c>
      <c r="C359" s="23" t="s">
        <v>72</v>
      </c>
      <c r="D359" s="23" t="s">
        <v>62</v>
      </c>
      <c r="E359" s="23" t="s">
        <v>133</v>
      </c>
      <c r="F359" s="23" t="s">
        <v>1043</v>
      </c>
      <c r="G359" s="23" t="s">
        <v>139</v>
      </c>
      <c r="H359" s="23" t="s">
        <v>48</v>
      </c>
      <c r="I359" s="23">
        <v>13</v>
      </c>
      <c r="J359" s="24">
        <v>4287</v>
      </c>
      <c r="K359" s="24">
        <v>2358</v>
      </c>
      <c r="L359" s="25">
        <v>0.45</v>
      </c>
      <c r="M359" s="24">
        <v>1871</v>
      </c>
      <c r="N359" s="24">
        <f>(tbl_raw[[#This Row],[Selling_Price]]-tbl_raw[[#This Row],[Cost_Price]])*tbl_raw[[#This Row],[Units_Sold]]</f>
        <v>6331</v>
      </c>
      <c r="O359" s="25">
        <f>IFERROR((tbl_raw[[#This Row],[Selling_Price]]-tbl_raw[[#This Row],[Cost_Price]]) / tbl_raw[[#This Row],[Selling_Price]],0)</f>
        <v>0.20653095843935537</v>
      </c>
      <c r="P359" s="24">
        <v>123</v>
      </c>
      <c r="Q359" s="24">
        <f>tbl_raw[[#This Row],[Gross_Profit]]-(tbl_raw[[#This Row],[Shipping_Cost]]*tbl_raw[[#This Row],[Units_Sold]])</f>
        <v>4732</v>
      </c>
      <c r="R359" s="25">
        <f>IFERROR(tbl_raw[[#This Row],[Net_Profit]]/(tbl_raw[[#This Row],[Selling_Price]]*tbl_raw[[#This Row],[Units_Sold]]),0)</f>
        <v>0.15436810856658184</v>
      </c>
      <c r="S359" s="23" t="s">
        <v>58</v>
      </c>
      <c r="T359" s="23" t="s">
        <v>49</v>
      </c>
      <c r="U359" s="23">
        <f>IF(tbl_raw[[#This Row],[Order_Status]]="Returned",1,0)</f>
        <v>0</v>
      </c>
      <c r="V359" s="23">
        <f>IF(tbl_raw[[#This Row],[Payment_Method]]="COD",1,0)</f>
        <v>0</v>
      </c>
      <c r="W359" s="26">
        <f>MIN(1,(tbl_raw[[#This Row],[Discount_Pct]]*1.4)+(tbl_raw[[#This Row],[COD_Flag]]*0.35))</f>
        <v>0.63</v>
      </c>
    </row>
    <row r="360" spans="1:23" ht="22.8" x14ac:dyDescent="0.3">
      <c r="A360" s="17" t="s">
        <v>1044</v>
      </c>
      <c r="B360" s="18" t="s">
        <v>98</v>
      </c>
      <c r="C360" s="18" t="s">
        <v>99</v>
      </c>
      <c r="D360" s="18" t="s">
        <v>94</v>
      </c>
      <c r="E360" s="18" t="s">
        <v>180</v>
      </c>
      <c r="F360" s="18" t="s">
        <v>1045</v>
      </c>
      <c r="G360" s="18" t="s">
        <v>81</v>
      </c>
      <c r="H360" s="18" t="s">
        <v>30</v>
      </c>
      <c r="I360" s="18">
        <v>5</v>
      </c>
      <c r="J360" s="19">
        <v>4309</v>
      </c>
      <c r="K360" s="19">
        <v>3964</v>
      </c>
      <c r="L360" s="20">
        <v>0.08</v>
      </c>
      <c r="M360" s="19">
        <v>1777</v>
      </c>
      <c r="N360" s="19">
        <f>(tbl_raw[[#This Row],[Selling_Price]]-tbl_raw[[#This Row],[Cost_Price]])*tbl_raw[[#This Row],[Units_Sold]]</f>
        <v>10935</v>
      </c>
      <c r="O360" s="20">
        <f>IFERROR((tbl_raw[[#This Row],[Selling_Price]]-tbl_raw[[#This Row],[Cost_Price]]) / tbl_raw[[#This Row],[Selling_Price]],0)</f>
        <v>0.55171543895055497</v>
      </c>
      <c r="P360" s="19">
        <v>84</v>
      </c>
      <c r="Q360" s="19">
        <f>tbl_raw[[#This Row],[Gross_Profit]]-(tbl_raw[[#This Row],[Shipping_Cost]]*tbl_raw[[#This Row],[Units_Sold]])</f>
        <v>10515</v>
      </c>
      <c r="R360" s="20">
        <f>IFERROR(tbl_raw[[#This Row],[Net_Profit]]/(tbl_raw[[#This Row],[Selling_Price]]*tbl_raw[[#This Row],[Units_Sold]]),0)</f>
        <v>0.53052472250252269</v>
      </c>
      <c r="S360" s="18" t="s">
        <v>107</v>
      </c>
      <c r="T360" s="18" t="s">
        <v>32</v>
      </c>
      <c r="U360" s="18">
        <f>IF(tbl_raw[[#This Row],[Order_Status]]="Returned",1,0)</f>
        <v>0</v>
      </c>
      <c r="V360" s="18">
        <f>IF(tbl_raw[[#This Row],[Payment_Method]]="COD",1,0)</f>
        <v>0</v>
      </c>
      <c r="W360" s="21">
        <f>MIN(1,(tbl_raw[[#This Row],[Discount_Pct]]*1.4)+(tbl_raw[[#This Row],[COD_Flag]]*0.35))</f>
        <v>0.11199999999999999</v>
      </c>
    </row>
    <row r="361" spans="1:23" ht="22.8" x14ac:dyDescent="0.3">
      <c r="A361" s="22" t="s">
        <v>1046</v>
      </c>
      <c r="B361" s="23" t="s">
        <v>524</v>
      </c>
      <c r="C361" s="23" t="s">
        <v>105</v>
      </c>
      <c r="D361" s="23" t="s">
        <v>62</v>
      </c>
      <c r="E361" s="23" t="s">
        <v>203</v>
      </c>
      <c r="F361" s="23" t="s">
        <v>1047</v>
      </c>
      <c r="G361" s="23" t="s">
        <v>38</v>
      </c>
      <c r="H361" s="23" t="s">
        <v>39</v>
      </c>
      <c r="I361" s="23">
        <v>6</v>
      </c>
      <c r="J361" s="24">
        <v>4808</v>
      </c>
      <c r="K361" s="24">
        <v>3798</v>
      </c>
      <c r="L361" s="25">
        <v>0.21</v>
      </c>
      <c r="M361" s="24">
        <v>3183</v>
      </c>
      <c r="N361" s="24">
        <f>(tbl_raw[[#This Row],[Selling_Price]]-tbl_raw[[#This Row],[Cost_Price]])*tbl_raw[[#This Row],[Units_Sold]]</f>
        <v>3690</v>
      </c>
      <c r="O361" s="25">
        <f>IFERROR((tbl_raw[[#This Row],[Selling_Price]]-tbl_raw[[#This Row],[Cost_Price]]) / tbl_raw[[#This Row],[Selling_Price]],0)</f>
        <v>0.16192733017377567</v>
      </c>
      <c r="P361" s="24">
        <v>162</v>
      </c>
      <c r="Q361" s="24">
        <f>tbl_raw[[#This Row],[Gross_Profit]]-(tbl_raw[[#This Row],[Shipping_Cost]]*tbl_raw[[#This Row],[Units_Sold]])</f>
        <v>2718</v>
      </c>
      <c r="R361" s="25">
        <f>IFERROR(tbl_raw[[#This Row],[Net_Profit]]/(tbl_raw[[#This Row],[Selling_Price]]*tbl_raw[[#This Row],[Units_Sold]]),0)</f>
        <v>0.11927330173775672</v>
      </c>
      <c r="S361" s="23" t="s">
        <v>31</v>
      </c>
      <c r="T361" s="23" t="s">
        <v>32</v>
      </c>
      <c r="U361" s="23">
        <f>IF(tbl_raw[[#This Row],[Order_Status]]="Returned",1,0)</f>
        <v>0</v>
      </c>
      <c r="V361" s="23">
        <f>IF(tbl_raw[[#This Row],[Payment_Method]]="COD",1,0)</f>
        <v>0</v>
      </c>
      <c r="W361" s="26">
        <f>MIN(1,(tbl_raw[[#This Row],[Discount_Pct]]*1.4)+(tbl_raw[[#This Row],[COD_Flag]]*0.35))</f>
        <v>0.29399999999999998</v>
      </c>
    </row>
    <row r="362" spans="1:23" ht="22.8" x14ac:dyDescent="0.3">
      <c r="A362" s="17" t="s">
        <v>1048</v>
      </c>
      <c r="B362" s="18" t="s">
        <v>1049</v>
      </c>
      <c r="C362" s="18" t="s">
        <v>99</v>
      </c>
      <c r="D362" s="18" t="s">
        <v>62</v>
      </c>
      <c r="E362" s="18" t="s">
        <v>133</v>
      </c>
      <c r="F362" s="18" t="s">
        <v>1050</v>
      </c>
      <c r="G362" s="18" t="s">
        <v>120</v>
      </c>
      <c r="H362" s="18" t="s">
        <v>39</v>
      </c>
      <c r="I362" s="18">
        <v>15</v>
      </c>
      <c r="J362" s="19">
        <v>2601</v>
      </c>
      <c r="K362" s="19">
        <v>2107</v>
      </c>
      <c r="L362" s="20">
        <v>0.19</v>
      </c>
      <c r="M362" s="19">
        <v>1182</v>
      </c>
      <c r="N362" s="19">
        <f>(tbl_raw[[#This Row],[Selling_Price]]-tbl_raw[[#This Row],[Cost_Price]])*tbl_raw[[#This Row],[Units_Sold]]</f>
        <v>13875</v>
      </c>
      <c r="O362" s="20">
        <f>IFERROR((tbl_raw[[#This Row],[Selling_Price]]-tbl_raw[[#This Row],[Cost_Price]]) / tbl_raw[[#This Row],[Selling_Price]],0)</f>
        <v>0.43901281442809681</v>
      </c>
      <c r="P362" s="19">
        <v>32</v>
      </c>
      <c r="Q362" s="19">
        <f>tbl_raw[[#This Row],[Gross_Profit]]-(tbl_raw[[#This Row],[Shipping_Cost]]*tbl_raw[[#This Row],[Units_Sold]])</f>
        <v>13395</v>
      </c>
      <c r="R362" s="20">
        <f>IFERROR(tbl_raw[[#This Row],[Net_Profit]]/(tbl_raw[[#This Row],[Selling_Price]]*tbl_raw[[#This Row],[Units_Sold]]),0)</f>
        <v>0.42382534409112482</v>
      </c>
      <c r="S362" s="18" t="s">
        <v>65</v>
      </c>
      <c r="T362" s="18" t="s">
        <v>59</v>
      </c>
      <c r="U362" s="18">
        <f>IF(tbl_raw[[#This Row],[Order_Status]]="Returned",1,0)</f>
        <v>0</v>
      </c>
      <c r="V362" s="18">
        <f>IF(tbl_raw[[#This Row],[Payment_Method]]="COD",1,0)</f>
        <v>0</v>
      </c>
      <c r="W362" s="21">
        <f>MIN(1,(tbl_raw[[#This Row],[Discount_Pct]]*1.4)+(tbl_raw[[#This Row],[COD_Flag]]*0.35))</f>
        <v>0.26599999999999996</v>
      </c>
    </row>
    <row r="363" spans="1:23" ht="22.8" x14ac:dyDescent="0.3">
      <c r="A363" s="22" t="s">
        <v>1051</v>
      </c>
      <c r="B363" s="23" t="s">
        <v>581</v>
      </c>
      <c r="C363" s="23" t="s">
        <v>89</v>
      </c>
      <c r="D363" s="23" t="s">
        <v>62</v>
      </c>
      <c r="E363" s="23" t="s">
        <v>133</v>
      </c>
      <c r="F363" s="23" t="s">
        <v>1052</v>
      </c>
      <c r="G363" s="23" t="s">
        <v>75</v>
      </c>
      <c r="H363" s="23" t="s">
        <v>48</v>
      </c>
      <c r="I363" s="23">
        <v>16</v>
      </c>
      <c r="J363" s="24">
        <v>2537</v>
      </c>
      <c r="K363" s="24">
        <v>1674</v>
      </c>
      <c r="L363" s="25">
        <v>0.34</v>
      </c>
      <c r="M363" s="24">
        <v>1723</v>
      </c>
      <c r="N363" s="24">
        <f>(tbl_raw[[#This Row],[Selling_Price]]-tbl_raw[[#This Row],[Cost_Price]])*tbl_raw[[#This Row],[Units_Sold]]</f>
        <v>-784</v>
      </c>
      <c r="O363" s="25">
        <f>IFERROR((tbl_raw[[#This Row],[Selling_Price]]-tbl_raw[[#This Row],[Cost_Price]]) / tbl_raw[[#This Row],[Selling_Price]],0)</f>
        <v>-2.9271206690561529E-2</v>
      </c>
      <c r="P363" s="24">
        <v>120</v>
      </c>
      <c r="Q363" s="24">
        <f>tbl_raw[[#This Row],[Gross_Profit]]-(tbl_raw[[#This Row],[Shipping_Cost]]*tbl_raw[[#This Row],[Units_Sold]])</f>
        <v>-2704</v>
      </c>
      <c r="R363" s="25">
        <f>IFERROR(tbl_raw[[#This Row],[Net_Profit]]/(tbl_raw[[#This Row],[Selling_Price]]*tbl_raw[[#This Row],[Units_Sold]]),0)</f>
        <v>-0.1009557945041816</v>
      </c>
      <c r="S363" s="23" t="s">
        <v>58</v>
      </c>
      <c r="T363" s="23" t="s">
        <v>32</v>
      </c>
      <c r="U363" s="23">
        <f>IF(tbl_raw[[#This Row],[Order_Status]]="Returned",1,0)</f>
        <v>0</v>
      </c>
      <c r="V363" s="23">
        <f>IF(tbl_raw[[#This Row],[Payment_Method]]="COD",1,0)</f>
        <v>0</v>
      </c>
      <c r="W363" s="26">
        <f>MIN(1,(tbl_raw[[#This Row],[Discount_Pct]]*1.4)+(tbl_raw[[#This Row],[COD_Flag]]*0.35))</f>
        <v>0.47599999999999998</v>
      </c>
    </row>
    <row r="364" spans="1:23" ht="22.8" x14ac:dyDescent="0.3">
      <c r="A364" s="17" t="s">
        <v>1053</v>
      </c>
      <c r="B364" s="18" t="s">
        <v>335</v>
      </c>
      <c r="C364" s="18" t="s">
        <v>105</v>
      </c>
      <c r="D364" s="18" t="s">
        <v>78</v>
      </c>
      <c r="E364" s="18" t="s">
        <v>118</v>
      </c>
      <c r="F364" s="18" t="s">
        <v>1054</v>
      </c>
      <c r="G364" s="18" t="s">
        <v>47</v>
      </c>
      <c r="H364" s="18" t="s">
        <v>48</v>
      </c>
      <c r="I364" s="18">
        <v>13</v>
      </c>
      <c r="J364" s="19">
        <v>1921</v>
      </c>
      <c r="K364" s="19">
        <v>1844</v>
      </c>
      <c r="L364" s="20">
        <v>0.04</v>
      </c>
      <c r="M364" s="19">
        <v>1189</v>
      </c>
      <c r="N364" s="19">
        <f>(tbl_raw[[#This Row],[Selling_Price]]-tbl_raw[[#This Row],[Cost_Price]])*tbl_raw[[#This Row],[Units_Sold]]</f>
        <v>8515</v>
      </c>
      <c r="O364" s="20">
        <f>IFERROR((tbl_raw[[#This Row],[Selling_Price]]-tbl_raw[[#This Row],[Cost_Price]]) / tbl_raw[[#This Row],[Selling_Price]],0)</f>
        <v>0.35520607375271152</v>
      </c>
      <c r="P364" s="19">
        <v>107</v>
      </c>
      <c r="Q364" s="19">
        <f>tbl_raw[[#This Row],[Gross_Profit]]-(tbl_raw[[#This Row],[Shipping_Cost]]*tbl_raw[[#This Row],[Units_Sold]])</f>
        <v>7124</v>
      </c>
      <c r="R364" s="20">
        <f>IFERROR(tbl_raw[[#This Row],[Net_Profit]]/(tbl_raw[[#This Row],[Selling_Price]]*tbl_raw[[#This Row],[Units_Sold]]),0)</f>
        <v>0.29718004338394793</v>
      </c>
      <c r="S364" s="18" t="s">
        <v>65</v>
      </c>
      <c r="T364" s="18" t="s">
        <v>32</v>
      </c>
      <c r="U364" s="18">
        <f>IF(tbl_raw[[#This Row],[Order_Status]]="Returned",1,0)</f>
        <v>0</v>
      </c>
      <c r="V364" s="18">
        <f>IF(tbl_raw[[#This Row],[Payment_Method]]="COD",1,0)</f>
        <v>0</v>
      </c>
      <c r="W364" s="21">
        <f>MIN(1,(tbl_raw[[#This Row],[Discount_Pct]]*1.4)+(tbl_raw[[#This Row],[COD_Flag]]*0.35))</f>
        <v>5.5999999999999994E-2</v>
      </c>
    </row>
    <row r="365" spans="1:23" ht="22.8" x14ac:dyDescent="0.3">
      <c r="A365" s="22" t="s">
        <v>1055</v>
      </c>
      <c r="B365" s="23" t="s">
        <v>530</v>
      </c>
      <c r="C365" s="23" t="s">
        <v>99</v>
      </c>
      <c r="D365" s="23" t="s">
        <v>53</v>
      </c>
      <c r="E365" s="23" t="s">
        <v>90</v>
      </c>
      <c r="F365" s="23" t="s">
        <v>1056</v>
      </c>
      <c r="G365" s="23" t="s">
        <v>120</v>
      </c>
      <c r="H365" s="23" t="s">
        <v>39</v>
      </c>
      <c r="I365" s="23">
        <v>6</v>
      </c>
      <c r="J365" s="24">
        <v>1266</v>
      </c>
      <c r="K365" s="24">
        <v>1203</v>
      </c>
      <c r="L365" s="25">
        <v>0.05</v>
      </c>
      <c r="M365" s="24">
        <v>708</v>
      </c>
      <c r="N365" s="24">
        <f>(tbl_raw[[#This Row],[Selling_Price]]-tbl_raw[[#This Row],[Cost_Price]])*tbl_raw[[#This Row],[Units_Sold]]</f>
        <v>2970</v>
      </c>
      <c r="O365" s="25">
        <f>IFERROR((tbl_raw[[#This Row],[Selling_Price]]-tbl_raw[[#This Row],[Cost_Price]]) / tbl_raw[[#This Row],[Selling_Price]],0)</f>
        <v>0.41147132169576062</v>
      </c>
      <c r="P365" s="24">
        <v>98</v>
      </c>
      <c r="Q365" s="24">
        <f>tbl_raw[[#This Row],[Gross_Profit]]-(tbl_raw[[#This Row],[Shipping_Cost]]*tbl_raw[[#This Row],[Units_Sold]])</f>
        <v>2382</v>
      </c>
      <c r="R365" s="25">
        <f>IFERROR(tbl_raw[[#This Row],[Net_Profit]]/(tbl_raw[[#This Row],[Selling_Price]]*tbl_raw[[#This Row],[Units_Sold]]),0)</f>
        <v>0.33000831255195345</v>
      </c>
      <c r="S365" s="23" t="s">
        <v>65</v>
      </c>
      <c r="T365" s="23" t="s">
        <v>32</v>
      </c>
      <c r="U365" s="23">
        <f>IF(tbl_raw[[#This Row],[Order_Status]]="Returned",1,0)</f>
        <v>0</v>
      </c>
      <c r="V365" s="23">
        <f>IF(tbl_raw[[#This Row],[Payment_Method]]="COD",1,0)</f>
        <v>0</v>
      </c>
      <c r="W365" s="26">
        <f>MIN(1,(tbl_raw[[#This Row],[Discount_Pct]]*1.4)+(tbl_raw[[#This Row],[COD_Flag]]*0.35))</f>
        <v>6.9999999999999993E-2</v>
      </c>
    </row>
    <row r="366" spans="1:23" ht="22.8" x14ac:dyDescent="0.3">
      <c r="A366" s="17" t="s">
        <v>1057</v>
      </c>
      <c r="B366" s="18" t="s">
        <v>159</v>
      </c>
      <c r="C366" s="18" t="s">
        <v>43</v>
      </c>
      <c r="D366" s="18" t="s">
        <v>26</v>
      </c>
      <c r="E366" s="18" t="s">
        <v>100</v>
      </c>
      <c r="F366" s="18" t="s">
        <v>1058</v>
      </c>
      <c r="G366" s="18" t="s">
        <v>143</v>
      </c>
      <c r="H366" s="18" t="s">
        <v>30</v>
      </c>
      <c r="I366" s="18">
        <v>9</v>
      </c>
      <c r="J366" s="19">
        <v>1175</v>
      </c>
      <c r="K366" s="19">
        <v>940</v>
      </c>
      <c r="L366" s="20">
        <v>0.2</v>
      </c>
      <c r="M366" s="19">
        <v>473</v>
      </c>
      <c r="N366" s="19">
        <f>(tbl_raw[[#This Row],[Selling_Price]]-tbl_raw[[#This Row],[Cost_Price]])*tbl_raw[[#This Row],[Units_Sold]]</f>
        <v>4203</v>
      </c>
      <c r="O366" s="20">
        <f>IFERROR((tbl_raw[[#This Row],[Selling_Price]]-tbl_raw[[#This Row],[Cost_Price]]) / tbl_raw[[#This Row],[Selling_Price]],0)</f>
        <v>0.4968085106382979</v>
      </c>
      <c r="P366" s="19">
        <v>44</v>
      </c>
      <c r="Q366" s="19">
        <f>tbl_raw[[#This Row],[Gross_Profit]]-(tbl_raw[[#This Row],[Shipping_Cost]]*tbl_raw[[#This Row],[Units_Sold]])</f>
        <v>3807</v>
      </c>
      <c r="R366" s="20">
        <f>IFERROR(tbl_raw[[#This Row],[Net_Profit]]/(tbl_raw[[#This Row],[Selling_Price]]*tbl_raw[[#This Row],[Units_Sold]]),0)</f>
        <v>0.45</v>
      </c>
      <c r="S366" s="18" t="s">
        <v>58</v>
      </c>
      <c r="T366" s="18" t="s">
        <v>32</v>
      </c>
      <c r="U366" s="18">
        <f>IF(tbl_raw[[#This Row],[Order_Status]]="Returned",1,0)</f>
        <v>0</v>
      </c>
      <c r="V366" s="18">
        <f>IF(tbl_raw[[#This Row],[Payment_Method]]="COD",1,0)</f>
        <v>0</v>
      </c>
      <c r="W366" s="21">
        <f>MIN(1,(tbl_raw[[#This Row],[Discount_Pct]]*1.4)+(tbl_raw[[#This Row],[COD_Flag]]*0.35))</f>
        <v>0.27999999999999997</v>
      </c>
    </row>
    <row r="367" spans="1:23" ht="22.8" x14ac:dyDescent="0.3">
      <c r="A367" s="22" t="s">
        <v>1059</v>
      </c>
      <c r="B367" s="23" t="s">
        <v>128</v>
      </c>
      <c r="C367" s="23" t="s">
        <v>99</v>
      </c>
      <c r="D367" s="23" t="s">
        <v>62</v>
      </c>
      <c r="E367" s="23" t="s">
        <v>63</v>
      </c>
      <c r="F367" s="23" t="s">
        <v>1060</v>
      </c>
      <c r="G367" s="23" t="s">
        <v>139</v>
      </c>
      <c r="H367" s="23" t="s">
        <v>48</v>
      </c>
      <c r="I367" s="23">
        <v>11</v>
      </c>
      <c r="J367" s="24">
        <v>826</v>
      </c>
      <c r="K367" s="24">
        <v>545</v>
      </c>
      <c r="L367" s="25">
        <v>0.34</v>
      </c>
      <c r="M367" s="24">
        <v>373</v>
      </c>
      <c r="N367" s="24">
        <f>(tbl_raw[[#This Row],[Selling_Price]]-tbl_raw[[#This Row],[Cost_Price]])*tbl_raw[[#This Row],[Units_Sold]]</f>
        <v>1892</v>
      </c>
      <c r="O367" s="25">
        <f>IFERROR((tbl_raw[[#This Row],[Selling_Price]]-tbl_raw[[#This Row],[Cost_Price]]) / tbl_raw[[#This Row],[Selling_Price]],0)</f>
        <v>0.31559633027522938</v>
      </c>
      <c r="P367" s="24">
        <v>70</v>
      </c>
      <c r="Q367" s="24">
        <f>tbl_raw[[#This Row],[Gross_Profit]]-(tbl_raw[[#This Row],[Shipping_Cost]]*tbl_raw[[#This Row],[Units_Sold]])</f>
        <v>1122</v>
      </c>
      <c r="R367" s="25">
        <f>IFERROR(tbl_raw[[#This Row],[Net_Profit]]/(tbl_raw[[#This Row],[Selling_Price]]*tbl_raw[[#This Row],[Units_Sold]]),0)</f>
        <v>0.1871559633027523</v>
      </c>
      <c r="S367" s="23" t="s">
        <v>31</v>
      </c>
      <c r="T367" s="23" t="s">
        <v>32</v>
      </c>
      <c r="U367" s="23">
        <f>IF(tbl_raw[[#This Row],[Order_Status]]="Returned",1,0)</f>
        <v>0</v>
      </c>
      <c r="V367" s="23">
        <f>IF(tbl_raw[[#This Row],[Payment_Method]]="COD",1,0)</f>
        <v>0</v>
      </c>
      <c r="W367" s="26">
        <f>MIN(1,(tbl_raw[[#This Row],[Discount_Pct]]*1.4)+(tbl_raw[[#This Row],[COD_Flag]]*0.35))</f>
        <v>0.47599999999999998</v>
      </c>
    </row>
    <row r="368" spans="1:23" ht="22.8" x14ac:dyDescent="0.3">
      <c r="A368" s="17" t="s">
        <v>1061</v>
      </c>
      <c r="B368" s="18" t="s">
        <v>664</v>
      </c>
      <c r="C368" s="18" t="s">
        <v>35</v>
      </c>
      <c r="D368" s="18" t="s">
        <v>53</v>
      </c>
      <c r="E368" s="18" t="s">
        <v>90</v>
      </c>
      <c r="F368" s="18" t="s">
        <v>1062</v>
      </c>
      <c r="G368" s="18" t="s">
        <v>139</v>
      </c>
      <c r="H368" s="18" t="s">
        <v>48</v>
      </c>
      <c r="I368" s="18">
        <v>4</v>
      </c>
      <c r="J368" s="19">
        <v>7802</v>
      </c>
      <c r="K368" s="19">
        <v>5305</v>
      </c>
      <c r="L368" s="20">
        <v>0.32</v>
      </c>
      <c r="M368" s="19">
        <v>4172</v>
      </c>
      <c r="N368" s="19">
        <f>(tbl_raw[[#This Row],[Selling_Price]]-tbl_raw[[#This Row],[Cost_Price]])*tbl_raw[[#This Row],[Units_Sold]]</f>
        <v>4532</v>
      </c>
      <c r="O368" s="20">
        <f>IFERROR((tbl_raw[[#This Row],[Selling_Price]]-tbl_raw[[#This Row],[Cost_Price]]) / tbl_raw[[#This Row],[Selling_Price]],0)</f>
        <v>0.21357210179076344</v>
      </c>
      <c r="P368" s="19">
        <v>176</v>
      </c>
      <c r="Q368" s="19">
        <f>tbl_raw[[#This Row],[Gross_Profit]]-(tbl_raw[[#This Row],[Shipping_Cost]]*tbl_raw[[#This Row],[Units_Sold]])</f>
        <v>3828</v>
      </c>
      <c r="R368" s="20">
        <f>IFERROR(tbl_raw[[#This Row],[Net_Profit]]/(tbl_raw[[#This Row],[Selling_Price]]*tbl_raw[[#This Row],[Units_Sold]]),0)</f>
        <v>0.18039585296889726</v>
      </c>
      <c r="S368" s="18" t="s">
        <v>40</v>
      </c>
      <c r="T368" s="18" t="s">
        <v>32</v>
      </c>
      <c r="U368" s="18">
        <f>IF(tbl_raw[[#This Row],[Order_Status]]="Returned",1,0)</f>
        <v>0</v>
      </c>
      <c r="V368" s="18">
        <f>IF(tbl_raw[[#This Row],[Payment_Method]]="COD",1,0)</f>
        <v>1</v>
      </c>
      <c r="W368" s="21">
        <f>MIN(1,(tbl_raw[[#This Row],[Discount_Pct]]*1.4)+(tbl_raw[[#This Row],[COD_Flag]]*0.35))</f>
        <v>0.79799999999999993</v>
      </c>
    </row>
    <row r="369" spans="1:23" ht="22.8" x14ac:dyDescent="0.3">
      <c r="A369" s="22" t="s">
        <v>1063</v>
      </c>
      <c r="B369" s="23" t="s">
        <v>384</v>
      </c>
      <c r="C369" s="23" t="s">
        <v>117</v>
      </c>
      <c r="D369" s="23" t="s">
        <v>175</v>
      </c>
      <c r="E369" s="23" t="s">
        <v>176</v>
      </c>
      <c r="F369" s="23" t="s">
        <v>1064</v>
      </c>
      <c r="G369" s="23" t="s">
        <v>29</v>
      </c>
      <c r="H369" s="23" t="s">
        <v>30</v>
      </c>
      <c r="I369" s="23">
        <v>16</v>
      </c>
      <c r="J369" s="24">
        <v>3235</v>
      </c>
      <c r="K369" s="24">
        <v>1844</v>
      </c>
      <c r="L369" s="25">
        <v>0.43</v>
      </c>
      <c r="M369" s="24">
        <v>2354</v>
      </c>
      <c r="N369" s="24">
        <f>(tbl_raw[[#This Row],[Selling_Price]]-tbl_raw[[#This Row],[Cost_Price]])*tbl_raw[[#This Row],[Units_Sold]]</f>
        <v>-8160</v>
      </c>
      <c r="O369" s="25">
        <f>IFERROR((tbl_raw[[#This Row],[Selling_Price]]-tbl_raw[[#This Row],[Cost_Price]]) / tbl_raw[[#This Row],[Selling_Price]],0)</f>
        <v>-0.27657266811279829</v>
      </c>
      <c r="P369" s="24">
        <v>54</v>
      </c>
      <c r="Q369" s="24">
        <f>tbl_raw[[#This Row],[Gross_Profit]]-(tbl_raw[[#This Row],[Shipping_Cost]]*tbl_raw[[#This Row],[Units_Sold]])</f>
        <v>-9024</v>
      </c>
      <c r="R369" s="25">
        <f>IFERROR(tbl_raw[[#This Row],[Net_Profit]]/(tbl_raw[[#This Row],[Selling_Price]]*tbl_raw[[#This Row],[Units_Sold]]),0)</f>
        <v>-0.30585683297180044</v>
      </c>
      <c r="S369" s="23" t="s">
        <v>58</v>
      </c>
      <c r="T369" s="23" t="s">
        <v>32</v>
      </c>
      <c r="U369" s="23">
        <f>IF(tbl_raw[[#This Row],[Order_Status]]="Returned",1,0)</f>
        <v>0</v>
      </c>
      <c r="V369" s="23">
        <f>IF(tbl_raw[[#This Row],[Payment_Method]]="COD",1,0)</f>
        <v>0</v>
      </c>
      <c r="W369" s="26">
        <f>MIN(1,(tbl_raw[[#This Row],[Discount_Pct]]*1.4)+(tbl_raw[[#This Row],[COD_Flag]]*0.35))</f>
        <v>0.60199999999999998</v>
      </c>
    </row>
    <row r="370" spans="1:23" ht="22.8" x14ac:dyDescent="0.3">
      <c r="A370" s="17" t="s">
        <v>1065</v>
      </c>
      <c r="B370" s="18" t="s">
        <v>378</v>
      </c>
      <c r="C370" s="18" t="s">
        <v>72</v>
      </c>
      <c r="D370" s="18" t="s">
        <v>62</v>
      </c>
      <c r="E370" s="18" t="s">
        <v>63</v>
      </c>
      <c r="F370" s="18" t="s">
        <v>1066</v>
      </c>
      <c r="G370" s="18" t="s">
        <v>56</v>
      </c>
      <c r="H370" s="18" t="s">
        <v>57</v>
      </c>
      <c r="I370" s="18">
        <v>2</v>
      </c>
      <c r="J370" s="19">
        <v>6937</v>
      </c>
      <c r="K370" s="19">
        <v>6243</v>
      </c>
      <c r="L370" s="20">
        <v>0.1</v>
      </c>
      <c r="M370" s="19">
        <v>3049</v>
      </c>
      <c r="N370" s="19">
        <f>(tbl_raw[[#This Row],[Selling_Price]]-tbl_raw[[#This Row],[Cost_Price]])*tbl_raw[[#This Row],[Units_Sold]]</f>
        <v>6388</v>
      </c>
      <c r="O370" s="20">
        <f>IFERROR((tbl_raw[[#This Row],[Selling_Price]]-tbl_raw[[#This Row],[Cost_Price]]) / tbl_raw[[#This Row],[Selling_Price]],0)</f>
        <v>0.51161300656735542</v>
      </c>
      <c r="P370" s="19">
        <v>125</v>
      </c>
      <c r="Q370" s="19">
        <f>tbl_raw[[#This Row],[Gross_Profit]]-(tbl_raw[[#This Row],[Shipping_Cost]]*tbl_raw[[#This Row],[Units_Sold]])</f>
        <v>6138</v>
      </c>
      <c r="R370" s="20">
        <f>IFERROR(tbl_raw[[#This Row],[Net_Profit]]/(tbl_raw[[#This Row],[Selling_Price]]*tbl_raw[[#This Row],[Units_Sold]]),0)</f>
        <v>0.49159058145122536</v>
      </c>
      <c r="S370" s="18" t="s">
        <v>107</v>
      </c>
      <c r="T370" s="18" t="s">
        <v>86</v>
      </c>
      <c r="U370" s="18">
        <f>IF(tbl_raw[[#This Row],[Order_Status]]="Returned",1,0)</f>
        <v>1</v>
      </c>
      <c r="V370" s="18">
        <f>IF(tbl_raw[[#This Row],[Payment_Method]]="COD",1,0)</f>
        <v>0</v>
      </c>
      <c r="W370" s="21">
        <f>MIN(1,(tbl_raw[[#This Row],[Discount_Pct]]*1.4)+(tbl_raw[[#This Row],[COD_Flag]]*0.35))</f>
        <v>0.13999999999999999</v>
      </c>
    </row>
    <row r="371" spans="1:23" ht="22.8" x14ac:dyDescent="0.3">
      <c r="A371" s="22" t="s">
        <v>1067</v>
      </c>
      <c r="B371" s="23" t="s">
        <v>1068</v>
      </c>
      <c r="C371" s="23" t="s">
        <v>199</v>
      </c>
      <c r="D371" s="23" t="s">
        <v>78</v>
      </c>
      <c r="E371" s="23" t="s">
        <v>118</v>
      </c>
      <c r="F371" s="23" t="s">
        <v>1069</v>
      </c>
      <c r="G371" s="23" t="s">
        <v>139</v>
      </c>
      <c r="H371" s="23" t="s">
        <v>48</v>
      </c>
      <c r="I371" s="23">
        <v>19</v>
      </c>
      <c r="J371" s="24">
        <v>6311</v>
      </c>
      <c r="K371" s="24">
        <v>4986</v>
      </c>
      <c r="L371" s="25">
        <v>0.21</v>
      </c>
      <c r="M371" s="24">
        <v>3841</v>
      </c>
      <c r="N371" s="24">
        <f>(tbl_raw[[#This Row],[Selling_Price]]-tbl_raw[[#This Row],[Cost_Price]])*tbl_raw[[#This Row],[Units_Sold]]</f>
        <v>21755</v>
      </c>
      <c r="O371" s="25">
        <f>IFERROR((tbl_raw[[#This Row],[Selling_Price]]-tbl_raw[[#This Row],[Cost_Price]]) / tbl_raw[[#This Row],[Selling_Price]],0)</f>
        <v>0.22964300040112315</v>
      </c>
      <c r="P371" s="24">
        <v>86</v>
      </c>
      <c r="Q371" s="24">
        <f>tbl_raw[[#This Row],[Gross_Profit]]-(tbl_raw[[#This Row],[Shipping_Cost]]*tbl_raw[[#This Row],[Units_Sold]])</f>
        <v>20121</v>
      </c>
      <c r="R371" s="25">
        <f>IFERROR(tbl_raw[[#This Row],[Net_Profit]]/(tbl_raw[[#This Row],[Selling_Price]]*tbl_raw[[#This Row],[Units_Sold]]),0)</f>
        <v>0.21239470517448858</v>
      </c>
      <c r="S371" s="23" t="s">
        <v>58</v>
      </c>
      <c r="T371" s="23" t="s">
        <v>32</v>
      </c>
      <c r="U371" s="23">
        <f>IF(tbl_raw[[#This Row],[Order_Status]]="Returned",1,0)</f>
        <v>0</v>
      </c>
      <c r="V371" s="23">
        <f>IF(tbl_raw[[#This Row],[Payment_Method]]="COD",1,0)</f>
        <v>0</v>
      </c>
      <c r="W371" s="26">
        <f>MIN(1,(tbl_raw[[#This Row],[Discount_Pct]]*1.4)+(tbl_raw[[#This Row],[COD_Flag]]*0.35))</f>
        <v>0.29399999999999998</v>
      </c>
    </row>
    <row r="372" spans="1:23" ht="22.8" x14ac:dyDescent="0.3">
      <c r="A372" s="17" t="s">
        <v>1070</v>
      </c>
      <c r="B372" s="18" t="s">
        <v>341</v>
      </c>
      <c r="C372" s="18" t="s">
        <v>25</v>
      </c>
      <c r="D372" s="18" t="s">
        <v>44</v>
      </c>
      <c r="E372" s="18" t="s">
        <v>45</v>
      </c>
      <c r="F372" s="18" t="s">
        <v>1071</v>
      </c>
      <c r="G372" s="18" t="s">
        <v>56</v>
      </c>
      <c r="H372" s="18" t="s">
        <v>57</v>
      </c>
      <c r="I372" s="18">
        <v>5</v>
      </c>
      <c r="J372" s="19">
        <v>5670</v>
      </c>
      <c r="K372" s="19">
        <v>3629</v>
      </c>
      <c r="L372" s="20">
        <v>0.36</v>
      </c>
      <c r="M372" s="19">
        <v>2518</v>
      </c>
      <c r="N372" s="19">
        <f>(tbl_raw[[#This Row],[Selling_Price]]-tbl_raw[[#This Row],[Cost_Price]])*tbl_raw[[#This Row],[Units_Sold]]</f>
        <v>5555</v>
      </c>
      <c r="O372" s="20">
        <f>IFERROR((tbl_raw[[#This Row],[Selling_Price]]-tbl_raw[[#This Row],[Cost_Price]]) / tbl_raw[[#This Row],[Selling_Price]],0)</f>
        <v>0.306144943510609</v>
      </c>
      <c r="P372" s="19">
        <v>65</v>
      </c>
      <c r="Q372" s="19">
        <f>tbl_raw[[#This Row],[Gross_Profit]]-(tbl_raw[[#This Row],[Shipping_Cost]]*tbl_raw[[#This Row],[Units_Sold]])</f>
        <v>5230</v>
      </c>
      <c r="R372" s="20">
        <f>IFERROR(tbl_raw[[#This Row],[Net_Profit]]/(tbl_raw[[#This Row],[Selling_Price]]*tbl_raw[[#This Row],[Units_Sold]]),0)</f>
        <v>0.28823367318820614</v>
      </c>
      <c r="S372" s="18" t="s">
        <v>65</v>
      </c>
      <c r="T372" s="18" t="s">
        <v>86</v>
      </c>
      <c r="U372" s="18">
        <f>IF(tbl_raw[[#This Row],[Order_Status]]="Returned",1,0)</f>
        <v>1</v>
      </c>
      <c r="V372" s="18">
        <f>IF(tbl_raw[[#This Row],[Payment_Method]]="COD",1,0)</f>
        <v>0</v>
      </c>
      <c r="W372" s="21">
        <f>MIN(1,(tbl_raw[[#This Row],[Discount_Pct]]*1.4)+(tbl_raw[[#This Row],[COD_Flag]]*0.35))</f>
        <v>0.504</v>
      </c>
    </row>
    <row r="373" spans="1:23" ht="22.8" x14ac:dyDescent="0.3">
      <c r="A373" s="22" t="s">
        <v>1072</v>
      </c>
      <c r="B373" s="23" t="s">
        <v>384</v>
      </c>
      <c r="C373" s="23" t="s">
        <v>117</v>
      </c>
      <c r="D373" s="23" t="s">
        <v>94</v>
      </c>
      <c r="E373" s="23" t="s">
        <v>207</v>
      </c>
      <c r="F373" s="23" t="s">
        <v>1073</v>
      </c>
      <c r="G373" s="23" t="s">
        <v>47</v>
      </c>
      <c r="H373" s="23" t="s">
        <v>48</v>
      </c>
      <c r="I373" s="23">
        <v>12</v>
      </c>
      <c r="J373" s="24">
        <v>5850</v>
      </c>
      <c r="K373" s="24">
        <v>5206</v>
      </c>
      <c r="L373" s="25">
        <v>0.11</v>
      </c>
      <c r="M373" s="24">
        <v>2421</v>
      </c>
      <c r="N373" s="24">
        <f>(tbl_raw[[#This Row],[Selling_Price]]-tbl_raw[[#This Row],[Cost_Price]])*tbl_raw[[#This Row],[Units_Sold]]</f>
        <v>33420</v>
      </c>
      <c r="O373" s="25">
        <f>IFERROR((tbl_raw[[#This Row],[Selling_Price]]-tbl_raw[[#This Row],[Cost_Price]]) / tbl_raw[[#This Row],[Selling_Price]],0)</f>
        <v>0.53495966192854394</v>
      </c>
      <c r="P373" s="24">
        <v>136</v>
      </c>
      <c r="Q373" s="24">
        <f>tbl_raw[[#This Row],[Gross_Profit]]-(tbl_raw[[#This Row],[Shipping_Cost]]*tbl_raw[[#This Row],[Units_Sold]])</f>
        <v>31788</v>
      </c>
      <c r="R373" s="25">
        <f>IFERROR(tbl_raw[[#This Row],[Net_Profit]]/(tbl_raw[[#This Row],[Selling_Price]]*tbl_raw[[#This Row],[Units_Sold]]),0)</f>
        <v>0.50883595850941221</v>
      </c>
      <c r="S373" s="23" t="s">
        <v>65</v>
      </c>
      <c r="T373" s="23" t="s">
        <v>32</v>
      </c>
      <c r="U373" s="23">
        <f>IF(tbl_raw[[#This Row],[Order_Status]]="Returned",1,0)</f>
        <v>0</v>
      </c>
      <c r="V373" s="23">
        <f>IF(tbl_raw[[#This Row],[Payment_Method]]="COD",1,0)</f>
        <v>0</v>
      </c>
      <c r="W373" s="26">
        <f>MIN(1,(tbl_raw[[#This Row],[Discount_Pct]]*1.4)+(tbl_raw[[#This Row],[COD_Flag]]*0.35))</f>
        <v>0.154</v>
      </c>
    </row>
    <row r="374" spans="1:23" ht="22.8" x14ac:dyDescent="0.3">
      <c r="A374" s="17" t="s">
        <v>1074</v>
      </c>
      <c r="B374" s="18" t="s">
        <v>348</v>
      </c>
      <c r="C374" s="18" t="s">
        <v>35</v>
      </c>
      <c r="D374" s="18" t="s">
        <v>164</v>
      </c>
      <c r="E374" s="18" t="s">
        <v>345</v>
      </c>
      <c r="F374" s="18" t="s">
        <v>1075</v>
      </c>
      <c r="G374" s="18" t="s">
        <v>56</v>
      </c>
      <c r="H374" s="18" t="s">
        <v>57</v>
      </c>
      <c r="I374" s="18">
        <v>15</v>
      </c>
      <c r="J374" s="19">
        <v>2348</v>
      </c>
      <c r="K374" s="19">
        <v>1479</v>
      </c>
      <c r="L374" s="20">
        <v>0.37</v>
      </c>
      <c r="M374" s="19">
        <v>1691</v>
      </c>
      <c r="N374" s="19">
        <f>(tbl_raw[[#This Row],[Selling_Price]]-tbl_raw[[#This Row],[Cost_Price]])*tbl_raw[[#This Row],[Units_Sold]]</f>
        <v>-3180</v>
      </c>
      <c r="O374" s="20">
        <f>IFERROR((tbl_raw[[#This Row],[Selling_Price]]-tbl_raw[[#This Row],[Cost_Price]]) / tbl_raw[[#This Row],[Selling_Price]],0)</f>
        <v>-0.14334009465855307</v>
      </c>
      <c r="P374" s="19">
        <v>113</v>
      </c>
      <c r="Q374" s="19">
        <f>tbl_raw[[#This Row],[Gross_Profit]]-(tbl_raw[[#This Row],[Shipping_Cost]]*tbl_raw[[#This Row],[Units_Sold]])</f>
        <v>-4875</v>
      </c>
      <c r="R374" s="20">
        <f>IFERROR(tbl_raw[[#This Row],[Net_Profit]]/(tbl_raw[[#This Row],[Selling_Price]]*tbl_raw[[#This Row],[Units_Sold]]),0)</f>
        <v>-0.21974306964164977</v>
      </c>
      <c r="S374" s="18" t="s">
        <v>58</v>
      </c>
      <c r="T374" s="18" t="s">
        <v>32</v>
      </c>
      <c r="U374" s="18">
        <f>IF(tbl_raw[[#This Row],[Order_Status]]="Returned",1,0)</f>
        <v>0</v>
      </c>
      <c r="V374" s="18">
        <f>IF(tbl_raw[[#This Row],[Payment_Method]]="COD",1,0)</f>
        <v>0</v>
      </c>
      <c r="W374" s="21">
        <f>MIN(1,(tbl_raw[[#This Row],[Discount_Pct]]*1.4)+(tbl_raw[[#This Row],[COD_Flag]]*0.35))</f>
        <v>0.51800000000000002</v>
      </c>
    </row>
    <row r="375" spans="1:23" ht="22.8" x14ac:dyDescent="0.3">
      <c r="A375" s="22" t="s">
        <v>1076</v>
      </c>
      <c r="B375" s="23" t="s">
        <v>1077</v>
      </c>
      <c r="C375" s="23" t="s">
        <v>99</v>
      </c>
      <c r="D375" s="23" t="s">
        <v>44</v>
      </c>
      <c r="E375" s="23" t="s">
        <v>275</v>
      </c>
      <c r="F375" s="23" t="s">
        <v>1078</v>
      </c>
      <c r="G375" s="23" t="s">
        <v>38</v>
      </c>
      <c r="H375" s="23" t="s">
        <v>39</v>
      </c>
      <c r="I375" s="23">
        <v>13</v>
      </c>
      <c r="J375" s="24">
        <v>5923</v>
      </c>
      <c r="K375" s="24">
        <v>3554</v>
      </c>
      <c r="L375" s="25">
        <v>0.4</v>
      </c>
      <c r="M375" s="24">
        <v>3654</v>
      </c>
      <c r="N375" s="24">
        <f>(tbl_raw[[#This Row],[Selling_Price]]-tbl_raw[[#This Row],[Cost_Price]])*tbl_raw[[#This Row],[Units_Sold]]</f>
        <v>-1300</v>
      </c>
      <c r="O375" s="25">
        <f>IFERROR((tbl_raw[[#This Row],[Selling_Price]]-tbl_raw[[#This Row],[Cost_Price]]) / tbl_raw[[#This Row],[Selling_Price]],0)</f>
        <v>-2.8137310073157007E-2</v>
      </c>
      <c r="P375" s="24">
        <v>85</v>
      </c>
      <c r="Q375" s="24">
        <f>tbl_raw[[#This Row],[Gross_Profit]]-(tbl_raw[[#This Row],[Shipping_Cost]]*tbl_raw[[#This Row],[Units_Sold]])</f>
        <v>-2405</v>
      </c>
      <c r="R375" s="25">
        <f>IFERROR(tbl_raw[[#This Row],[Net_Profit]]/(tbl_raw[[#This Row],[Selling_Price]]*tbl_raw[[#This Row],[Units_Sold]]),0)</f>
        <v>-5.2054023635340459E-2</v>
      </c>
      <c r="S375" s="23" t="s">
        <v>65</v>
      </c>
      <c r="T375" s="23" t="s">
        <v>32</v>
      </c>
      <c r="U375" s="23">
        <f>IF(tbl_raw[[#This Row],[Order_Status]]="Returned",1,0)</f>
        <v>0</v>
      </c>
      <c r="V375" s="23">
        <f>IF(tbl_raw[[#This Row],[Payment_Method]]="COD",1,0)</f>
        <v>0</v>
      </c>
      <c r="W375" s="26">
        <f>MIN(1,(tbl_raw[[#This Row],[Discount_Pct]]*1.4)+(tbl_raw[[#This Row],[COD_Flag]]*0.35))</f>
        <v>0.55999999999999994</v>
      </c>
    </row>
    <row r="376" spans="1:23" ht="22.8" x14ac:dyDescent="0.3">
      <c r="A376" s="17" t="s">
        <v>1079</v>
      </c>
      <c r="B376" s="18" t="s">
        <v>1080</v>
      </c>
      <c r="C376" s="18" t="s">
        <v>25</v>
      </c>
      <c r="D376" s="18" t="s">
        <v>78</v>
      </c>
      <c r="E376" s="18" t="s">
        <v>118</v>
      </c>
      <c r="F376" s="18" t="s">
        <v>1081</v>
      </c>
      <c r="G376" s="18" t="s">
        <v>75</v>
      </c>
      <c r="H376" s="18" t="s">
        <v>48</v>
      </c>
      <c r="I376" s="18">
        <v>18</v>
      </c>
      <c r="J376" s="19">
        <v>1402</v>
      </c>
      <c r="K376" s="19">
        <v>1220</v>
      </c>
      <c r="L376" s="20">
        <v>0.13</v>
      </c>
      <c r="M376" s="19">
        <v>762</v>
      </c>
      <c r="N376" s="19">
        <f>(tbl_raw[[#This Row],[Selling_Price]]-tbl_raw[[#This Row],[Cost_Price]])*tbl_raw[[#This Row],[Units_Sold]]</f>
        <v>8244</v>
      </c>
      <c r="O376" s="20">
        <f>IFERROR((tbl_raw[[#This Row],[Selling_Price]]-tbl_raw[[#This Row],[Cost_Price]]) / tbl_raw[[#This Row],[Selling_Price]],0)</f>
        <v>0.37540983606557377</v>
      </c>
      <c r="P376" s="19">
        <v>78</v>
      </c>
      <c r="Q376" s="19">
        <f>tbl_raw[[#This Row],[Gross_Profit]]-(tbl_raw[[#This Row],[Shipping_Cost]]*tbl_raw[[#This Row],[Units_Sold]])</f>
        <v>6840</v>
      </c>
      <c r="R376" s="20">
        <f>IFERROR(tbl_raw[[#This Row],[Net_Profit]]/(tbl_raw[[#This Row],[Selling_Price]]*tbl_raw[[#This Row],[Units_Sold]]),0)</f>
        <v>0.31147540983606559</v>
      </c>
      <c r="S376" s="18" t="s">
        <v>58</v>
      </c>
      <c r="T376" s="18" t="s">
        <v>32</v>
      </c>
      <c r="U376" s="18">
        <f>IF(tbl_raw[[#This Row],[Order_Status]]="Returned",1,0)</f>
        <v>0</v>
      </c>
      <c r="V376" s="18">
        <f>IF(tbl_raw[[#This Row],[Payment_Method]]="COD",1,0)</f>
        <v>0</v>
      </c>
      <c r="W376" s="21">
        <f>MIN(1,(tbl_raw[[#This Row],[Discount_Pct]]*1.4)+(tbl_raw[[#This Row],[COD_Flag]]*0.35))</f>
        <v>0.182</v>
      </c>
    </row>
    <row r="377" spans="1:23" ht="22.8" x14ac:dyDescent="0.3">
      <c r="A377" s="22" t="s">
        <v>1082</v>
      </c>
      <c r="B377" s="23" t="s">
        <v>1083</v>
      </c>
      <c r="C377" s="23" t="s">
        <v>43</v>
      </c>
      <c r="D377" s="23" t="s">
        <v>26</v>
      </c>
      <c r="E377" s="23" t="s">
        <v>100</v>
      </c>
      <c r="F377" s="23" t="s">
        <v>1084</v>
      </c>
      <c r="G377" s="23" t="s">
        <v>75</v>
      </c>
      <c r="H377" s="23" t="s">
        <v>48</v>
      </c>
      <c r="I377" s="23">
        <v>7</v>
      </c>
      <c r="J377" s="24">
        <v>970</v>
      </c>
      <c r="K377" s="24">
        <v>718</v>
      </c>
      <c r="L377" s="25">
        <v>0.26</v>
      </c>
      <c r="M377" s="24">
        <v>672</v>
      </c>
      <c r="N377" s="24">
        <f>(tbl_raw[[#This Row],[Selling_Price]]-tbl_raw[[#This Row],[Cost_Price]])*tbl_raw[[#This Row],[Units_Sold]]</f>
        <v>322</v>
      </c>
      <c r="O377" s="25">
        <f>IFERROR((tbl_raw[[#This Row],[Selling_Price]]-tbl_raw[[#This Row],[Cost_Price]]) / tbl_raw[[#This Row],[Selling_Price]],0)</f>
        <v>6.4066852367688026E-2</v>
      </c>
      <c r="P377" s="24">
        <v>129</v>
      </c>
      <c r="Q377" s="24">
        <f>tbl_raw[[#This Row],[Gross_Profit]]-(tbl_raw[[#This Row],[Shipping_Cost]]*tbl_raw[[#This Row],[Units_Sold]])</f>
        <v>-581</v>
      </c>
      <c r="R377" s="25">
        <f>IFERROR(tbl_raw[[#This Row],[Net_Profit]]/(tbl_raw[[#This Row],[Selling_Price]]*tbl_raw[[#This Row],[Units_Sold]]),0)</f>
        <v>-0.11559888579387187</v>
      </c>
      <c r="S377" s="23" t="s">
        <v>65</v>
      </c>
      <c r="T377" s="23" t="s">
        <v>32</v>
      </c>
      <c r="U377" s="23">
        <f>IF(tbl_raw[[#This Row],[Order_Status]]="Returned",1,0)</f>
        <v>0</v>
      </c>
      <c r="V377" s="23">
        <f>IF(tbl_raw[[#This Row],[Payment_Method]]="COD",1,0)</f>
        <v>0</v>
      </c>
      <c r="W377" s="26">
        <f>MIN(1,(tbl_raw[[#This Row],[Discount_Pct]]*1.4)+(tbl_raw[[#This Row],[COD_Flag]]*0.35))</f>
        <v>0.36399999999999999</v>
      </c>
    </row>
    <row r="378" spans="1:23" ht="22.8" x14ac:dyDescent="0.3">
      <c r="A378" s="17" t="s">
        <v>1085</v>
      </c>
      <c r="B378" s="18" t="s">
        <v>446</v>
      </c>
      <c r="C378" s="18" t="s">
        <v>132</v>
      </c>
      <c r="D378" s="18" t="s">
        <v>94</v>
      </c>
      <c r="E378" s="18" t="s">
        <v>137</v>
      </c>
      <c r="F378" s="18" t="s">
        <v>1086</v>
      </c>
      <c r="G378" s="18" t="s">
        <v>120</v>
      </c>
      <c r="H378" s="18" t="s">
        <v>39</v>
      </c>
      <c r="I378" s="18">
        <v>1</v>
      </c>
      <c r="J378" s="19">
        <v>7456</v>
      </c>
      <c r="K378" s="19">
        <v>6785</v>
      </c>
      <c r="L378" s="20">
        <v>0.09</v>
      </c>
      <c r="M378" s="19">
        <v>4265</v>
      </c>
      <c r="N378" s="19">
        <f>(tbl_raw[[#This Row],[Selling_Price]]-tbl_raw[[#This Row],[Cost_Price]])*tbl_raw[[#This Row],[Units_Sold]]</f>
        <v>2520</v>
      </c>
      <c r="O378" s="20">
        <f>IFERROR((tbl_raw[[#This Row],[Selling_Price]]-tbl_raw[[#This Row],[Cost_Price]]) / tbl_raw[[#This Row],[Selling_Price]],0)</f>
        <v>0.37140751658069271</v>
      </c>
      <c r="P378" s="19">
        <v>163</v>
      </c>
      <c r="Q378" s="19">
        <f>tbl_raw[[#This Row],[Gross_Profit]]-(tbl_raw[[#This Row],[Shipping_Cost]]*tbl_raw[[#This Row],[Units_Sold]])</f>
        <v>2357</v>
      </c>
      <c r="R378" s="20">
        <f>IFERROR(tbl_raw[[#This Row],[Net_Profit]]/(tbl_raw[[#This Row],[Selling_Price]]*tbl_raw[[#This Row],[Units_Sold]]),0)</f>
        <v>0.34738393515106852</v>
      </c>
      <c r="S378" s="18" t="s">
        <v>58</v>
      </c>
      <c r="T378" s="18" t="s">
        <v>32</v>
      </c>
      <c r="U378" s="18">
        <f>IF(tbl_raw[[#This Row],[Order_Status]]="Returned",1,0)</f>
        <v>0</v>
      </c>
      <c r="V378" s="18">
        <f>IF(tbl_raw[[#This Row],[Payment_Method]]="COD",1,0)</f>
        <v>0</v>
      </c>
      <c r="W378" s="21">
        <f>MIN(1,(tbl_raw[[#This Row],[Discount_Pct]]*1.4)+(tbl_raw[[#This Row],[COD_Flag]]*0.35))</f>
        <v>0.126</v>
      </c>
    </row>
    <row r="379" spans="1:23" ht="22.8" x14ac:dyDescent="0.3">
      <c r="A379" s="22" t="s">
        <v>1087</v>
      </c>
      <c r="B379" s="23" t="s">
        <v>829</v>
      </c>
      <c r="C379" s="23" t="s">
        <v>89</v>
      </c>
      <c r="D379" s="23" t="s">
        <v>78</v>
      </c>
      <c r="E379" s="23" t="s">
        <v>79</v>
      </c>
      <c r="F379" s="23" t="s">
        <v>1088</v>
      </c>
      <c r="G379" s="23" t="s">
        <v>139</v>
      </c>
      <c r="H379" s="23" t="s">
        <v>48</v>
      </c>
      <c r="I379" s="23">
        <v>20</v>
      </c>
      <c r="J379" s="24">
        <v>2273</v>
      </c>
      <c r="K379" s="24">
        <v>2228</v>
      </c>
      <c r="L379" s="25">
        <v>0.02</v>
      </c>
      <c r="M379" s="24">
        <v>965</v>
      </c>
      <c r="N379" s="24">
        <f>(tbl_raw[[#This Row],[Selling_Price]]-tbl_raw[[#This Row],[Cost_Price]])*tbl_raw[[#This Row],[Units_Sold]]</f>
        <v>25260</v>
      </c>
      <c r="O379" s="25">
        <f>IFERROR((tbl_raw[[#This Row],[Selling_Price]]-tbl_raw[[#This Row],[Cost_Price]]) / tbl_raw[[#This Row],[Selling_Price]],0)</f>
        <v>0.56687612208258531</v>
      </c>
      <c r="P379" s="24">
        <v>76</v>
      </c>
      <c r="Q379" s="24">
        <f>tbl_raw[[#This Row],[Gross_Profit]]-(tbl_raw[[#This Row],[Shipping_Cost]]*tbl_raw[[#This Row],[Units_Sold]])</f>
        <v>23740</v>
      </c>
      <c r="R379" s="25">
        <f>IFERROR(tbl_raw[[#This Row],[Net_Profit]]/(tbl_raw[[#This Row],[Selling_Price]]*tbl_raw[[#This Row],[Units_Sold]]),0)</f>
        <v>0.53276481149012567</v>
      </c>
      <c r="S379" s="23" t="s">
        <v>40</v>
      </c>
      <c r="T379" s="23" t="s">
        <v>32</v>
      </c>
      <c r="U379" s="23">
        <f>IF(tbl_raw[[#This Row],[Order_Status]]="Returned",1,0)</f>
        <v>0</v>
      </c>
      <c r="V379" s="23">
        <f>IF(tbl_raw[[#This Row],[Payment_Method]]="COD",1,0)</f>
        <v>1</v>
      </c>
      <c r="W379" s="26">
        <f>MIN(1,(tbl_raw[[#This Row],[Discount_Pct]]*1.4)+(tbl_raw[[#This Row],[COD_Flag]]*0.35))</f>
        <v>0.378</v>
      </c>
    </row>
    <row r="380" spans="1:23" ht="22.8" x14ac:dyDescent="0.3">
      <c r="A380" s="17" t="s">
        <v>1089</v>
      </c>
      <c r="B380" s="18" t="s">
        <v>1015</v>
      </c>
      <c r="C380" s="18" t="s">
        <v>156</v>
      </c>
      <c r="D380" s="18" t="s">
        <v>78</v>
      </c>
      <c r="E380" s="18" t="s">
        <v>118</v>
      </c>
      <c r="F380" s="18" t="s">
        <v>1090</v>
      </c>
      <c r="G380" s="18" t="s">
        <v>38</v>
      </c>
      <c r="H380" s="18" t="s">
        <v>39</v>
      </c>
      <c r="I380" s="18">
        <v>8</v>
      </c>
      <c r="J380" s="19">
        <v>4646</v>
      </c>
      <c r="K380" s="19">
        <v>2648</v>
      </c>
      <c r="L380" s="20">
        <v>0.43</v>
      </c>
      <c r="M380" s="19">
        <v>2766</v>
      </c>
      <c r="N380" s="19">
        <f>(tbl_raw[[#This Row],[Selling_Price]]-tbl_raw[[#This Row],[Cost_Price]])*tbl_raw[[#This Row],[Units_Sold]]</f>
        <v>-944</v>
      </c>
      <c r="O380" s="20">
        <f>IFERROR((tbl_raw[[#This Row],[Selling_Price]]-tbl_raw[[#This Row],[Cost_Price]]) / tbl_raw[[#This Row],[Selling_Price]],0)</f>
        <v>-4.4561933534743199E-2</v>
      </c>
      <c r="P380" s="19">
        <v>114</v>
      </c>
      <c r="Q380" s="19">
        <f>tbl_raw[[#This Row],[Gross_Profit]]-(tbl_raw[[#This Row],[Shipping_Cost]]*tbl_raw[[#This Row],[Units_Sold]])</f>
        <v>-1856</v>
      </c>
      <c r="R380" s="20">
        <f>IFERROR(tbl_raw[[#This Row],[Net_Profit]]/(tbl_raw[[#This Row],[Selling_Price]]*tbl_raw[[#This Row],[Units_Sold]]),0)</f>
        <v>-8.7613293051359523E-2</v>
      </c>
      <c r="S380" s="18" t="s">
        <v>58</v>
      </c>
      <c r="T380" s="18" t="s">
        <v>32</v>
      </c>
      <c r="U380" s="18">
        <f>IF(tbl_raw[[#This Row],[Order_Status]]="Returned",1,0)</f>
        <v>0</v>
      </c>
      <c r="V380" s="18">
        <f>IF(tbl_raw[[#This Row],[Payment_Method]]="COD",1,0)</f>
        <v>0</v>
      </c>
      <c r="W380" s="21">
        <f>MIN(1,(tbl_raw[[#This Row],[Discount_Pct]]*1.4)+(tbl_raw[[#This Row],[COD_Flag]]*0.35))</f>
        <v>0.60199999999999998</v>
      </c>
    </row>
    <row r="381" spans="1:23" ht="22.8" x14ac:dyDescent="0.3">
      <c r="A381" s="22" t="s">
        <v>1091</v>
      </c>
      <c r="B381" s="23" t="s">
        <v>1092</v>
      </c>
      <c r="C381" s="23" t="s">
        <v>25</v>
      </c>
      <c r="D381" s="23" t="s">
        <v>78</v>
      </c>
      <c r="E381" s="23" t="s">
        <v>296</v>
      </c>
      <c r="F381" s="23" t="s">
        <v>1093</v>
      </c>
      <c r="G381" s="23" t="s">
        <v>81</v>
      </c>
      <c r="H381" s="23" t="s">
        <v>30</v>
      </c>
      <c r="I381" s="23">
        <v>18</v>
      </c>
      <c r="J381" s="24">
        <v>3332</v>
      </c>
      <c r="K381" s="24">
        <v>2832</v>
      </c>
      <c r="L381" s="25">
        <v>0.15</v>
      </c>
      <c r="M381" s="24">
        <v>1517</v>
      </c>
      <c r="N381" s="24">
        <f>(tbl_raw[[#This Row],[Selling_Price]]-tbl_raw[[#This Row],[Cost_Price]])*tbl_raw[[#This Row],[Units_Sold]]</f>
        <v>23670</v>
      </c>
      <c r="O381" s="25">
        <f>IFERROR((tbl_raw[[#This Row],[Selling_Price]]-tbl_raw[[#This Row],[Cost_Price]]) / tbl_raw[[#This Row],[Selling_Price]],0)</f>
        <v>0.4643361581920904</v>
      </c>
      <c r="P381" s="24">
        <v>180</v>
      </c>
      <c r="Q381" s="24">
        <f>tbl_raw[[#This Row],[Gross_Profit]]-(tbl_raw[[#This Row],[Shipping_Cost]]*tbl_raw[[#This Row],[Units_Sold]])</f>
        <v>20430</v>
      </c>
      <c r="R381" s="25">
        <f>IFERROR(tbl_raw[[#This Row],[Net_Profit]]/(tbl_raw[[#This Row],[Selling_Price]]*tbl_raw[[#This Row],[Units_Sold]]),0)</f>
        <v>0.4007768361581921</v>
      </c>
      <c r="S381" s="23" t="s">
        <v>31</v>
      </c>
      <c r="T381" s="23" t="s">
        <v>49</v>
      </c>
      <c r="U381" s="23">
        <f>IF(tbl_raw[[#This Row],[Order_Status]]="Returned",1,0)</f>
        <v>0</v>
      </c>
      <c r="V381" s="23">
        <f>IF(tbl_raw[[#This Row],[Payment_Method]]="COD",1,0)</f>
        <v>0</v>
      </c>
      <c r="W381" s="26">
        <f>MIN(1,(tbl_raw[[#This Row],[Discount_Pct]]*1.4)+(tbl_raw[[#This Row],[COD_Flag]]*0.35))</f>
        <v>0.21</v>
      </c>
    </row>
    <row r="382" spans="1:23" ht="22.8" x14ac:dyDescent="0.3">
      <c r="A382" s="17" t="s">
        <v>1094</v>
      </c>
      <c r="B382" s="18" t="s">
        <v>1095</v>
      </c>
      <c r="C382" s="18" t="s">
        <v>105</v>
      </c>
      <c r="D382" s="18" t="s">
        <v>44</v>
      </c>
      <c r="E382" s="18" t="s">
        <v>275</v>
      </c>
      <c r="F382" s="18" t="s">
        <v>1096</v>
      </c>
      <c r="G382" s="18" t="s">
        <v>47</v>
      </c>
      <c r="H382" s="18" t="s">
        <v>48</v>
      </c>
      <c r="I382" s="18">
        <v>11</v>
      </c>
      <c r="J382" s="19">
        <v>4946</v>
      </c>
      <c r="K382" s="19">
        <v>3710</v>
      </c>
      <c r="L382" s="20">
        <v>0.25</v>
      </c>
      <c r="M382" s="19">
        <v>2349</v>
      </c>
      <c r="N382" s="19">
        <f>(tbl_raw[[#This Row],[Selling_Price]]-tbl_raw[[#This Row],[Cost_Price]])*tbl_raw[[#This Row],[Units_Sold]]</f>
        <v>14971</v>
      </c>
      <c r="O382" s="20">
        <f>IFERROR((tbl_raw[[#This Row],[Selling_Price]]-tbl_raw[[#This Row],[Cost_Price]]) / tbl_raw[[#This Row],[Selling_Price]],0)</f>
        <v>0.36684636118598385</v>
      </c>
      <c r="P382" s="19">
        <v>145</v>
      </c>
      <c r="Q382" s="19">
        <f>tbl_raw[[#This Row],[Gross_Profit]]-(tbl_raw[[#This Row],[Shipping_Cost]]*tbl_raw[[#This Row],[Units_Sold]])</f>
        <v>13376</v>
      </c>
      <c r="R382" s="20">
        <f>IFERROR(tbl_raw[[#This Row],[Net_Profit]]/(tbl_raw[[#This Row],[Selling_Price]]*tbl_raw[[#This Row],[Units_Sold]]),0)</f>
        <v>0.32776280323450135</v>
      </c>
      <c r="S382" s="18" t="s">
        <v>107</v>
      </c>
      <c r="T382" s="18" t="s">
        <v>32</v>
      </c>
      <c r="U382" s="18">
        <f>IF(tbl_raw[[#This Row],[Order_Status]]="Returned",1,0)</f>
        <v>0</v>
      </c>
      <c r="V382" s="18">
        <f>IF(tbl_raw[[#This Row],[Payment_Method]]="COD",1,0)</f>
        <v>0</v>
      </c>
      <c r="W382" s="21">
        <f>MIN(1,(tbl_raw[[#This Row],[Discount_Pct]]*1.4)+(tbl_raw[[#This Row],[COD_Flag]]*0.35))</f>
        <v>0.35</v>
      </c>
    </row>
    <row r="383" spans="1:23" ht="22.8" x14ac:dyDescent="0.3">
      <c r="A383" s="22" t="s">
        <v>1097</v>
      </c>
      <c r="B383" s="23" t="s">
        <v>387</v>
      </c>
      <c r="C383" s="23" t="s">
        <v>52</v>
      </c>
      <c r="D383" s="23" t="s">
        <v>26</v>
      </c>
      <c r="E383" s="23" t="s">
        <v>27</v>
      </c>
      <c r="F383" s="23" t="s">
        <v>1098</v>
      </c>
      <c r="G383" s="23" t="s">
        <v>139</v>
      </c>
      <c r="H383" s="23" t="s">
        <v>48</v>
      </c>
      <c r="I383" s="23">
        <v>17</v>
      </c>
      <c r="J383" s="24">
        <v>1254</v>
      </c>
      <c r="K383" s="24">
        <v>752</v>
      </c>
      <c r="L383" s="25">
        <v>0.4</v>
      </c>
      <c r="M383" s="24">
        <v>504</v>
      </c>
      <c r="N383" s="24">
        <f>(tbl_raw[[#This Row],[Selling_Price]]-tbl_raw[[#This Row],[Cost_Price]])*tbl_raw[[#This Row],[Units_Sold]]</f>
        <v>4216</v>
      </c>
      <c r="O383" s="25">
        <f>IFERROR((tbl_raw[[#This Row],[Selling_Price]]-tbl_raw[[#This Row],[Cost_Price]]) / tbl_raw[[#This Row],[Selling_Price]],0)</f>
        <v>0.32978723404255317</v>
      </c>
      <c r="P383" s="24">
        <v>178</v>
      </c>
      <c r="Q383" s="24">
        <f>tbl_raw[[#This Row],[Gross_Profit]]-(tbl_raw[[#This Row],[Shipping_Cost]]*tbl_raw[[#This Row],[Units_Sold]])</f>
        <v>1190</v>
      </c>
      <c r="R383" s="25">
        <f>IFERROR(tbl_raw[[#This Row],[Net_Profit]]/(tbl_raw[[#This Row],[Selling_Price]]*tbl_raw[[#This Row],[Units_Sold]]),0)</f>
        <v>9.3085106382978719E-2</v>
      </c>
      <c r="S383" s="23" t="s">
        <v>40</v>
      </c>
      <c r="T383" s="23" t="s">
        <v>32</v>
      </c>
      <c r="U383" s="23">
        <f>IF(tbl_raw[[#This Row],[Order_Status]]="Returned",1,0)</f>
        <v>0</v>
      </c>
      <c r="V383" s="23">
        <f>IF(tbl_raw[[#This Row],[Payment_Method]]="COD",1,0)</f>
        <v>1</v>
      </c>
      <c r="W383" s="26">
        <f>MIN(1,(tbl_raw[[#This Row],[Discount_Pct]]*1.4)+(tbl_raw[[#This Row],[COD_Flag]]*0.35))</f>
        <v>0.90999999999999992</v>
      </c>
    </row>
    <row r="384" spans="1:23" ht="22.8" x14ac:dyDescent="0.3">
      <c r="A384" s="17" t="s">
        <v>1099</v>
      </c>
      <c r="B384" s="18" t="s">
        <v>578</v>
      </c>
      <c r="C384" s="18" t="s">
        <v>156</v>
      </c>
      <c r="D384" s="18" t="s">
        <v>53</v>
      </c>
      <c r="E384" s="18" t="s">
        <v>54</v>
      </c>
      <c r="F384" s="18" t="s">
        <v>1100</v>
      </c>
      <c r="G384" s="18" t="s">
        <v>38</v>
      </c>
      <c r="H384" s="18" t="s">
        <v>39</v>
      </c>
      <c r="I384" s="18">
        <v>19</v>
      </c>
      <c r="J384" s="19">
        <v>7422</v>
      </c>
      <c r="K384" s="19">
        <v>6902</v>
      </c>
      <c r="L384" s="20">
        <v>7.0000000000000007E-2</v>
      </c>
      <c r="M384" s="19">
        <v>3067</v>
      </c>
      <c r="N384" s="19">
        <f>(tbl_raw[[#This Row],[Selling_Price]]-tbl_raw[[#This Row],[Cost_Price]])*tbl_raw[[#This Row],[Units_Sold]]</f>
        <v>72865</v>
      </c>
      <c r="O384" s="20">
        <f>IFERROR((tbl_raw[[#This Row],[Selling_Price]]-tbl_raw[[#This Row],[Cost_Price]]) / tbl_raw[[#This Row],[Selling_Price]],0)</f>
        <v>0.55563604752245721</v>
      </c>
      <c r="P384" s="19">
        <v>83</v>
      </c>
      <c r="Q384" s="19">
        <f>tbl_raw[[#This Row],[Gross_Profit]]-(tbl_raw[[#This Row],[Shipping_Cost]]*tbl_raw[[#This Row],[Units_Sold]])</f>
        <v>71288</v>
      </c>
      <c r="R384" s="20">
        <f>IFERROR(tbl_raw[[#This Row],[Net_Profit]]/(tbl_raw[[#This Row],[Selling_Price]]*tbl_raw[[#This Row],[Units_Sold]]),0)</f>
        <v>0.54361054766734285</v>
      </c>
      <c r="S384" s="18" t="s">
        <v>40</v>
      </c>
      <c r="T384" s="18" t="s">
        <v>49</v>
      </c>
      <c r="U384" s="18">
        <f>IF(tbl_raw[[#This Row],[Order_Status]]="Returned",1,0)</f>
        <v>0</v>
      </c>
      <c r="V384" s="18">
        <f>IF(tbl_raw[[#This Row],[Payment_Method]]="COD",1,0)</f>
        <v>1</v>
      </c>
      <c r="W384" s="21">
        <f>MIN(1,(tbl_raw[[#This Row],[Discount_Pct]]*1.4)+(tbl_raw[[#This Row],[COD_Flag]]*0.35))</f>
        <v>0.44799999999999995</v>
      </c>
    </row>
    <row r="385" spans="1:23" ht="22.8" x14ac:dyDescent="0.3">
      <c r="A385" s="22" t="s">
        <v>1101</v>
      </c>
      <c r="B385" s="23" t="s">
        <v>1102</v>
      </c>
      <c r="C385" s="23" t="s">
        <v>35</v>
      </c>
      <c r="D385" s="23" t="s">
        <v>53</v>
      </c>
      <c r="E385" s="23" t="s">
        <v>160</v>
      </c>
      <c r="F385" s="23" t="s">
        <v>1103</v>
      </c>
      <c r="G385" s="23" t="s">
        <v>102</v>
      </c>
      <c r="H385" s="23" t="s">
        <v>39</v>
      </c>
      <c r="I385" s="23">
        <v>13</v>
      </c>
      <c r="J385" s="24">
        <v>4639</v>
      </c>
      <c r="K385" s="24">
        <v>4175</v>
      </c>
      <c r="L385" s="25">
        <v>0.1</v>
      </c>
      <c r="M385" s="24">
        <v>1981</v>
      </c>
      <c r="N385" s="24">
        <f>(tbl_raw[[#This Row],[Selling_Price]]-tbl_raw[[#This Row],[Cost_Price]])*tbl_raw[[#This Row],[Units_Sold]]</f>
        <v>28522</v>
      </c>
      <c r="O385" s="25">
        <f>IFERROR((tbl_raw[[#This Row],[Selling_Price]]-tbl_raw[[#This Row],[Cost_Price]]) / tbl_raw[[#This Row],[Selling_Price]],0)</f>
        <v>0.52550898203592811</v>
      </c>
      <c r="P385" s="24">
        <v>79</v>
      </c>
      <c r="Q385" s="24">
        <f>tbl_raw[[#This Row],[Gross_Profit]]-(tbl_raw[[#This Row],[Shipping_Cost]]*tbl_raw[[#This Row],[Units_Sold]])</f>
        <v>27495</v>
      </c>
      <c r="R385" s="25">
        <f>IFERROR(tbl_raw[[#This Row],[Net_Profit]]/(tbl_raw[[#This Row],[Selling_Price]]*tbl_raw[[#This Row],[Units_Sold]]),0)</f>
        <v>0.50658682634730534</v>
      </c>
      <c r="S385" s="23" t="s">
        <v>31</v>
      </c>
      <c r="T385" s="23" t="s">
        <v>86</v>
      </c>
      <c r="U385" s="23">
        <f>IF(tbl_raw[[#This Row],[Order_Status]]="Returned",1,0)</f>
        <v>1</v>
      </c>
      <c r="V385" s="23">
        <f>IF(tbl_raw[[#This Row],[Payment_Method]]="COD",1,0)</f>
        <v>0</v>
      </c>
      <c r="W385" s="26">
        <f>MIN(1,(tbl_raw[[#This Row],[Discount_Pct]]*1.4)+(tbl_raw[[#This Row],[COD_Flag]]*0.35))</f>
        <v>0.13999999999999999</v>
      </c>
    </row>
    <row r="386" spans="1:23" ht="22.8" x14ac:dyDescent="0.3">
      <c r="A386" s="17" t="s">
        <v>1104</v>
      </c>
      <c r="B386" s="18" t="s">
        <v>1105</v>
      </c>
      <c r="C386" s="18" t="s">
        <v>156</v>
      </c>
      <c r="D386" s="18" t="s">
        <v>175</v>
      </c>
      <c r="E386" s="18" t="s">
        <v>176</v>
      </c>
      <c r="F386" s="18" t="s">
        <v>1106</v>
      </c>
      <c r="G386" s="18" t="s">
        <v>143</v>
      </c>
      <c r="H386" s="18" t="s">
        <v>30</v>
      </c>
      <c r="I386" s="18">
        <v>2</v>
      </c>
      <c r="J386" s="19">
        <v>5900</v>
      </c>
      <c r="K386" s="19">
        <v>4366</v>
      </c>
      <c r="L386" s="20">
        <v>0.26</v>
      </c>
      <c r="M386" s="19">
        <v>2522</v>
      </c>
      <c r="N386" s="19">
        <f>(tbl_raw[[#This Row],[Selling_Price]]-tbl_raw[[#This Row],[Cost_Price]])*tbl_raw[[#This Row],[Units_Sold]]</f>
        <v>3688</v>
      </c>
      <c r="O386" s="20">
        <f>IFERROR((tbl_raw[[#This Row],[Selling_Price]]-tbl_raw[[#This Row],[Cost_Price]]) / tbl_raw[[#This Row],[Selling_Price]],0)</f>
        <v>0.42235455794777826</v>
      </c>
      <c r="P386" s="19">
        <v>38</v>
      </c>
      <c r="Q386" s="19">
        <f>tbl_raw[[#This Row],[Gross_Profit]]-(tbl_raw[[#This Row],[Shipping_Cost]]*tbl_raw[[#This Row],[Units_Sold]])</f>
        <v>3612</v>
      </c>
      <c r="R386" s="20">
        <f>IFERROR(tbl_raw[[#This Row],[Net_Profit]]/(tbl_raw[[#This Row],[Selling_Price]]*tbl_raw[[#This Row],[Units_Sold]]),0)</f>
        <v>0.41365093907466788</v>
      </c>
      <c r="S386" s="18" t="s">
        <v>107</v>
      </c>
      <c r="T386" s="18" t="s">
        <v>86</v>
      </c>
      <c r="U386" s="18">
        <f>IF(tbl_raw[[#This Row],[Order_Status]]="Returned",1,0)</f>
        <v>1</v>
      </c>
      <c r="V386" s="18">
        <f>IF(tbl_raw[[#This Row],[Payment_Method]]="COD",1,0)</f>
        <v>0</v>
      </c>
      <c r="W386" s="21">
        <f>MIN(1,(tbl_raw[[#This Row],[Discount_Pct]]*1.4)+(tbl_raw[[#This Row],[COD_Flag]]*0.35))</f>
        <v>0.36399999999999999</v>
      </c>
    </row>
    <row r="387" spans="1:23" ht="22.8" x14ac:dyDescent="0.3">
      <c r="A387" s="22" t="s">
        <v>1107</v>
      </c>
      <c r="B387" s="23" t="s">
        <v>779</v>
      </c>
      <c r="C387" s="23" t="s">
        <v>52</v>
      </c>
      <c r="D387" s="23" t="s">
        <v>175</v>
      </c>
      <c r="E387" s="23" t="s">
        <v>225</v>
      </c>
      <c r="F387" s="23" t="s">
        <v>1108</v>
      </c>
      <c r="G387" s="23" t="s">
        <v>102</v>
      </c>
      <c r="H387" s="23" t="s">
        <v>39</v>
      </c>
      <c r="I387" s="23">
        <v>1</v>
      </c>
      <c r="J387" s="24">
        <v>5144</v>
      </c>
      <c r="K387" s="24">
        <v>3704</v>
      </c>
      <c r="L387" s="25">
        <v>0.28000000000000003</v>
      </c>
      <c r="M387" s="24">
        <v>2155</v>
      </c>
      <c r="N387" s="24">
        <f>(tbl_raw[[#This Row],[Selling_Price]]-tbl_raw[[#This Row],[Cost_Price]])*tbl_raw[[#This Row],[Units_Sold]]</f>
        <v>1549</v>
      </c>
      <c r="O387" s="25">
        <f>IFERROR((tbl_raw[[#This Row],[Selling_Price]]-tbl_raw[[#This Row],[Cost_Price]]) / tbl_raw[[#This Row],[Selling_Price]],0)</f>
        <v>0.41819654427645786</v>
      </c>
      <c r="P387" s="24">
        <v>109</v>
      </c>
      <c r="Q387" s="24">
        <f>tbl_raw[[#This Row],[Gross_Profit]]-(tbl_raw[[#This Row],[Shipping_Cost]]*tbl_raw[[#This Row],[Units_Sold]])</f>
        <v>1440</v>
      </c>
      <c r="R387" s="25">
        <f>IFERROR(tbl_raw[[#This Row],[Net_Profit]]/(tbl_raw[[#This Row],[Selling_Price]]*tbl_raw[[#This Row],[Units_Sold]]),0)</f>
        <v>0.38876889848812096</v>
      </c>
      <c r="S387" s="23" t="s">
        <v>107</v>
      </c>
      <c r="T387" s="23" t="s">
        <v>32</v>
      </c>
      <c r="U387" s="23">
        <f>IF(tbl_raw[[#This Row],[Order_Status]]="Returned",1,0)</f>
        <v>0</v>
      </c>
      <c r="V387" s="23">
        <f>IF(tbl_raw[[#This Row],[Payment_Method]]="COD",1,0)</f>
        <v>0</v>
      </c>
      <c r="W387" s="26">
        <f>MIN(1,(tbl_raw[[#This Row],[Discount_Pct]]*1.4)+(tbl_raw[[#This Row],[COD_Flag]]*0.35))</f>
        <v>0.39200000000000002</v>
      </c>
    </row>
    <row r="388" spans="1:23" ht="22.8" x14ac:dyDescent="0.3">
      <c r="A388" s="17" t="s">
        <v>1109</v>
      </c>
      <c r="B388" s="18" t="s">
        <v>776</v>
      </c>
      <c r="C388" s="18" t="s">
        <v>105</v>
      </c>
      <c r="D388" s="18" t="s">
        <v>94</v>
      </c>
      <c r="E388" s="18" t="s">
        <v>95</v>
      </c>
      <c r="F388" s="18" t="s">
        <v>1110</v>
      </c>
      <c r="G388" s="18" t="s">
        <v>47</v>
      </c>
      <c r="H388" s="18" t="s">
        <v>48</v>
      </c>
      <c r="I388" s="18">
        <v>15</v>
      </c>
      <c r="J388" s="19">
        <v>6072</v>
      </c>
      <c r="K388" s="19">
        <v>4493</v>
      </c>
      <c r="L388" s="20">
        <v>0.26</v>
      </c>
      <c r="M388" s="19">
        <v>2620</v>
      </c>
      <c r="N388" s="19">
        <f>(tbl_raw[[#This Row],[Selling_Price]]-tbl_raw[[#This Row],[Cost_Price]])*tbl_raw[[#This Row],[Units_Sold]]</f>
        <v>28095</v>
      </c>
      <c r="O388" s="20">
        <f>IFERROR((tbl_raw[[#This Row],[Selling_Price]]-tbl_raw[[#This Row],[Cost_Price]]) / tbl_raw[[#This Row],[Selling_Price]],0)</f>
        <v>0.41687068773647895</v>
      </c>
      <c r="P388" s="19">
        <v>95</v>
      </c>
      <c r="Q388" s="19">
        <f>tbl_raw[[#This Row],[Gross_Profit]]-(tbl_raw[[#This Row],[Shipping_Cost]]*tbl_raw[[#This Row],[Units_Sold]])</f>
        <v>26670</v>
      </c>
      <c r="R388" s="20">
        <f>IFERROR(tbl_raw[[#This Row],[Net_Profit]]/(tbl_raw[[#This Row],[Selling_Price]]*tbl_raw[[#This Row],[Units_Sold]]),0)</f>
        <v>0.39572668595593147</v>
      </c>
      <c r="S388" s="18" t="s">
        <v>31</v>
      </c>
      <c r="T388" s="18" t="s">
        <v>32</v>
      </c>
      <c r="U388" s="18">
        <f>IF(tbl_raw[[#This Row],[Order_Status]]="Returned",1,0)</f>
        <v>0</v>
      </c>
      <c r="V388" s="18">
        <f>IF(tbl_raw[[#This Row],[Payment_Method]]="COD",1,0)</f>
        <v>0</v>
      </c>
      <c r="W388" s="21">
        <f>MIN(1,(tbl_raw[[#This Row],[Discount_Pct]]*1.4)+(tbl_raw[[#This Row],[COD_Flag]]*0.35))</f>
        <v>0.36399999999999999</v>
      </c>
    </row>
    <row r="389" spans="1:23" ht="22.8" x14ac:dyDescent="0.3">
      <c r="A389" s="22" t="s">
        <v>1111</v>
      </c>
      <c r="B389" s="23" t="s">
        <v>600</v>
      </c>
      <c r="C389" s="23" t="s">
        <v>117</v>
      </c>
      <c r="D389" s="23" t="s">
        <v>26</v>
      </c>
      <c r="E389" s="23" t="s">
        <v>36</v>
      </c>
      <c r="F389" s="23" t="s">
        <v>1112</v>
      </c>
      <c r="G389" s="23" t="s">
        <v>143</v>
      </c>
      <c r="H389" s="23" t="s">
        <v>30</v>
      </c>
      <c r="I389" s="23">
        <v>3</v>
      </c>
      <c r="J389" s="24">
        <v>3309</v>
      </c>
      <c r="K389" s="24">
        <v>2647</v>
      </c>
      <c r="L389" s="25">
        <v>0.2</v>
      </c>
      <c r="M389" s="24">
        <v>2132</v>
      </c>
      <c r="N389" s="24">
        <f>(tbl_raw[[#This Row],[Selling_Price]]-tbl_raw[[#This Row],[Cost_Price]])*tbl_raw[[#This Row],[Units_Sold]]</f>
        <v>1545</v>
      </c>
      <c r="O389" s="25">
        <f>IFERROR((tbl_raw[[#This Row],[Selling_Price]]-tbl_raw[[#This Row],[Cost_Price]]) / tbl_raw[[#This Row],[Selling_Price]],0)</f>
        <v>0.19455987910842462</v>
      </c>
      <c r="P389" s="24">
        <v>144</v>
      </c>
      <c r="Q389" s="24">
        <f>tbl_raw[[#This Row],[Gross_Profit]]-(tbl_raw[[#This Row],[Shipping_Cost]]*tbl_raw[[#This Row],[Units_Sold]])</f>
        <v>1113</v>
      </c>
      <c r="R389" s="25">
        <f>IFERROR(tbl_raw[[#This Row],[Net_Profit]]/(tbl_raw[[#This Row],[Selling_Price]]*tbl_raw[[#This Row],[Units_Sold]]),0)</f>
        <v>0.14015867019267095</v>
      </c>
      <c r="S389" s="23" t="s">
        <v>31</v>
      </c>
      <c r="T389" s="23" t="s">
        <v>32</v>
      </c>
      <c r="U389" s="23">
        <f>IF(tbl_raw[[#This Row],[Order_Status]]="Returned",1,0)</f>
        <v>0</v>
      </c>
      <c r="V389" s="23">
        <f>IF(tbl_raw[[#This Row],[Payment_Method]]="COD",1,0)</f>
        <v>0</v>
      </c>
      <c r="W389" s="26">
        <f>MIN(1,(tbl_raw[[#This Row],[Discount_Pct]]*1.4)+(tbl_raw[[#This Row],[COD_Flag]]*0.35))</f>
        <v>0.27999999999999997</v>
      </c>
    </row>
    <row r="390" spans="1:23" ht="22.8" x14ac:dyDescent="0.3">
      <c r="A390" s="17" t="s">
        <v>1113</v>
      </c>
      <c r="B390" s="18" t="s">
        <v>842</v>
      </c>
      <c r="C390" s="18" t="s">
        <v>25</v>
      </c>
      <c r="D390" s="18" t="s">
        <v>94</v>
      </c>
      <c r="E390" s="18" t="s">
        <v>137</v>
      </c>
      <c r="F390" s="18" t="s">
        <v>1114</v>
      </c>
      <c r="G390" s="18" t="s">
        <v>38</v>
      </c>
      <c r="H390" s="18" t="s">
        <v>39</v>
      </c>
      <c r="I390" s="18">
        <v>8</v>
      </c>
      <c r="J390" s="19">
        <v>2090</v>
      </c>
      <c r="K390" s="19">
        <v>1839</v>
      </c>
      <c r="L390" s="20">
        <v>0.12</v>
      </c>
      <c r="M390" s="19">
        <v>1151</v>
      </c>
      <c r="N390" s="19">
        <f>(tbl_raw[[#This Row],[Selling_Price]]-tbl_raw[[#This Row],[Cost_Price]])*tbl_raw[[#This Row],[Units_Sold]]</f>
        <v>5504</v>
      </c>
      <c r="O390" s="20">
        <f>IFERROR((tbl_raw[[#This Row],[Selling_Price]]-tbl_raw[[#This Row],[Cost_Price]]) / tbl_raw[[#This Row],[Selling_Price]],0)</f>
        <v>0.37411636759108213</v>
      </c>
      <c r="P390" s="19">
        <v>133</v>
      </c>
      <c r="Q390" s="19">
        <f>tbl_raw[[#This Row],[Gross_Profit]]-(tbl_raw[[#This Row],[Shipping_Cost]]*tbl_raw[[#This Row],[Units_Sold]])</f>
        <v>4440</v>
      </c>
      <c r="R390" s="20">
        <f>IFERROR(tbl_raw[[#This Row],[Net_Profit]]/(tbl_raw[[#This Row],[Selling_Price]]*tbl_raw[[#This Row],[Units_Sold]]),0)</f>
        <v>0.30179445350734097</v>
      </c>
      <c r="S390" s="18" t="s">
        <v>65</v>
      </c>
      <c r="T390" s="18" t="s">
        <v>32</v>
      </c>
      <c r="U390" s="18">
        <f>IF(tbl_raw[[#This Row],[Order_Status]]="Returned",1,0)</f>
        <v>0</v>
      </c>
      <c r="V390" s="18">
        <f>IF(tbl_raw[[#This Row],[Payment_Method]]="COD",1,0)</f>
        <v>0</v>
      </c>
      <c r="W390" s="21">
        <f>MIN(1,(tbl_raw[[#This Row],[Discount_Pct]]*1.4)+(tbl_raw[[#This Row],[COD_Flag]]*0.35))</f>
        <v>0.16799999999999998</v>
      </c>
    </row>
    <row r="391" spans="1:23" ht="22.8" x14ac:dyDescent="0.3">
      <c r="A391" s="22" t="s">
        <v>1115</v>
      </c>
      <c r="B391" s="23" t="s">
        <v>765</v>
      </c>
      <c r="C391" s="23" t="s">
        <v>52</v>
      </c>
      <c r="D391" s="23" t="s">
        <v>44</v>
      </c>
      <c r="E391" s="23" t="s">
        <v>73</v>
      </c>
      <c r="F391" s="23" t="s">
        <v>1116</v>
      </c>
      <c r="G391" s="23" t="s">
        <v>56</v>
      </c>
      <c r="H391" s="23" t="s">
        <v>57</v>
      </c>
      <c r="I391" s="23">
        <v>20</v>
      </c>
      <c r="J391" s="24">
        <v>5312</v>
      </c>
      <c r="K391" s="24">
        <v>3453</v>
      </c>
      <c r="L391" s="25">
        <v>0.35</v>
      </c>
      <c r="M391" s="24">
        <v>2439</v>
      </c>
      <c r="N391" s="24">
        <f>(tbl_raw[[#This Row],[Selling_Price]]-tbl_raw[[#This Row],[Cost_Price]])*tbl_raw[[#This Row],[Units_Sold]]</f>
        <v>20280</v>
      </c>
      <c r="O391" s="25">
        <f>IFERROR((tbl_raw[[#This Row],[Selling_Price]]-tbl_raw[[#This Row],[Cost_Price]]) / tbl_raw[[#This Row],[Selling_Price]],0)</f>
        <v>0.29365768896611644</v>
      </c>
      <c r="P391" s="24">
        <v>82</v>
      </c>
      <c r="Q391" s="24">
        <f>tbl_raw[[#This Row],[Gross_Profit]]-(tbl_raw[[#This Row],[Shipping_Cost]]*tbl_raw[[#This Row],[Units_Sold]])</f>
        <v>18640</v>
      </c>
      <c r="R391" s="25">
        <f>IFERROR(tbl_raw[[#This Row],[Net_Profit]]/(tbl_raw[[#This Row],[Selling_Price]]*tbl_raw[[#This Row],[Units_Sold]]),0)</f>
        <v>0.26991022299449752</v>
      </c>
      <c r="S391" s="23" t="s">
        <v>31</v>
      </c>
      <c r="T391" s="23" t="s">
        <v>32</v>
      </c>
      <c r="U391" s="23">
        <f>IF(tbl_raw[[#This Row],[Order_Status]]="Returned",1,0)</f>
        <v>0</v>
      </c>
      <c r="V391" s="23">
        <f>IF(tbl_raw[[#This Row],[Payment_Method]]="COD",1,0)</f>
        <v>0</v>
      </c>
      <c r="W391" s="26">
        <f>MIN(1,(tbl_raw[[#This Row],[Discount_Pct]]*1.4)+(tbl_raw[[#This Row],[COD_Flag]]*0.35))</f>
        <v>0.48999999999999994</v>
      </c>
    </row>
    <row r="392" spans="1:23" ht="22.8" x14ac:dyDescent="0.3">
      <c r="A392" s="17" t="s">
        <v>1117</v>
      </c>
      <c r="B392" s="18" t="s">
        <v>1118</v>
      </c>
      <c r="C392" s="18" t="s">
        <v>35</v>
      </c>
      <c r="D392" s="18" t="s">
        <v>44</v>
      </c>
      <c r="E392" s="18" t="s">
        <v>73</v>
      </c>
      <c r="F392" s="18" t="s">
        <v>1119</v>
      </c>
      <c r="G392" s="18" t="s">
        <v>120</v>
      </c>
      <c r="H392" s="18" t="s">
        <v>39</v>
      </c>
      <c r="I392" s="18">
        <v>4</v>
      </c>
      <c r="J392" s="19">
        <v>5969</v>
      </c>
      <c r="K392" s="19">
        <v>5312</v>
      </c>
      <c r="L392" s="20">
        <v>0.11</v>
      </c>
      <c r="M392" s="19">
        <v>3685</v>
      </c>
      <c r="N392" s="19">
        <f>(tbl_raw[[#This Row],[Selling_Price]]-tbl_raw[[#This Row],[Cost_Price]])*tbl_raw[[#This Row],[Units_Sold]]</f>
        <v>6508</v>
      </c>
      <c r="O392" s="20">
        <f>IFERROR((tbl_raw[[#This Row],[Selling_Price]]-tbl_raw[[#This Row],[Cost_Price]]) / tbl_raw[[#This Row],[Selling_Price]],0)</f>
        <v>0.30628765060240964</v>
      </c>
      <c r="P392" s="19">
        <v>52</v>
      </c>
      <c r="Q392" s="19">
        <f>tbl_raw[[#This Row],[Gross_Profit]]-(tbl_raw[[#This Row],[Shipping_Cost]]*tbl_raw[[#This Row],[Units_Sold]])</f>
        <v>6300</v>
      </c>
      <c r="R392" s="20">
        <f>IFERROR(tbl_raw[[#This Row],[Net_Profit]]/(tbl_raw[[#This Row],[Selling_Price]]*tbl_raw[[#This Row],[Units_Sold]]),0)</f>
        <v>0.29649849397590361</v>
      </c>
      <c r="S392" s="18" t="s">
        <v>107</v>
      </c>
      <c r="T392" s="18" t="s">
        <v>32</v>
      </c>
      <c r="U392" s="18">
        <f>IF(tbl_raw[[#This Row],[Order_Status]]="Returned",1,0)</f>
        <v>0</v>
      </c>
      <c r="V392" s="18">
        <f>IF(tbl_raw[[#This Row],[Payment_Method]]="COD",1,0)</f>
        <v>0</v>
      </c>
      <c r="W392" s="21">
        <f>MIN(1,(tbl_raw[[#This Row],[Discount_Pct]]*1.4)+(tbl_raw[[#This Row],[COD_Flag]]*0.35))</f>
        <v>0.154</v>
      </c>
    </row>
    <row r="393" spans="1:23" ht="22.8" x14ac:dyDescent="0.3">
      <c r="A393" s="22" t="s">
        <v>1120</v>
      </c>
      <c r="B393" s="23" t="s">
        <v>949</v>
      </c>
      <c r="C393" s="23" t="s">
        <v>72</v>
      </c>
      <c r="D393" s="23" t="s">
        <v>62</v>
      </c>
      <c r="E393" s="23" t="s">
        <v>68</v>
      </c>
      <c r="F393" s="23" t="s">
        <v>1121</v>
      </c>
      <c r="G393" s="23" t="s">
        <v>56</v>
      </c>
      <c r="H393" s="23" t="s">
        <v>57</v>
      </c>
      <c r="I393" s="23">
        <v>7</v>
      </c>
      <c r="J393" s="24">
        <v>5972</v>
      </c>
      <c r="K393" s="24">
        <v>5375</v>
      </c>
      <c r="L393" s="25">
        <v>0.1</v>
      </c>
      <c r="M393" s="24">
        <v>3531</v>
      </c>
      <c r="N393" s="24">
        <f>(tbl_raw[[#This Row],[Selling_Price]]-tbl_raw[[#This Row],[Cost_Price]])*tbl_raw[[#This Row],[Units_Sold]]</f>
        <v>12908</v>
      </c>
      <c r="O393" s="25">
        <f>IFERROR((tbl_raw[[#This Row],[Selling_Price]]-tbl_raw[[#This Row],[Cost_Price]]) / tbl_raw[[#This Row],[Selling_Price]],0)</f>
        <v>0.34306976744186046</v>
      </c>
      <c r="P393" s="24">
        <v>143</v>
      </c>
      <c r="Q393" s="24">
        <f>tbl_raw[[#This Row],[Gross_Profit]]-(tbl_raw[[#This Row],[Shipping_Cost]]*tbl_raw[[#This Row],[Units_Sold]])</f>
        <v>11907</v>
      </c>
      <c r="R393" s="25">
        <f>IFERROR(tbl_raw[[#This Row],[Net_Profit]]/(tbl_raw[[#This Row],[Selling_Price]]*tbl_raw[[#This Row],[Units_Sold]]),0)</f>
        <v>0.31646511627906976</v>
      </c>
      <c r="S393" s="23" t="s">
        <v>65</v>
      </c>
      <c r="T393" s="23" t="s">
        <v>32</v>
      </c>
      <c r="U393" s="23">
        <f>IF(tbl_raw[[#This Row],[Order_Status]]="Returned",1,0)</f>
        <v>0</v>
      </c>
      <c r="V393" s="23">
        <f>IF(tbl_raw[[#This Row],[Payment_Method]]="COD",1,0)</f>
        <v>0</v>
      </c>
      <c r="W393" s="26">
        <f>MIN(1,(tbl_raw[[#This Row],[Discount_Pct]]*1.4)+(tbl_raw[[#This Row],[COD_Flag]]*0.35))</f>
        <v>0.13999999999999999</v>
      </c>
    </row>
    <row r="394" spans="1:23" ht="22.8" x14ac:dyDescent="0.3">
      <c r="A394" s="17" t="s">
        <v>1122</v>
      </c>
      <c r="B394" s="18" t="s">
        <v>738</v>
      </c>
      <c r="C394" s="18" t="s">
        <v>43</v>
      </c>
      <c r="D394" s="18" t="s">
        <v>26</v>
      </c>
      <c r="E394" s="18" t="s">
        <v>168</v>
      </c>
      <c r="F394" s="18" t="s">
        <v>1123</v>
      </c>
      <c r="G394" s="18" t="s">
        <v>38</v>
      </c>
      <c r="H394" s="18" t="s">
        <v>39</v>
      </c>
      <c r="I394" s="18">
        <v>2</v>
      </c>
      <c r="J394" s="19">
        <v>2193</v>
      </c>
      <c r="K394" s="19">
        <v>2127</v>
      </c>
      <c r="L394" s="20">
        <v>0.03</v>
      </c>
      <c r="M394" s="19">
        <v>1031</v>
      </c>
      <c r="N394" s="19">
        <f>(tbl_raw[[#This Row],[Selling_Price]]-tbl_raw[[#This Row],[Cost_Price]])*tbl_raw[[#This Row],[Units_Sold]]</f>
        <v>2192</v>
      </c>
      <c r="O394" s="20">
        <f>IFERROR((tbl_raw[[#This Row],[Selling_Price]]-tbl_raw[[#This Row],[Cost_Price]]) / tbl_raw[[#This Row],[Selling_Price]],0)</f>
        <v>0.51527973671838267</v>
      </c>
      <c r="P394" s="19">
        <v>134</v>
      </c>
      <c r="Q394" s="19">
        <f>tbl_raw[[#This Row],[Gross_Profit]]-(tbl_raw[[#This Row],[Shipping_Cost]]*tbl_raw[[#This Row],[Units_Sold]])</f>
        <v>1924</v>
      </c>
      <c r="R394" s="20">
        <f>IFERROR(tbl_raw[[#This Row],[Net_Profit]]/(tbl_raw[[#This Row],[Selling_Price]]*tbl_raw[[#This Row],[Units_Sold]]),0)</f>
        <v>0.4522802068641279</v>
      </c>
      <c r="S394" s="18" t="s">
        <v>107</v>
      </c>
      <c r="T394" s="18" t="s">
        <v>32</v>
      </c>
      <c r="U394" s="18">
        <f>IF(tbl_raw[[#This Row],[Order_Status]]="Returned",1,0)</f>
        <v>0</v>
      </c>
      <c r="V394" s="18">
        <f>IF(tbl_raw[[#This Row],[Payment_Method]]="COD",1,0)</f>
        <v>0</v>
      </c>
      <c r="W394" s="21">
        <f>MIN(1,(tbl_raw[[#This Row],[Discount_Pct]]*1.4)+(tbl_raw[[#This Row],[COD_Flag]]*0.35))</f>
        <v>4.1999999999999996E-2</v>
      </c>
    </row>
    <row r="395" spans="1:23" ht="22.8" x14ac:dyDescent="0.3">
      <c r="A395" s="22" t="s">
        <v>1124</v>
      </c>
      <c r="B395" s="23" t="s">
        <v>1125</v>
      </c>
      <c r="C395" s="23" t="s">
        <v>132</v>
      </c>
      <c r="D395" s="23" t="s">
        <v>78</v>
      </c>
      <c r="E395" s="23" t="s">
        <v>79</v>
      </c>
      <c r="F395" s="23" t="s">
        <v>1126</v>
      </c>
      <c r="G395" s="23" t="s">
        <v>56</v>
      </c>
      <c r="H395" s="23" t="s">
        <v>57</v>
      </c>
      <c r="I395" s="23">
        <v>4</v>
      </c>
      <c r="J395" s="24">
        <v>349</v>
      </c>
      <c r="K395" s="24">
        <v>213</v>
      </c>
      <c r="L395" s="25">
        <v>0.39</v>
      </c>
      <c r="M395" s="24">
        <v>219</v>
      </c>
      <c r="N395" s="24">
        <f>(tbl_raw[[#This Row],[Selling_Price]]-tbl_raw[[#This Row],[Cost_Price]])*tbl_raw[[#This Row],[Units_Sold]]</f>
        <v>-24</v>
      </c>
      <c r="O395" s="25">
        <f>IFERROR((tbl_raw[[#This Row],[Selling_Price]]-tbl_raw[[#This Row],[Cost_Price]]) / tbl_raw[[#This Row],[Selling_Price]],0)</f>
        <v>-2.8169014084507043E-2</v>
      </c>
      <c r="P395" s="24">
        <v>65</v>
      </c>
      <c r="Q395" s="24">
        <f>tbl_raw[[#This Row],[Gross_Profit]]-(tbl_raw[[#This Row],[Shipping_Cost]]*tbl_raw[[#This Row],[Units_Sold]])</f>
        <v>-284</v>
      </c>
      <c r="R395" s="25">
        <f>IFERROR(tbl_raw[[#This Row],[Net_Profit]]/(tbl_raw[[#This Row],[Selling_Price]]*tbl_raw[[#This Row],[Units_Sold]]),0)</f>
        <v>-0.33333333333333331</v>
      </c>
      <c r="S395" s="23" t="s">
        <v>31</v>
      </c>
      <c r="T395" s="23" t="s">
        <v>32</v>
      </c>
      <c r="U395" s="23">
        <f>IF(tbl_raw[[#This Row],[Order_Status]]="Returned",1,0)</f>
        <v>0</v>
      </c>
      <c r="V395" s="23">
        <f>IF(tbl_raw[[#This Row],[Payment_Method]]="COD",1,0)</f>
        <v>0</v>
      </c>
      <c r="W395" s="26">
        <f>MIN(1,(tbl_raw[[#This Row],[Discount_Pct]]*1.4)+(tbl_raw[[#This Row],[COD_Flag]]*0.35))</f>
        <v>0.54599999999999993</v>
      </c>
    </row>
    <row r="396" spans="1:23" ht="22.8" x14ac:dyDescent="0.3">
      <c r="A396" s="17" t="s">
        <v>1127</v>
      </c>
      <c r="B396" s="18" t="s">
        <v>855</v>
      </c>
      <c r="C396" s="18" t="s">
        <v>89</v>
      </c>
      <c r="D396" s="18" t="s">
        <v>175</v>
      </c>
      <c r="E396" s="18" t="s">
        <v>225</v>
      </c>
      <c r="F396" s="18" t="s">
        <v>1128</v>
      </c>
      <c r="G396" s="18" t="s">
        <v>38</v>
      </c>
      <c r="H396" s="18" t="s">
        <v>39</v>
      </c>
      <c r="I396" s="18">
        <v>15</v>
      </c>
      <c r="J396" s="19">
        <v>4573</v>
      </c>
      <c r="K396" s="19">
        <v>3110</v>
      </c>
      <c r="L396" s="20">
        <v>0.32</v>
      </c>
      <c r="M396" s="19">
        <v>1893</v>
      </c>
      <c r="N396" s="19">
        <f>(tbl_raw[[#This Row],[Selling_Price]]-tbl_raw[[#This Row],[Cost_Price]])*tbl_raw[[#This Row],[Units_Sold]]</f>
        <v>18255</v>
      </c>
      <c r="O396" s="20">
        <f>IFERROR((tbl_raw[[#This Row],[Selling_Price]]-tbl_raw[[#This Row],[Cost_Price]]) / tbl_raw[[#This Row],[Selling_Price]],0)</f>
        <v>0.39131832797427651</v>
      </c>
      <c r="P396" s="19">
        <v>168</v>
      </c>
      <c r="Q396" s="19">
        <f>tbl_raw[[#This Row],[Gross_Profit]]-(tbl_raw[[#This Row],[Shipping_Cost]]*tbl_raw[[#This Row],[Units_Sold]])</f>
        <v>15735</v>
      </c>
      <c r="R396" s="20">
        <f>IFERROR(tbl_raw[[#This Row],[Net_Profit]]/(tbl_raw[[#This Row],[Selling_Price]]*tbl_raw[[#This Row],[Units_Sold]]),0)</f>
        <v>0.3372990353697749</v>
      </c>
      <c r="S396" s="18" t="s">
        <v>107</v>
      </c>
      <c r="T396" s="18" t="s">
        <v>32</v>
      </c>
      <c r="U396" s="18">
        <f>IF(tbl_raw[[#This Row],[Order_Status]]="Returned",1,0)</f>
        <v>0</v>
      </c>
      <c r="V396" s="18">
        <f>IF(tbl_raw[[#This Row],[Payment_Method]]="COD",1,0)</f>
        <v>0</v>
      </c>
      <c r="W396" s="21">
        <f>MIN(1,(tbl_raw[[#This Row],[Discount_Pct]]*1.4)+(tbl_raw[[#This Row],[COD_Flag]]*0.35))</f>
        <v>0.44799999999999995</v>
      </c>
    </row>
    <row r="397" spans="1:23" ht="22.8" x14ac:dyDescent="0.3">
      <c r="A397" s="22" t="s">
        <v>1129</v>
      </c>
      <c r="B397" s="23" t="s">
        <v>1130</v>
      </c>
      <c r="C397" s="23" t="s">
        <v>43</v>
      </c>
      <c r="D397" s="23" t="s">
        <v>44</v>
      </c>
      <c r="E397" s="23" t="s">
        <v>279</v>
      </c>
      <c r="F397" s="23" t="s">
        <v>1131</v>
      </c>
      <c r="G397" s="23" t="s">
        <v>143</v>
      </c>
      <c r="H397" s="23" t="s">
        <v>30</v>
      </c>
      <c r="I397" s="23">
        <v>8</v>
      </c>
      <c r="J397" s="24">
        <v>7969</v>
      </c>
      <c r="K397" s="24">
        <v>4463</v>
      </c>
      <c r="L397" s="25">
        <v>0.44</v>
      </c>
      <c r="M397" s="24">
        <v>3957</v>
      </c>
      <c r="N397" s="24">
        <f>(tbl_raw[[#This Row],[Selling_Price]]-tbl_raw[[#This Row],[Cost_Price]])*tbl_raw[[#This Row],[Units_Sold]]</f>
        <v>4048</v>
      </c>
      <c r="O397" s="25">
        <f>IFERROR((tbl_raw[[#This Row],[Selling_Price]]-tbl_raw[[#This Row],[Cost_Price]]) / tbl_raw[[#This Row],[Selling_Price]],0)</f>
        <v>0.11337665247591307</v>
      </c>
      <c r="P397" s="24">
        <v>39</v>
      </c>
      <c r="Q397" s="24">
        <f>tbl_raw[[#This Row],[Gross_Profit]]-(tbl_raw[[#This Row],[Shipping_Cost]]*tbl_raw[[#This Row],[Units_Sold]])</f>
        <v>3736</v>
      </c>
      <c r="R397" s="25">
        <f>IFERROR(tbl_raw[[#This Row],[Net_Profit]]/(tbl_raw[[#This Row],[Selling_Price]]*tbl_raw[[#This Row],[Units_Sold]]),0)</f>
        <v>0.10463813578310553</v>
      </c>
      <c r="S397" s="23" t="s">
        <v>107</v>
      </c>
      <c r="T397" s="23" t="s">
        <v>49</v>
      </c>
      <c r="U397" s="23">
        <f>IF(tbl_raw[[#This Row],[Order_Status]]="Returned",1,0)</f>
        <v>0</v>
      </c>
      <c r="V397" s="23">
        <f>IF(tbl_raw[[#This Row],[Payment_Method]]="COD",1,0)</f>
        <v>0</v>
      </c>
      <c r="W397" s="26">
        <f>MIN(1,(tbl_raw[[#This Row],[Discount_Pct]]*1.4)+(tbl_raw[[#This Row],[COD_Flag]]*0.35))</f>
        <v>0.61599999999999999</v>
      </c>
    </row>
    <row r="398" spans="1:23" ht="22.8" x14ac:dyDescent="0.3">
      <c r="A398" s="17" t="s">
        <v>1132</v>
      </c>
      <c r="B398" s="18" t="s">
        <v>727</v>
      </c>
      <c r="C398" s="18" t="s">
        <v>132</v>
      </c>
      <c r="D398" s="18" t="s">
        <v>53</v>
      </c>
      <c r="E398" s="18" t="s">
        <v>145</v>
      </c>
      <c r="F398" s="18" t="s">
        <v>1133</v>
      </c>
      <c r="G398" s="18" t="s">
        <v>56</v>
      </c>
      <c r="H398" s="18" t="s">
        <v>57</v>
      </c>
      <c r="I398" s="18">
        <v>13</v>
      </c>
      <c r="J398" s="19">
        <v>5324</v>
      </c>
      <c r="K398" s="19">
        <v>5111</v>
      </c>
      <c r="L398" s="20">
        <v>0.04</v>
      </c>
      <c r="M398" s="19">
        <v>2842</v>
      </c>
      <c r="N398" s="19">
        <f>(tbl_raw[[#This Row],[Selling_Price]]-tbl_raw[[#This Row],[Cost_Price]])*tbl_raw[[#This Row],[Units_Sold]]</f>
        <v>29497</v>
      </c>
      <c r="O398" s="20">
        <f>IFERROR((tbl_raw[[#This Row],[Selling_Price]]-tbl_raw[[#This Row],[Cost_Price]]) / tbl_raw[[#This Row],[Selling_Price]],0)</f>
        <v>0.44394443357464292</v>
      </c>
      <c r="P398" s="19">
        <v>174</v>
      </c>
      <c r="Q398" s="19">
        <f>tbl_raw[[#This Row],[Gross_Profit]]-(tbl_raw[[#This Row],[Shipping_Cost]]*tbl_raw[[#This Row],[Units_Sold]])</f>
        <v>27235</v>
      </c>
      <c r="R398" s="20">
        <f>IFERROR(tbl_raw[[#This Row],[Net_Profit]]/(tbl_raw[[#This Row],[Selling_Price]]*tbl_raw[[#This Row],[Units_Sold]]),0)</f>
        <v>0.40990021522207004</v>
      </c>
      <c r="S398" s="18" t="s">
        <v>65</v>
      </c>
      <c r="T398" s="18" t="s">
        <v>32</v>
      </c>
      <c r="U398" s="18">
        <f>IF(tbl_raw[[#This Row],[Order_Status]]="Returned",1,0)</f>
        <v>0</v>
      </c>
      <c r="V398" s="18">
        <f>IF(tbl_raw[[#This Row],[Payment_Method]]="COD",1,0)</f>
        <v>0</v>
      </c>
      <c r="W398" s="21">
        <f>MIN(1,(tbl_raw[[#This Row],[Discount_Pct]]*1.4)+(tbl_raw[[#This Row],[COD_Flag]]*0.35))</f>
        <v>5.5999999999999994E-2</v>
      </c>
    </row>
    <row r="399" spans="1:23" ht="22.8" x14ac:dyDescent="0.3">
      <c r="A399" s="22" t="s">
        <v>1134</v>
      </c>
      <c r="B399" s="23" t="s">
        <v>295</v>
      </c>
      <c r="C399" s="23" t="s">
        <v>52</v>
      </c>
      <c r="D399" s="23" t="s">
        <v>164</v>
      </c>
      <c r="E399" s="23" t="s">
        <v>251</v>
      </c>
      <c r="F399" s="23" t="s">
        <v>1135</v>
      </c>
      <c r="G399" s="23" t="s">
        <v>102</v>
      </c>
      <c r="H399" s="23" t="s">
        <v>39</v>
      </c>
      <c r="I399" s="23">
        <v>11</v>
      </c>
      <c r="J399" s="24">
        <v>3704</v>
      </c>
      <c r="K399" s="24">
        <v>3482</v>
      </c>
      <c r="L399" s="25">
        <v>0.06</v>
      </c>
      <c r="M399" s="24">
        <v>2327</v>
      </c>
      <c r="N399" s="24">
        <f>(tbl_raw[[#This Row],[Selling_Price]]-tbl_raw[[#This Row],[Cost_Price]])*tbl_raw[[#This Row],[Units_Sold]]</f>
        <v>12705</v>
      </c>
      <c r="O399" s="25">
        <f>IFERROR((tbl_raw[[#This Row],[Selling_Price]]-tbl_raw[[#This Row],[Cost_Price]]) / tbl_raw[[#This Row],[Selling_Price]],0)</f>
        <v>0.33170591614014933</v>
      </c>
      <c r="P399" s="24">
        <v>117</v>
      </c>
      <c r="Q399" s="24">
        <f>tbl_raw[[#This Row],[Gross_Profit]]-(tbl_raw[[#This Row],[Shipping_Cost]]*tbl_raw[[#This Row],[Units_Sold]])</f>
        <v>11418</v>
      </c>
      <c r="R399" s="25">
        <f>IFERROR(tbl_raw[[#This Row],[Net_Profit]]/(tbl_raw[[#This Row],[Selling_Price]]*tbl_raw[[#This Row],[Units_Sold]]),0)</f>
        <v>0.2981045376220563</v>
      </c>
      <c r="S399" s="23" t="s">
        <v>40</v>
      </c>
      <c r="T399" s="23" t="s">
        <v>32</v>
      </c>
      <c r="U399" s="23">
        <f>IF(tbl_raw[[#This Row],[Order_Status]]="Returned",1,0)</f>
        <v>0</v>
      </c>
      <c r="V399" s="23">
        <f>IF(tbl_raw[[#This Row],[Payment_Method]]="COD",1,0)</f>
        <v>1</v>
      </c>
      <c r="W399" s="26">
        <f>MIN(1,(tbl_raw[[#This Row],[Discount_Pct]]*1.4)+(tbl_raw[[#This Row],[COD_Flag]]*0.35))</f>
        <v>0.43399999999999994</v>
      </c>
    </row>
    <row r="400" spans="1:23" ht="22.8" x14ac:dyDescent="0.3">
      <c r="A400" s="17" t="s">
        <v>1136</v>
      </c>
      <c r="B400" s="18" t="s">
        <v>1137</v>
      </c>
      <c r="C400" s="18" t="s">
        <v>156</v>
      </c>
      <c r="D400" s="18" t="s">
        <v>164</v>
      </c>
      <c r="E400" s="18" t="s">
        <v>251</v>
      </c>
      <c r="F400" s="18" t="s">
        <v>1138</v>
      </c>
      <c r="G400" s="18" t="s">
        <v>81</v>
      </c>
      <c r="H400" s="18" t="s">
        <v>30</v>
      </c>
      <c r="I400" s="18">
        <v>19</v>
      </c>
      <c r="J400" s="19">
        <v>7353</v>
      </c>
      <c r="K400" s="19">
        <v>6324</v>
      </c>
      <c r="L400" s="20">
        <v>0.14000000000000001</v>
      </c>
      <c r="M400" s="19">
        <v>4376</v>
      </c>
      <c r="N400" s="19">
        <f>(tbl_raw[[#This Row],[Selling_Price]]-tbl_raw[[#This Row],[Cost_Price]])*tbl_raw[[#This Row],[Units_Sold]]</f>
        <v>37012</v>
      </c>
      <c r="O400" s="20">
        <f>IFERROR((tbl_raw[[#This Row],[Selling_Price]]-tbl_raw[[#This Row],[Cost_Price]]) / tbl_raw[[#This Row],[Selling_Price]],0)</f>
        <v>0.30803289057558508</v>
      </c>
      <c r="P400" s="19">
        <v>172</v>
      </c>
      <c r="Q400" s="19">
        <f>tbl_raw[[#This Row],[Gross_Profit]]-(tbl_raw[[#This Row],[Shipping_Cost]]*tbl_raw[[#This Row],[Units_Sold]])</f>
        <v>33744</v>
      </c>
      <c r="R400" s="20">
        <f>IFERROR(tbl_raw[[#This Row],[Net_Profit]]/(tbl_raw[[#This Row],[Selling_Price]]*tbl_raw[[#This Row],[Units_Sold]]),0)</f>
        <v>0.28083491461100568</v>
      </c>
      <c r="S400" s="18" t="s">
        <v>58</v>
      </c>
      <c r="T400" s="18" t="s">
        <v>59</v>
      </c>
      <c r="U400" s="18">
        <f>IF(tbl_raw[[#This Row],[Order_Status]]="Returned",1,0)</f>
        <v>0</v>
      </c>
      <c r="V400" s="18">
        <f>IF(tbl_raw[[#This Row],[Payment_Method]]="COD",1,0)</f>
        <v>0</v>
      </c>
      <c r="W400" s="21">
        <f>MIN(1,(tbl_raw[[#This Row],[Discount_Pct]]*1.4)+(tbl_raw[[#This Row],[COD_Flag]]*0.35))</f>
        <v>0.19600000000000001</v>
      </c>
    </row>
    <row r="401" spans="1:23" ht="22.8" x14ac:dyDescent="0.3">
      <c r="A401" s="22" t="s">
        <v>1139</v>
      </c>
      <c r="B401" s="23" t="s">
        <v>1140</v>
      </c>
      <c r="C401" s="23" t="s">
        <v>43</v>
      </c>
      <c r="D401" s="23" t="s">
        <v>26</v>
      </c>
      <c r="E401" s="23" t="s">
        <v>27</v>
      </c>
      <c r="F401" s="23" t="s">
        <v>1141</v>
      </c>
      <c r="G401" s="23" t="s">
        <v>47</v>
      </c>
      <c r="H401" s="23" t="s">
        <v>48</v>
      </c>
      <c r="I401" s="23">
        <v>10</v>
      </c>
      <c r="J401" s="24">
        <v>3655</v>
      </c>
      <c r="K401" s="24">
        <v>2120</v>
      </c>
      <c r="L401" s="25">
        <v>0.42</v>
      </c>
      <c r="M401" s="24">
        <v>2606</v>
      </c>
      <c r="N401" s="24">
        <f>(tbl_raw[[#This Row],[Selling_Price]]-tbl_raw[[#This Row],[Cost_Price]])*tbl_raw[[#This Row],[Units_Sold]]</f>
        <v>-4860</v>
      </c>
      <c r="O401" s="25">
        <f>IFERROR((tbl_raw[[#This Row],[Selling_Price]]-tbl_raw[[#This Row],[Cost_Price]]) / tbl_raw[[#This Row],[Selling_Price]],0)</f>
        <v>-0.22924528301886793</v>
      </c>
      <c r="P401" s="24">
        <v>170</v>
      </c>
      <c r="Q401" s="24">
        <f>tbl_raw[[#This Row],[Gross_Profit]]-(tbl_raw[[#This Row],[Shipping_Cost]]*tbl_raw[[#This Row],[Units_Sold]])</f>
        <v>-6560</v>
      </c>
      <c r="R401" s="25">
        <f>IFERROR(tbl_raw[[#This Row],[Net_Profit]]/(tbl_raw[[#This Row],[Selling_Price]]*tbl_raw[[#This Row],[Units_Sold]]),0)</f>
        <v>-0.30943396226415093</v>
      </c>
      <c r="S401" s="23" t="s">
        <v>107</v>
      </c>
      <c r="T401" s="23" t="s">
        <v>32</v>
      </c>
      <c r="U401" s="23">
        <f>IF(tbl_raw[[#This Row],[Order_Status]]="Returned",1,0)</f>
        <v>0</v>
      </c>
      <c r="V401" s="23">
        <f>IF(tbl_raw[[#This Row],[Payment_Method]]="COD",1,0)</f>
        <v>0</v>
      </c>
      <c r="W401" s="26">
        <f>MIN(1,(tbl_raw[[#This Row],[Discount_Pct]]*1.4)+(tbl_raw[[#This Row],[COD_Flag]]*0.35))</f>
        <v>0.58799999999999997</v>
      </c>
    </row>
    <row r="402" spans="1:23" ht="22.8" x14ac:dyDescent="0.3">
      <c r="A402" s="17" t="s">
        <v>1142</v>
      </c>
      <c r="B402" s="18" t="s">
        <v>1083</v>
      </c>
      <c r="C402" s="18" t="s">
        <v>43</v>
      </c>
      <c r="D402" s="18" t="s">
        <v>26</v>
      </c>
      <c r="E402" s="18" t="s">
        <v>36</v>
      </c>
      <c r="F402" s="18" t="s">
        <v>1143</v>
      </c>
      <c r="G402" s="18" t="s">
        <v>143</v>
      </c>
      <c r="H402" s="18" t="s">
        <v>30</v>
      </c>
      <c r="I402" s="18">
        <v>20</v>
      </c>
      <c r="J402" s="19">
        <v>4623</v>
      </c>
      <c r="K402" s="19">
        <v>4161</v>
      </c>
      <c r="L402" s="20">
        <v>0.1</v>
      </c>
      <c r="M402" s="19">
        <v>2225</v>
      </c>
      <c r="N402" s="19">
        <f>(tbl_raw[[#This Row],[Selling_Price]]-tbl_raw[[#This Row],[Cost_Price]])*tbl_raw[[#This Row],[Units_Sold]]</f>
        <v>38720</v>
      </c>
      <c r="O402" s="20">
        <f>IFERROR((tbl_raw[[#This Row],[Selling_Price]]-tbl_raw[[#This Row],[Cost_Price]]) / tbl_raw[[#This Row],[Selling_Price]],0)</f>
        <v>0.46527277096851716</v>
      </c>
      <c r="P402" s="19">
        <v>133</v>
      </c>
      <c r="Q402" s="19">
        <f>tbl_raw[[#This Row],[Gross_Profit]]-(tbl_raw[[#This Row],[Shipping_Cost]]*tbl_raw[[#This Row],[Units_Sold]])</f>
        <v>36060</v>
      </c>
      <c r="R402" s="20">
        <f>IFERROR(tbl_raw[[#This Row],[Net_Profit]]/(tbl_raw[[#This Row],[Selling_Price]]*tbl_raw[[#This Row],[Units_Sold]]),0)</f>
        <v>0.43330930064888246</v>
      </c>
      <c r="S402" s="18" t="s">
        <v>107</v>
      </c>
      <c r="T402" s="18" t="s">
        <v>86</v>
      </c>
      <c r="U402" s="18">
        <f>IF(tbl_raw[[#This Row],[Order_Status]]="Returned",1,0)</f>
        <v>1</v>
      </c>
      <c r="V402" s="18">
        <f>IF(tbl_raw[[#This Row],[Payment_Method]]="COD",1,0)</f>
        <v>0</v>
      </c>
      <c r="W402" s="21">
        <f>MIN(1,(tbl_raw[[#This Row],[Discount_Pct]]*1.4)+(tbl_raw[[#This Row],[COD_Flag]]*0.35))</f>
        <v>0.13999999999999999</v>
      </c>
    </row>
    <row r="403" spans="1:23" ht="22.8" x14ac:dyDescent="0.3">
      <c r="A403" s="22" t="s">
        <v>1144</v>
      </c>
      <c r="B403" s="23" t="s">
        <v>1145</v>
      </c>
      <c r="C403" s="23" t="s">
        <v>43</v>
      </c>
      <c r="D403" s="23" t="s">
        <v>62</v>
      </c>
      <c r="E403" s="23" t="s">
        <v>63</v>
      </c>
      <c r="F403" s="23" t="s">
        <v>1146</v>
      </c>
      <c r="G403" s="23" t="s">
        <v>47</v>
      </c>
      <c r="H403" s="23" t="s">
        <v>48</v>
      </c>
      <c r="I403" s="23">
        <v>16</v>
      </c>
      <c r="J403" s="24">
        <v>3896</v>
      </c>
      <c r="K403" s="24">
        <v>3623</v>
      </c>
      <c r="L403" s="25">
        <v>7.0000000000000007E-2</v>
      </c>
      <c r="M403" s="24">
        <v>1867</v>
      </c>
      <c r="N403" s="24">
        <f>(tbl_raw[[#This Row],[Selling_Price]]-tbl_raw[[#This Row],[Cost_Price]])*tbl_raw[[#This Row],[Units_Sold]]</f>
        <v>28096</v>
      </c>
      <c r="O403" s="25">
        <f>IFERROR((tbl_raw[[#This Row],[Selling_Price]]-tbl_raw[[#This Row],[Cost_Price]]) / tbl_raw[[#This Row],[Selling_Price]],0)</f>
        <v>0.48468120342257798</v>
      </c>
      <c r="P403" s="24">
        <v>91</v>
      </c>
      <c r="Q403" s="24">
        <f>tbl_raw[[#This Row],[Gross_Profit]]-(tbl_raw[[#This Row],[Shipping_Cost]]*tbl_raw[[#This Row],[Units_Sold]])</f>
        <v>26640</v>
      </c>
      <c r="R403" s="25">
        <f>IFERROR(tbl_raw[[#This Row],[Net_Profit]]/(tbl_raw[[#This Row],[Selling_Price]]*tbl_raw[[#This Row],[Units_Sold]]),0)</f>
        <v>0.45956389732266079</v>
      </c>
      <c r="S403" s="23" t="s">
        <v>58</v>
      </c>
      <c r="T403" s="23" t="s">
        <v>49</v>
      </c>
      <c r="U403" s="23">
        <f>IF(tbl_raw[[#This Row],[Order_Status]]="Returned",1,0)</f>
        <v>0</v>
      </c>
      <c r="V403" s="23">
        <f>IF(tbl_raw[[#This Row],[Payment_Method]]="COD",1,0)</f>
        <v>0</v>
      </c>
      <c r="W403" s="26">
        <f>MIN(1,(tbl_raw[[#This Row],[Discount_Pct]]*1.4)+(tbl_raw[[#This Row],[COD_Flag]]*0.35))</f>
        <v>9.8000000000000004E-2</v>
      </c>
    </row>
    <row r="404" spans="1:23" ht="22.8" x14ac:dyDescent="0.3">
      <c r="A404" s="17" t="s">
        <v>1147</v>
      </c>
      <c r="B404" s="18" t="s">
        <v>1148</v>
      </c>
      <c r="C404" s="18" t="s">
        <v>35</v>
      </c>
      <c r="D404" s="18" t="s">
        <v>94</v>
      </c>
      <c r="E404" s="18" t="s">
        <v>95</v>
      </c>
      <c r="F404" s="18" t="s">
        <v>1149</v>
      </c>
      <c r="G404" s="18" t="s">
        <v>81</v>
      </c>
      <c r="H404" s="18" t="s">
        <v>30</v>
      </c>
      <c r="I404" s="18">
        <v>15</v>
      </c>
      <c r="J404" s="19">
        <v>6964</v>
      </c>
      <c r="K404" s="19">
        <v>5432</v>
      </c>
      <c r="L404" s="20">
        <v>0.22</v>
      </c>
      <c r="M404" s="19">
        <v>3578</v>
      </c>
      <c r="N404" s="19">
        <f>(tbl_raw[[#This Row],[Selling_Price]]-tbl_raw[[#This Row],[Cost_Price]])*tbl_raw[[#This Row],[Units_Sold]]</f>
        <v>27810</v>
      </c>
      <c r="O404" s="20">
        <f>IFERROR((tbl_raw[[#This Row],[Selling_Price]]-tbl_raw[[#This Row],[Cost_Price]]) / tbl_raw[[#This Row],[Selling_Price]],0)</f>
        <v>0.34131075110456555</v>
      </c>
      <c r="P404" s="19">
        <v>99</v>
      </c>
      <c r="Q404" s="19">
        <f>tbl_raw[[#This Row],[Gross_Profit]]-(tbl_raw[[#This Row],[Shipping_Cost]]*tbl_raw[[#This Row],[Units_Sold]])</f>
        <v>26325</v>
      </c>
      <c r="R404" s="20">
        <f>IFERROR(tbl_raw[[#This Row],[Net_Profit]]/(tbl_raw[[#This Row],[Selling_Price]]*tbl_raw[[#This Row],[Units_Sold]]),0)</f>
        <v>0.32308541973490429</v>
      </c>
      <c r="S404" s="18" t="s">
        <v>40</v>
      </c>
      <c r="T404" s="18" t="s">
        <v>59</v>
      </c>
      <c r="U404" s="18">
        <f>IF(tbl_raw[[#This Row],[Order_Status]]="Returned",1,0)</f>
        <v>0</v>
      </c>
      <c r="V404" s="18">
        <f>IF(tbl_raw[[#This Row],[Payment_Method]]="COD",1,0)</f>
        <v>1</v>
      </c>
      <c r="W404" s="21">
        <f>MIN(1,(tbl_raw[[#This Row],[Discount_Pct]]*1.4)+(tbl_raw[[#This Row],[COD_Flag]]*0.35))</f>
        <v>0.65799999999999992</v>
      </c>
    </row>
    <row r="405" spans="1:23" ht="22.8" x14ac:dyDescent="0.3">
      <c r="A405" s="22" t="s">
        <v>1150</v>
      </c>
      <c r="B405" s="23" t="s">
        <v>1151</v>
      </c>
      <c r="C405" s="23" t="s">
        <v>199</v>
      </c>
      <c r="D405" s="23" t="s">
        <v>78</v>
      </c>
      <c r="E405" s="23" t="s">
        <v>79</v>
      </c>
      <c r="F405" s="23" t="s">
        <v>1152</v>
      </c>
      <c r="G405" s="23" t="s">
        <v>102</v>
      </c>
      <c r="H405" s="23" t="s">
        <v>39</v>
      </c>
      <c r="I405" s="23">
        <v>19</v>
      </c>
      <c r="J405" s="24">
        <v>4832</v>
      </c>
      <c r="K405" s="24">
        <v>3672</v>
      </c>
      <c r="L405" s="25">
        <v>0.24</v>
      </c>
      <c r="M405" s="24">
        <v>3414</v>
      </c>
      <c r="N405" s="24">
        <f>(tbl_raw[[#This Row],[Selling_Price]]-tbl_raw[[#This Row],[Cost_Price]])*tbl_raw[[#This Row],[Units_Sold]]</f>
        <v>4902</v>
      </c>
      <c r="O405" s="25">
        <f>IFERROR((tbl_raw[[#This Row],[Selling_Price]]-tbl_raw[[#This Row],[Cost_Price]]) / tbl_raw[[#This Row],[Selling_Price]],0)</f>
        <v>7.0261437908496732E-2</v>
      </c>
      <c r="P405" s="24">
        <v>148</v>
      </c>
      <c r="Q405" s="24">
        <f>tbl_raw[[#This Row],[Gross_Profit]]-(tbl_raw[[#This Row],[Shipping_Cost]]*tbl_raw[[#This Row],[Units_Sold]])</f>
        <v>2090</v>
      </c>
      <c r="R405" s="25">
        <f>IFERROR(tbl_raw[[#This Row],[Net_Profit]]/(tbl_raw[[#This Row],[Selling_Price]]*tbl_raw[[#This Row],[Units_Sold]]),0)</f>
        <v>2.9956427015250545E-2</v>
      </c>
      <c r="S405" s="23" t="s">
        <v>65</v>
      </c>
      <c r="T405" s="23" t="s">
        <v>32</v>
      </c>
      <c r="U405" s="23">
        <f>IF(tbl_raw[[#This Row],[Order_Status]]="Returned",1,0)</f>
        <v>0</v>
      </c>
      <c r="V405" s="23">
        <f>IF(tbl_raw[[#This Row],[Payment_Method]]="COD",1,0)</f>
        <v>0</v>
      </c>
      <c r="W405" s="26">
        <f>MIN(1,(tbl_raw[[#This Row],[Discount_Pct]]*1.4)+(tbl_raw[[#This Row],[COD_Flag]]*0.35))</f>
        <v>0.33599999999999997</v>
      </c>
    </row>
    <row r="406" spans="1:23" ht="22.8" x14ac:dyDescent="0.3">
      <c r="A406" s="17" t="s">
        <v>1153</v>
      </c>
      <c r="B406" s="18" t="s">
        <v>717</v>
      </c>
      <c r="C406" s="18" t="s">
        <v>132</v>
      </c>
      <c r="D406" s="18" t="s">
        <v>78</v>
      </c>
      <c r="E406" s="18" t="s">
        <v>296</v>
      </c>
      <c r="F406" s="18" t="s">
        <v>1154</v>
      </c>
      <c r="G406" s="18" t="s">
        <v>47</v>
      </c>
      <c r="H406" s="18" t="s">
        <v>48</v>
      </c>
      <c r="I406" s="18">
        <v>17</v>
      </c>
      <c r="J406" s="19">
        <v>6168</v>
      </c>
      <c r="K406" s="19">
        <v>3516</v>
      </c>
      <c r="L406" s="20">
        <v>0.43</v>
      </c>
      <c r="M406" s="19">
        <v>2877</v>
      </c>
      <c r="N406" s="19">
        <f>(tbl_raw[[#This Row],[Selling_Price]]-tbl_raw[[#This Row],[Cost_Price]])*tbl_raw[[#This Row],[Units_Sold]]</f>
        <v>10863</v>
      </c>
      <c r="O406" s="20">
        <f>IFERROR((tbl_raw[[#This Row],[Selling_Price]]-tbl_raw[[#This Row],[Cost_Price]]) / tbl_raw[[#This Row],[Selling_Price]],0)</f>
        <v>0.181740614334471</v>
      </c>
      <c r="P406" s="19">
        <v>96</v>
      </c>
      <c r="Q406" s="19">
        <f>tbl_raw[[#This Row],[Gross_Profit]]-(tbl_raw[[#This Row],[Shipping_Cost]]*tbl_raw[[#This Row],[Units_Sold]])</f>
        <v>9231</v>
      </c>
      <c r="R406" s="20">
        <f>IFERROR(tbl_raw[[#This Row],[Net_Profit]]/(tbl_raw[[#This Row],[Selling_Price]]*tbl_raw[[#This Row],[Units_Sold]]),0)</f>
        <v>0.15443686006825938</v>
      </c>
      <c r="S406" s="18" t="s">
        <v>107</v>
      </c>
      <c r="T406" s="18" t="s">
        <v>32</v>
      </c>
      <c r="U406" s="18">
        <f>IF(tbl_raw[[#This Row],[Order_Status]]="Returned",1,0)</f>
        <v>0</v>
      </c>
      <c r="V406" s="18">
        <f>IF(tbl_raw[[#This Row],[Payment_Method]]="COD",1,0)</f>
        <v>0</v>
      </c>
      <c r="W406" s="21">
        <f>MIN(1,(tbl_raw[[#This Row],[Discount_Pct]]*1.4)+(tbl_raw[[#This Row],[COD_Flag]]*0.35))</f>
        <v>0.60199999999999998</v>
      </c>
    </row>
    <row r="407" spans="1:23" ht="22.8" x14ac:dyDescent="0.3">
      <c r="A407" s="22" t="s">
        <v>1155</v>
      </c>
      <c r="B407" s="23" t="s">
        <v>1156</v>
      </c>
      <c r="C407" s="23" t="s">
        <v>43</v>
      </c>
      <c r="D407" s="23" t="s">
        <v>53</v>
      </c>
      <c r="E407" s="23" t="s">
        <v>54</v>
      </c>
      <c r="F407" s="23" t="s">
        <v>1157</v>
      </c>
      <c r="G407" s="23" t="s">
        <v>38</v>
      </c>
      <c r="H407" s="23" t="s">
        <v>39</v>
      </c>
      <c r="I407" s="23">
        <v>5</v>
      </c>
      <c r="J407" s="24">
        <v>3816</v>
      </c>
      <c r="K407" s="24">
        <v>2709</v>
      </c>
      <c r="L407" s="25">
        <v>0.28999999999999998</v>
      </c>
      <c r="M407" s="24">
        <v>1647</v>
      </c>
      <c r="N407" s="24">
        <f>(tbl_raw[[#This Row],[Selling_Price]]-tbl_raw[[#This Row],[Cost_Price]])*tbl_raw[[#This Row],[Units_Sold]]</f>
        <v>5310</v>
      </c>
      <c r="O407" s="25">
        <f>IFERROR((tbl_raw[[#This Row],[Selling_Price]]-tbl_raw[[#This Row],[Cost_Price]]) / tbl_raw[[#This Row],[Selling_Price]],0)</f>
        <v>0.39202657807308972</v>
      </c>
      <c r="P407" s="24">
        <v>105</v>
      </c>
      <c r="Q407" s="24">
        <f>tbl_raw[[#This Row],[Gross_Profit]]-(tbl_raw[[#This Row],[Shipping_Cost]]*tbl_raw[[#This Row],[Units_Sold]])</f>
        <v>4785</v>
      </c>
      <c r="R407" s="25">
        <f>IFERROR(tbl_raw[[#This Row],[Net_Profit]]/(tbl_raw[[#This Row],[Selling_Price]]*tbl_raw[[#This Row],[Units_Sold]]),0)</f>
        <v>0.35326688815060908</v>
      </c>
      <c r="S407" s="23" t="s">
        <v>40</v>
      </c>
      <c r="T407" s="23" t="s">
        <v>49</v>
      </c>
      <c r="U407" s="23">
        <f>IF(tbl_raw[[#This Row],[Order_Status]]="Returned",1,0)</f>
        <v>0</v>
      </c>
      <c r="V407" s="23">
        <f>IF(tbl_raw[[#This Row],[Payment_Method]]="COD",1,0)</f>
        <v>1</v>
      </c>
      <c r="W407" s="26">
        <f>MIN(1,(tbl_raw[[#This Row],[Discount_Pct]]*1.4)+(tbl_raw[[#This Row],[COD_Flag]]*0.35))</f>
        <v>0.75600000000000001</v>
      </c>
    </row>
    <row r="408" spans="1:23" ht="22.8" x14ac:dyDescent="0.3">
      <c r="A408" s="17" t="s">
        <v>1158</v>
      </c>
      <c r="B408" s="18" t="s">
        <v>563</v>
      </c>
      <c r="C408" s="18" t="s">
        <v>156</v>
      </c>
      <c r="D408" s="18" t="s">
        <v>164</v>
      </c>
      <c r="E408" s="18" t="s">
        <v>251</v>
      </c>
      <c r="F408" s="18" t="s">
        <v>1159</v>
      </c>
      <c r="G408" s="18" t="s">
        <v>56</v>
      </c>
      <c r="H408" s="18" t="s">
        <v>57</v>
      </c>
      <c r="I408" s="18">
        <v>15</v>
      </c>
      <c r="J408" s="19">
        <v>394</v>
      </c>
      <c r="K408" s="19">
        <v>315</v>
      </c>
      <c r="L408" s="20">
        <v>0.2</v>
      </c>
      <c r="M408" s="19">
        <v>281</v>
      </c>
      <c r="N408" s="19">
        <f>(tbl_raw[[#This Row],[Selling_Price]]-tbl_raw[[#This Row],[Cost_Price]])*tbl_raw[[#This Row],[Units_Sold]]</f>
        <v>510</v>
      </c>
      <c r="O408" s="20">
        <f>IFERROR((tbl_raw[[#This Row],[Selling_Price]]-tbl_raw[[#This Row],[Cost_Price]]) / tbl_raw[[#This Row],[Selling_Price]],0)</f>
        <v>0.10793650793650794</v>
      </c>
      <c r="P408" s="19">
        <v>164</v>
      </c>
      <c r="Q408" s="19">
        <f>tbl_raw[[#This Row],[Gross_Profit]]-(tbl_raw[[#This Row],[Shipping_Cost]]*tbl_raw[[#This Row],[Units_Sold]])</f>
        <v>-1950</v>
      </c>
      <c r="R408" s="20">
        <f>IFERROR(tbl_raw[[#This Row],[Net_Profit]]/(tbl_raw[[#This Row],[Selling_Price]]*tbl_raw[[#This Row],[Units_Sold]]),0)</f>
        <v>-0.41269841269841268</v>
      </c>
      <c r="S408" s="18" t="s">
        <v>31</v>
      </c>
      <c r="T408" s="18" t="s">
        <v>32</v>
      </c>
      <c r="U408" s="18">
        <f>IF(tbl_raw[[#This Row],[Order_Status]]="Returned",1,0)</f>
        <v>0</v>
      </c>
      <c r="V408" s="18">
        <f>IF(tbl_raw[[#This Row],[Payment_Method]]="COD",1,0)</f>
        <v>0</v>
      </c>
      <c r="W408" s="21">
        <f>MIN(1,(tbl_raw[[#This Row],[Discount_Pct]]*1.4)+(tbl_raw[[#This Row],[COD_Flag]]*0.35))</f>
        <v>0.27999999999999997</v>
      </c>
    </row>
    <row r="409" spans="1:23" ht="22.8" x14ac:dyDescent="0.3">
      <c r="A409" s="22" t="s">
        <v>1160</v>
      </c>
      <c r="B409" s="23" t="s">
        <v>1161</v>
      </c>
      <c r="C409" s="23" t="s">
        <v>25</v>
      </c>
      <c r="D409" s="23" t="s">
        <v>164</v>
      </c>
      <c r="E409" s="23" t="s">
        <v>265</v>
      </c>
      <c r="F409" s="23" t="s">
        <v>1162</v>
      </c>
      <c r="G409" s="23" t="s">
        <v>120</v>
      </c>
      <c r="H409" s="23" t="s">
        <v>39</v>
      </c>
      <c r="I409" s="23">
        <v>15</v>
      </c>
      <c r="J409" s="24">
        <v>5146</v>
      </c>
      <c r="K409" s="24">
        <v>4940</v>
      </c>
      <c r="L409" s="25">
        <v>0.04</v>
      </c>
      <c r="M409" s="24">
        <v>3332</v>
      </c>
      <c r="N409" s="24">
        <f>(tbl_raw[[#This Row],[Selling_Price]]-tbl_raw[[#This Row],[Cost_Price]])*tbl_raw[[#This Row],[Units_Sold]]</f>
        <v>24120</v>
      </c>
      <c r="O409" s="25">
        <f>IFERROR((tbl_raw[[#This Row],[Selling_Price]]-tbl_raw[[#This Row],[Cost_Price]]) / tbl_raw[[#This Row],[Selling_Price]],0)</f>
        <v>0.3255060728744939</v>
      </c>
      <c r="P409" s="24">
        <v>139</v>
      </c>
      <c r="Q409" s="24">
        <f>tbl_raw[[#This Row],[Gross_Profit]]-(tbl_raw[[#This Row],[Shipping_Cost]]*tbl_raw[[#This Row],[Units_Sold]])</f>
        <v>22035</v>
      </c>
      <c r="R409" s="25">
        <f>IFERROR(tbl_raw[[#This Row],[Net_Profit]]/(tbl_raw[[#This Row],[Selling_Price]]*tbl_raw[[#This Row],[Units_Sold]]),0)</f>
        <v>0.29736842105263156</v>
      </c>
      <c r="S409" s="23" t="s">
        <v>65</v>
      </c>
      <c r="T409" s="23" t="s">
        <v>32</v>
      </c>
      <c r="U409" s="23">
        <f>IF(tbl_raw[[#This Row],[Order_Status]]="Returned",1,0)</f>
        <v>0</v>
      </c>
      <c r="V409" s="23">
        <f>IF(tbl_raw[[#This Row],[Payment_Method]]="COD",1,0)</f>
        <v>0</v>
      </c>
      <c r="W409" s="26">
        <f>MIN(1,(tbl_raw[[#This Row],[Discount_Pct]]*1.4)+(tbl_raw[[#This Row],[COD_Flag]]*0.35))</f>
        <v>5.5999999999999994E-2</v>
      </c>
    </row>
    <row r="410" spans="1:23" ht="22.8" x14ac:dyDescent="0.3">
      <c r="A410" s="17" t="s">
        <v>1163</v>
      </c>
      <c r="B410" s="18" t="s">
        <v>521</v>
      </c>
      <c r="C410" s="18" t="s">
        <v>105</v>
      </c>
      <c r="D410" s="18" t="s">
        <v>26</v>
      </c>
      <c r="E410" s="18" t="s">
        <v>100</v>
      </c>
      <c r="F410" s="18" t="s">
        <v>1164</v>
      </c>
      <c r="G410" s="18" t="s">
        <v>102</v>
      </c>
      <c r="H410" s="18" t="s">
        <v>39</v>
      </c>
      <c r="I410" s="18">
        <v>5</v>
      </c>
      <c r="J410" s="19">
        <v>1465</v>
      </c>
      <c r="K410" s="19">
        <v>1362</v>
      </c>
      <c r="L410" s="20">
        <v>7.0000000000000007E-2</v>
      </c>
      <c r="M410" s="19">
        <v>980</v>
      </c>
      <c r="N410" s="19">
        <f>(tbl_raw[[#This Row],[Selling_Price]]-tbl_raw[[#This Row],[Cost_Price]])*tbl_raw[[#This Row],[Units_Sold]]</f>
        <v>1910</v>
      </c>
      <c r="O410" s="20">
        <f>IFERROR((tbl_raw[[#This Row],[Selling_Price]]-tbl_raw[[#This Row],[Cost_Price]]) / tbl_raw[[#This Row],[Selling_Price]],0)</f>
        <v>0.28046989720998533</v>
      </c>
      <c r="P410" s="19">
        <v>38</v>
      </c>
      <c r="Q410" s="19">
        <f>tbl_raw[[#This Row],[Gross_Profit]]-(tbl_raw[[#This Row],[Shipping_Cost]]*tbl_raw[[#This Row],[Units_Sold]])</f>
        <v>1720</v>
      </c>
      <c r="R410" s="20">
        <f>IFERROR(tbl_raw[[#This Row],[Net_Profit]]/(tbl_raw[[#This Row],[Selling_Price]]*tbl_raw[[#This Row],[Units_Sold]]),0)</f>
        <v>0.25256975036710722</v>
      </c>
      <c r="S410" s="18" t="s">
        <v>107</v>
      </c>
      <c r="T410" s="18" t="s">
        <v>86</v>
      </c>
      <c r="U410" s="18">
        <f>IF(tbl_raw[[#This Row],[Order_Status]]="Returned",1,0)</f>
        <v>1</v>
      </c>
      <c r="V410" s="18">
        <f>IF(tbl_raw[[#This Row],[Payment_Method]]="COD",1,0)</f>
        <v>0</v>
      </c>
      <c r="W410" s="21">
        <f>MIN(1,(tbl_raw[[#This Row],[Discount_Pct]]*1.4)+(tbl_raw[[#This Row],[COD_Flag]]*0.35))</f>
        <v>9.8000000000000004E-2</v>
      </c>
    </row>
    <row r="411" spans="1:23" ht="22.8" x14ac:dyDescent="0.3">
      <c r="A411" s="22" t="s">
        <v>1165</v>
      </c>
      <c r="B411" s="23" t="s">
        <v>1166</v>
      </c>
      <c r="C411" s="23" t="s">
        <v>117</v>
      </c>
      <c r="D411" s="23" t="s">
        <v>164</v>
      </c>
      <c r="E411" s="23" t="s">
        <v>265</v>
      </c>
      <c r="F411" s="23" t="s">
        <v>1167</v>
      </c>
      <c r="G411" s="23" t="s">
        <v>29</v>
      </c>
      <c r="H411" s="23" t="s">
        <v>30</v>
      </c>
      <c r="I411" s="23">
        <v>1</v>
      </c>
      <c r="J411" s="24">
        <v>5056</v>
      </c>
      <c r="K411" s="24">
        <v>4500</v>
      </c>
      <c r="L411" s="25">
        <v>0.11</v>
      </c>
      <c r="M411" s="24">
        <v>2834</v>
      </c>
      <c r="N411" s="24">
        <f>(tbl_raw[[#This Row],[Selling_Price]]-tbl_raw[[#This Row],[Cost_Price]])*tbl_raw[[#This Row],[Units_Sold]]</f>
        <v>1666</v>
      </c>
      <c r="O411" s="25">
        <f>IFERROR((tbl_raw[[#This Row],[Selling_Price]]-tbl_raw[[#This Row],[Cost_Price]]) / tbl_raw[[#This Row],[Selling_Price]],0)</f>
        <v>0.37022222222222223</v>
      </c>
      <c r="P411" s="24">
        <v>158</v>
      </c>
      <c r="Q411" s="24">
        <f>tbl_raw[[#This Row],[Gross_Profit]]-(tbl_raw[[#This Row],[Shipping_Cost]]*tbl_raw[[#This Row],[Units_Sold]])</f>
        <v>1508</v>
      </c>
      <c r="R411" s="25">
        <f>IFERROR(tbl_raw[[#This Row],[Net_Profit]]/(tbl_raw[[#This Row],[Selling_Price]]*tbl_raw[[#This Row],[Units_Sold]]),0)</f>
        <v>0.33511111111111114</v>
      </c>
      <c r="S411" s="23" t="s">
        <v>65</v>
      </c>
      <c r="T411" s="23" t="s">
        <v>32</v>
      </c>
      <c r="U411" s="23">
        <f>IF(tbl_raw[[#This Row],[Order_Status]]="Returned",1,0)</f>
        <v>0</v>
      </c>
      <c r="V411" s="23">
        <f>IF(tbl_raw[[#This Row],[Payment_Method]]="COD",1,0)</f>
        <v>0</v>
      </c>
      <c r="W411" s="26">
        <f>MIN(1,(tbl_raw[[#This Row],[Discount_Pct]]*1.4)+(tbl_raw[[#This Row],[COD_Flag]]*0.35))</f>
        <v>0.154</v>
      </c>
    </row>
    <row r="412" spans="1:23" ht="22.8" x14ac:dyDescent="0.3">
      <c r="A412" s="17" t="s">
        <v>1168</v>
      </c>
      <c r="B412" s="18" t="s">
        <v>213</v>
      </c>
      <c r="C412" s="18" t="s">
        <v>117</v>
      </c>
      <c r="D412" s="18" t="s">
        <v>94</v>
      </c>
      <c r="E412" s="18" t="s">
        <v>137</v>
      </c>
      <c r="F412" s="18" t="s">
        <v>1169</v>
      </c>
      <c r="G412" s="18" t="s">
        <v>75</v>
      </c>
      <c r="H412" s="18" t="s">
        <v>48</v>
      </c>
      <c r="I412" s="18">
        <v>15</v>
      </c>
      <c r="J412" s="19">
        <v>3399</v>
      </c>
      <c r="K412" s="19">
        <v>3263</v>
      </c>
      <c r="L412" s="20">
        <v>0.04</v>
      </c>
      <c r="M412" s="19">
        <v>2074</v>
      </c>
      <c r="N412" s="19">
        <f>(tbl_raw[[#This Row],[Selling_Price]]-tbl_raw[[#This Row],[Cost_Price]])*tbl_raw[[#This Row],[Units_Sold]]</f>
        <v>17835</v>
      </c>
      <c r="O412" s="20">
        <f>IFERROR((tbl_raw[[#This Row],[Selling_Price]]-tbl_raw[[#This Row],[Cost_Price]]) / tbl_raw[[#This Row],[Selling_Price]],0)</f>
        <v>0.36438859944836038</v>
      </c>
      <c r="P412" s="19">
        <v>67</v>
      </c>
      <c r="Q412" s="19">
        <f>tbl_raw[[#This Row],[Gross_Profit]]-(tbl_raw[[#This Row],[Shipping_Cost]]*tbl_raw[[#This Row],[Units_Sold]])</f>
        <v>16830</v>
      </c>
      <c r="R412" s="20">
        <f>IFERROR(tbl_raw[[#This Row],[Net_Profit]]/(tbl_raw[[#This Row],[Selling_Price]]*tbl_raw[[#This Row],[Units_Sold]]),0)</f>
        <v>0.34385534783941157</v>
      </c>
      <c r="S412" s="18" t="s">
        <v>65</v>
      </c>
      <c r="T412" s="18" t="s">
        <v>32</v>
      </c>
      <c r="U412" s="18">
        <f>IF(tbl_raw[[#This Row],[Order_Status]]="Returned",1,0)</f>
        <v>0</v>
      </c>
      <c r="V412" s="18">
        <f>IF(tbl_raw[[#This Row],[Payment_Method]]="COD",1,0)</f>
        <v>0</v>
      </c>
      <c r="W412" s="21">
        <f>MIN(1,(tbl_raw[[#This Row],[Discount_Pct]]*1.4)+(tbl_raw[[#This Row],[COD_Flag]]*0.35))</f>
        <v>5.5999999999999994E-2</v>
      </c>
    </row>
    <row r="413" spans="1:23" ht="22.8" x14ac:dyDescent="0.3">
      <c r="A413" s="22" t="s">
        <v>1170</v>
      </c>
      <c r="B413" s="23" t="s">
        <v>449</v>
      </c>
      <c r="C413" s="23" t="s">
        <v>35</v>
      </c>
      <c r="D413" s="23" t="s">
        <v>164</v>
      </c>
      <c r="E413" s="23" t="s">
        <v>165</v>
      </c>
      <c r="F413" s="23" t="s">
        <v>1171</v>
      </c>
      <c r="G413" s="23" t="s">
        <v>56</v>
      </c>
      <c r="H413" s="23" t="s">
        <v>57</v>
      </c>
      <c r="I413" s="23">
        <v>2</v>
      </c>
      <c r="J413" s="24">
        <v>1334</v>
      </c>
      <c r="K413" s="24">
        <v>1321</v>
      </c>
      <c r="L413" s="25">
        <v>0.01</v>
      </c>
      <c r="M413" s="24">
        <v>804</v>
      </c>
      <c r="N413" s="24">
        <f>(tbl_raw[[#This Row],[Selling_Price]]-tbl_raw[[#This Row],[Cost_Price]])*tbl_raw[[#This Row],[Units_Sold]]</f>
        <v>1034</v>
      </c>
      <c r="O413" s="25">
        <f>IFERROR((tbl_raw[[#This Row],[Selling_Price]]-tbl_raw[[#This Row],[Cost_Price]]) / tbl_raw[[#This Row],[Selling_Price]],0)</f>
        <v>0.39137017411052233</v>
      </c>
      <c r="P413" s="24">
        <v>120</v>
      </c>
      <c r="Q413" s="24">
        <f>tbl_raw[[#This Row],[Gross_Profit]]-(tbl_raw[[#This Row],[Shipping_Cost]]*tbl_raw[[#This Row],[Units_Sold]])</f>
        <v>794</v>
      </c>
      <c r="R413" s="25">
        <f>IFERROR(tbl_raw[[#This Row],[Net_Profit]]/(tbl_raw[[#This Row],[Selling_Price]]*tbl_raw[[#This Row],[Units_Sold]]),0)</f>
        <v>0.30052990158970477</v>
      </c>
      <c r="S413" s="23" t="s">
        <v>107</v>
      </c>
      <c r="T413" s="23" t="s">
        <v>32</v>
      </c>
      <c r="U413" s="23">
        <f>IF(tbl_raw[[#This Row],[Order_Status]]="Returned",1,0)</f>
        <v>0</v>
      </c>
      <c r="V413" s="23">
        <f>IF(tbl_raw[[#This Row],[Payment_Method]]="COD",1,0)</f>
        <v>0</v>
      </c>
      <c r="W413" s="26">
        <f>MIN(1,(tbl_raw[[#This Row],[Discount_Pct]]*1.4)+(tbl_raw[[#This Row],[COD_Flag]]*0.35))</f>
        <v>1.3999999999999999E-2</v>
      </c>
    </row>
    <row r="414" spans="1:23" ht="22.8" x14ac:dyDescent="0.3">
      <c r="A414" s="17" t="s">
        <v>1172</v>
      </c>
      <c r="B414" s="18" t="s">
        <v>622</v>
      </c>
      <c r="C414" s="18" t="s">
        <v>52</v>
      </c>
      <c r="D414" s="18" t="s">
        <v>164</v>
      </c>
      <c r="E414" s="18" t="s">
        <v>413</v>
      </c>
      <c r="F414" s="18" t="s">
        <v>1173</v>
      </c>
      <c r="G414" s="18" t="s">
        <v>102</v>
      </c>
      <c r="H414" s="18" t="s">
        <v>39</v>
      </c>
      <c r="I414" s="18">
        <v>19</v>
      </c>
      <c r="J414" s="19">
        <v>6341</v>
      </c>
      <c r="K414" s="19">
        <v>5834</v>
      </c>
      <c r="L414" s="20">
        <v>0.08</v>
      </c>
      <c r="M414" s="19">
        <v>3547</v>
      </c>
      <c r="N414" s="19">
        <f>(tbl_raw[[#This Row],[Selling_Price]]-tbl_raw[[#This Row],[Cost_Price]])*tbl_raw[[#This Row],[Units_Sold]]</f>
        <v>43453</v>
      </c>
      <c r="O414" s="20">
        <f>IFERROR((tbl_raw[[#This Row],[Selling_Price]]-tbl_raw[[#This Row],[Cost_Price]]) / tbl_raw[[#This Row],[Selling_Price]],0)</f>
        <v>0.39201234144669178</v>
      </c>
      <c r="P414" s="19">
        <v>117</v>
      </c>
      <c r="Q414" s="19">
        <f>tbl_raw[[#This Row],[Gross_Profit]]-(tbl_raw[[#This Row],[Shipping_Cost]]*tbl_raw[[#This Row],[Units_Sold]])</f>
        <v>41230</v>
      </c>
      <c r="R414" s="20">
        <f>IFERROR(tbl_raw[[#This Row],[Net_Profit]]/(tbl_raw[[#This Row],[Selling_Price]]*tbl_raw[[#This Row],[Units_Sold]]),0)</f>
        <v>0.37195749057250599</v>
      </c>
      <c r="S414" s="18" t="s">
        <v>58</v>
      </c>
      <c r="T414" s="18" t="s">
        <v>32</v>
      </c>
      <c r="U414" s="18">
        <f>IF(tbl_raw[[#This Row],[Order_Status]]="Returned",1,0)</f>
        <v>0</v>
      </c>
      <c r="V414" s="18">
        <f>IF(tbl_raw[[#This Row],[Payment_Method]]="COD",1,0)</f>
        <v>0</v>
      </c>
      <c r="W414" s="21">
        <f>MIN(1,(tbl_raw[[#This Row],[Discount_Pct]]*1.4)+(tbl_raw[[#This Row],[COD_Flag]]*0.35))</f>
        <v>0.11199999999999999</v>
      </c>
    </row>
    <row r="415" spans="1:23" ht="22.8" x14ac:dyDescent="0.3">
      <c r="A415" s="22" t="s">
        <v>1174</v>
      </c>
      <c r="B415" s="23" t="s">
        <v>643</v>
      </c>
      <c r="C415" s="23" t="s">
        <v>89</v>
      </c>
      <c r="D415" s="23" t="s">
        <v>175</v>
      </c>
      <c r="E415" s="23" t="s">
        <v>149</v>
      </c>
      <c r="F415" s="23" t="s">
        <v>1175</v>
      </c>
      <c r="G415" s="23" t="s">
        <v>38</v>
      </c>
      <c r="H415" s="23" t="s">
        <v>39</v>
      </c>
      <c r="I415" s="23">
        <v>3</v>
      </c>
      <c r="J415" s="24">
        <v>2484</v>
      </c>
      <c r="K415" s="24">
        <v>2335</v>
      </c>
      <c r="L415" s="25">
        <v>0.06</v>
      </c>
      <c r="M415" s="24">
        <v>1598</v>
      </c>
      <c r="N415" s="24">
        <f>(tbl_raw[[#This Row],[Selling_Price]]-tbl_raw[[#This Row],[Cost_Price]])*tbl_raw[[#This Row],[Units_Sold]]</f>
        <v>2211</v>
      </c>
      <c r="O415" s="25">
        <f>IFERROR((tbl_raw[[#This Row],[Selling_Price]]-tbl_raw[[#This Row],[Cost_Price]]) / tbl_raw[[#This Row],[Selling_Price]],0)</f>
        <v>0.31563169164882227</v>
      </c>
      <c r="P415" s="24">
        <v>71</v>
      </c>
      <c r="Q415" s="24">
        <f>tbl_raw[[#This Row],[Gross_Profit]]-(tbl_raw[[#This Row],[Shipping_Cost]]*tbl_raw[[#This Row],[Units_Sold]])</f>
        <v>1998</v>
      </c>
      <c r="R415" s="25">
        <f>IFERROR(tbl_raw[[#This Row],[Net_Profit]]/(tbl_raw[[#This Row],[Selling_Price]]*tbl_raw[[#This Row],[Units_Sold]]),0)</f>
        <v>0.28522483940042825</v>
      </c>
      <c r="S415" s="23" t="s">
        <v>65</v>
      </c>
      <c r="T415" s="23" t="s">
        <v>32</v>
      </c>
      <c r="U415" s="23">
        <f>IF(tbl_raw[[#This Row],[Order_Status]]="Returned",1,0)</f>
        <v>0</v>
      </c>
      <c r="V415" s="23">
        <f>IF(tbl_raw[[#This Row],[Payment_Method]]="COD",1,0)</f>
        <v>0</v>
      </c>
      <c r="W415" s="26">
        <f>MIN(1,(tbl_raw[[#This Row],[Discount_Pct]]*1.4)+(tbl_raw[[#This Row],[COD_Flag]]*0.35))</f>
        <v>8.3999999999999991E-2</v>
      </c>
    </row>
    <row r="416" spans="1:23" ht="22.8" x14ac:dyDescent="0.3">
      <c r="A416" s="17" t="s">
        <v>1176</v>
      </c>
      <c r="B416" s="18" t="s">
        <v>503</v>
      </c>
      <c r="C416" s="18" t="s">
        <v>35</v>
      </c>
      <c r="D416" s="18" t="s">
        <v>26</v>
      </c>
      <c r="E416" s="18" t="s">
        <v>125</v>
      </c>
      <c r="F416" s="18" t="s">
        <v>1177</v>
      </c>
      <c r="G416" s="18" t="s">
        <v>38</v>
      </c>
      <c r="H416" s="18" t="s">
        <v>39</v>
      </c>
      <c r="I416" s="18">
        <v>3</v>
      </c>
      <c r="J416" s="19">
        <v>3973</v>
      </c>
      <c r="K416" s="19">
        <v>2741</v>
      </c>
      <c r="L416" s="20">
        <v>0.31</v>
      </c>
      <c r="M416" s="19">
        <v>2888</v>
      </c>
      <c r="N416" s="19">
        <f>(tbl_raw[[#This Row],[Selling_Price]]-tbl_raw[[#This Row],[Cost_Price]])*tbl_raw[[#This Row],[Units_Sold]]</f>
        <v>-441</v>
      </c>
      <c r="O416" s="20">
        <f>IFERROR((tbl_raw[[#This Row],[Selling_Price]]-tbl_raw[[#This Row],[Cost_Price]]) / tbl_raw[[#This Row],[Selling_Price]],0)</f>
        <v>-5.3630062021160163E-2</v>
      </c>
      <c r="P416" s="19">
        <v>178</v>
      </c>
      <c r="Q416" s="19">
        <f>tbl_raw[[#This Row],[Gross_Profit]]-(tbl_raw[[#This Row],[Shipping_Cost]]*tbl_raw[[#This Row],[Units_Sold]])</f>
        <v>-975</v>
      </c>
      <c r="R416" s="20">
        <f>IFERROR(tbl_raw[[#This Row],[Net_Profit]]/(tbl_raw[[#This Row],[Selling_Price]]*tbl_raw[[#This Row],[Units_Sold]]),0)</f>
        <v>-0.11856986501276906</v>
      </c>
      <c r="S416" s="18" t="s">
        <v>107</v>
      </c>
      <c r="T416" s="18" t="s">
        <v>59</v>
      </c>
      <c r="U416" s="18">
        <f>IF(tbl_raw[[#This Row],[Order_Status]]="Returned",1,0)</f>
        <v>0</v>
      </c>
      <c r="V416" s="18">
        <f>IF(tbl_raw[[#This Row],[Payment_Method]]="COD",1,0)</f>
        <v>0</v>
      </c>
      <c r="W416" s="21">
        <f>MIN(1,(tbl_raw[[#This Row],[Discount_Pct]]*1.4)+(tbl_raw[[#This Row],[COD_Flag]]*0.35))</f>
        <v>0.434</v>
      </c>
    </row>
    <row r="417" spans="1:23" ht="22.8" x14ac:dyDescent="0.3">
      <c r="A417" s="22" t="s">
        <v>1178</v>
      </c>
      <c r="B417" s="23" t="s">
        <v>268</v>
      </c>
      <c r="C417" s="23" t="s">
        <v>99</v>
      </c>
      <c r="D417" s="23" t="s">
        <v>44</v>
      </c>
      <c r="E417" s="23" t="s">
        <v>73</v>
      </c>
      <c r="F417" s="23" t="s">
        <v>1179</v>
      </c>
      <c r="G417" s="23" t="s">
        <v>102</v>
      </c>
      <c r="H417" s="23" t="s">
        <v>39</v>
      </c>
      <c r="I417" s="23">
        <v>16</v>
      </c>
      <c r="J417" s="24">
        <v>4254</v>
      </c>
      <c r="K417" s="24">
        <v>3063</v>
      </c>
      <c r="L417" s="25">
        <v>0.28000000000000003</v>
      </c>
      <c r="M417" s="24">
        <v>2435</v>
      </c>
      <c r="N417" s="24">
        <f>(tbl_raw[[#This Row],[Selling_Price]]-tbl_raw[[#This Row],[Cost_Price]])*tbl_raw[[#This Row],[Units_Sold]]</f>
        <v>10048</v>
      </c>
      <c r="O417" s="25">
        <f>IFERROR((tbl_raw[[#This Row],[Selling_Price]]-tbl_raw[[#This Row],[Cost_Price]]) / tbl_raw[[#This Row],[Selling_Price]],0)</f>
        <v>0.20502775057133529</v>
      </c>
      <c r="P417" s="24">
        <v>57</v>
      </c>
      <c r="Q417" s="24">
        <f>tbl_raw[[#This Row],[Gross_Profit]]-(tbl_raw[[#This Row],[Shipping_Cost]]*tbl_raw[[#This Row],[Units_Sold]])</f>
        <v>9136</v>
      </c>
      <c r="R417" s="25">
        <f>IFERROR(tbl_raw[[#This Row],[Net_Profit]]/(tbl_raw[[#This Row],[Selling_Price]]*tbl_raw[[#This Row],[Units_Sold]]),0)</f>
        <v>0.18641854391119816</v>
      </c>
      <c r="S417" s="23" t="s">
        <v>65</v>
      </c>
      <c r="T417" s="23" t="s">
        <v>32</v>
      </c>
      <c r="U417" s="23">
        <f>IF(tbl_raw[[#This Row],[Order_Status]]="Returned",1,0)</f>
        <v>0</v>
      </c>
      <c r="V417" s="23">
        <f>IF(tbl_raw[[#This Row],[Payment_Method]]="COD",1,0)</f>
        <v>0</v>
      </c>
      <c r="W417" s="26">
        <f>MIN(1,(tbl_raw[[#This Row],[Discount_Pct]]*1.4)+(tbl_raw[[#This Row],[COD_Flag]]*0.35))</f>
        <v>0.39200000000000002</v>
      </c>
    </row>
    <row r="418" spans="1:23" ht="22.8" x14ac:dyDescent="0.3">
      <c r="A418" s="17" t="s">
        <v>1180</v>
      </c>
      <c r="B418" s="18" t="s">
        <v>1181</v>
      </c>
      <c r="C418" s="18" t="s">
        <v>35</v>
      </c>
      <c r="D418" s="18" t="s">
        <v>175</v>
      </c>
      <c r="E418" s="18" t="s">
        <v>354</v>
      </c>
      <c r="F418" s="18" t="s">
        <v>1182</v>
      </c>
      <c r="G418" s="18" t="s">
        <v>120</v>
      </c>
      <c r="H418" s="18" t="s">
        <v>39</v>
      </c>
      <c r="I418" s="18">
        <v>7</v>
      </c>
      <c r="J418" s="19">
        <v>6437</v>
      </c>
      <c r="K418" s="19">
        <v>3540</v>
      </c>
      <c r="L418" s="20">
        <v>0.45</v>
      </c>
      <c r="M418" s="19">
        <v>3508</v>
      </c>
      <c r="N418" s="19">
        <f>(tbl_raw[[#This Row],[Selling_Price]]-tbl_raw[[#This Row],[Cost_Price]])*tbl_raw[[#This Row],[Units_Sold]]</f>
        <v>224</v>
      </c>
      <c r="O418" s="20">
        <f>IFERROR((tbl_raw[[#This Row],[Selling_Price]]-tbl_raw[[#This Row],[Cost_Price]]) / tbl_raw[[#This Row],[Selling_Price]],0)</f>
        <v>9.0395480225988704E-3</v>
      </c>
      <c r="P418" s="19">
        <v>80</v>
      </c>
      <c r="Q418" s="19">
        <f>tbl_raw[[#This Row],[Gross_Profit]]-(tbl_raw[[#This Row],[Shipping_Cost]]*tbl_raw[[#This Row],[Units_Sold]])</f>
        <v>-336</v>
      </c>
      <c r="R418" s="20">
        <f>IFERROR(tbl_raw[[#This Row],[Net_Profit]]/(tbl_raw[[#This Row],[Selling_Price]]*tbl_raw[[#This Row],[Units_Sold]]),0)</f>
        <v>-1.3559322033898305E-2</v>
      </c>
      <c r="S418" s="18" t="s">
        <v>65</v>
      </c>
      <c r="T418" s="18" t="s">
        <v>32</v>
      </c>
      <c r="U418" s="18">
        <f>IF(tbl_raw[[#This Row],[Order_Status]]="Returned",1,0)</f>
        <v>0</v>
      </c>
      <c r="V418" s="18">
        <f>IF(tbl_raw[[#This Row],[Payment_Method]]="COD",1,0)</f>
        <v>0</v>
      </c>
      <c r="W418" s="21">
        <f>MIN(1,(tbl_raw[[#This Row],[Discount_Pct]]*1.4)+(tbl_raw[[#This Row],[COD_Flag]]*0.35))</f>
        <v>0.63</v>
      </c>
    </row>
    <row r="419" spans="1:23" ht="22.8" x14ac:dyDescent="0.3">
      <c r="A419" s="22" t="s">
        <v>1183</v>
      </c>
      <c r="B419" s="23" t="s">
        <v>405</v>
      </c>
      <c r="C419" s="23" t="s">
        <v>25</v>
      </c>
      <c r="D419" s="23" t="s">
        <v>53</v>
      </c>
      <c r="E419" s="23" t="s">
        <v>160</v>
      </c>
      <c r="F419" s="23" t="s">
        <v>1184</v>
      </c>
      <c r="G419" s="23" t="s">
        <v>120</v>
      </c>
      <c r="H419" s="23" t="s">
        <v>39</v>
      </c>
      <c r="I419" s="23">
        <v>10</v>
      </c>
      <c r="J419" s="24">
        <v>2542</v>
      </c>
      <c r="K419" s="24">
        <v>1906</v>
      </c>
      <c r="L419" s="25">
        <v>0.25</v>
      </c>
      <c r="M419" s="24">
        <v>1699</v>
      </c>
      <c r="N419" s="24">
        <f>(tbl_raw[[#This Row],[Selling_Price]]-tbl_raw[[#This Row],[Cost_Price]])*tbl_raw[[#This Row],[Units_Sold]]</f>
        <v>2070</v>
      </c>
      <c r="O419" s="25">
        <f>IFERROR((tbl_raw[[#This Row],[Selling_Price]]-tbl_raw[[#This Row],[Cost_Price]]) / tbl_raw[[#This Row],[Selling_Price]],0)</f>
        <v>0.10860440713536201</v>
      </c>
      <c r="P419" s="24">
        <v>47</v>
      </c>
      <c r="Q419" s="24">
        <f>tbl_raw[[#This Row],[Gross_Profit]]-(tbl_raw[[#This Row],[Shipping_Cost]]*tbl_raw[[#This Row],[Units_Sold]])</f>
        <v>1600</v>
      </c>
      <c r="R419" s="25">
        <f>IFERROR(tbl_raw[[#This Row],[Net_Profit]]/(tbl_raw[[#This Row],[Selling_Price]]*tbl_raw[[#This Row],[Units_Sold]]),0)</f>
        <v>8.394543546694648E-2</v>
      </c>
      <c r="S419" s="23" t="s">
        <v>107</v>
      </c>
      <c r="T419" s="23" t="s">
        <v>32</v>
      </c>
      <c r="U419" s="23">
        <f>IF(tbl_raw[[#This Row],[Order_Status]]="Returned",1,0)</f>
        <v>0</v>
      </c>
      <c r="V419" s="23">
        <f>IF(tbl_raw[[#This Row],[Payment_Method]]="COD",1,0)</f>
        <v>0</v>
      </c>
      <c r="W419" s="26">
        <f>MIN(1,(tbl_raw[[#This Row],[Discount_Pct]]*1.4)+(tbl_raw[[#This Row],[COD_Flag]]*0.35))</f>
        <v>0.35</v>
      </c>
    </row>
    <row r="420" spans="1:23" ht="22.8" x14ac:dyDescent="0.3">
      <c r="A420" s="17" t="s">
        <v>1185</v>
      </c>
      <c r="B420" s="18" t="s">
        <v>435</v>
      </c>
      <c r="C420" s="18" t="s">
        <v>199</v>
      </c>
      <c r="D420" s="18" t="s">
        <v>164</v>
      </c>
      <c r="E420" s="18" t="s">
        <v>165</v>
      </c>
      <c r="F420" s="18" t="s">
        <v>1186</v>
      </c>
      <c r="G420" s="18" t="s">
        <v>56</v>
      </c>
      <c r="H420" s="18" t="s">
        <v>57</v>
      </c>
      <c r="I420" s="18">
        <v>16</v>
      </c>
      <c r="J420" s="19">
        <v>7346</v>
      </c>
      <c r="K420" s="19">
        <v>4701</v>
      </c>
      <c r="L420" s="20">
        <v>0.36</v>
      </c>
      <c r="M420" s="19">
        <v>4598</v>
      </c>
      <c r="N420" s="19">
        <f>(tbl_raw[[#This Row],[Selling_Price]]-tbl_raw[[#This Row],[Cost_Price]])*tbl_raw[[#This Row],[Units_Sold]]</f>
        <v>1648</v>
      </c>
      <c r="O420" s="20">
        <f>IFERROR((tbl_raw[[#This Row],[Selling_Price]]-tbl_raw[[#This Row],[Cost_Price]]) / tbl_raw[[#This Row],[Selling_Price]],0)</f>
        <v>2.1910231865560518E-2</v>
      </c>
      <c r="P420" s="19">
        <v>102</v>
      </c>
      <c r="Q420" s="19">
        <f>tbl_raw[[#This Row],[Gross_Profit]]-(tbl_raw[[#This Row],[Shipping_Cost]]*tbl_raw[[#This Row],[Units_Sold]])</f>
        <v>16</v>
      </c>
      <c r="R420" s="20">
        <f>IFERROR(tbl_raw[[#This Row],[Net_Profit]]/(tbl_raw[[#This Row],[Selling_Price]]*tbl_raw[[#This Row],[Units_Sold]]),0)</f>
        <v>2.1272069772388852E-4</v>
      </c>
      <c r="S420" s="18" t="s">
        <v>31</v>
      </c>
      <c r="T420" s="18" t="s">
        <v>32</v>
      </c>
      <c r="U420" s="18">
        <f>IF(tbl_raw[[#This Row],[Order_Status]]="Returned",1,0)</f>
        <v>0</v>
      </c>
      <c r="V420" s="18">
        <f>IF(tbl_raw[[#This Row],[Payment_Method]]="COD",1,0)</f>
        <v>0</v>
      </c>
      <c r="W420" s="21">
        <f>MIN(1,(tbl_raw[[#This Row],[Discount_Pct]]*1.4)+(tbl_raw[[#This Row],[COD_Flag]]*0.35))</f>
        <v>0.504</v>
      </c>
    </row>
    <row r="421" spans="1:23" ht="22.8" x14ac:dyDescent="0.3">
      <c r="A421" s="22" t="s">
        <v>1187</v>
      </c>
      <c r="B421" s="23" t="s">
        <v>109</v>
      </c>
      <c r="C421" s="23" t="s">
        <v>89</v>
      </c>
      <c r="D421" s="23" t="s">
        <v>78</v>
      </c>
      <c r="E421" s="23" t="s">
        <v>296</v>
      </c>
      <c r="F421" s="23" t="s">
        <v>1188</v>
      </c>
      <c r="G421" s="23" t="s">
        <v>38</v>
      </c>
      <c r="H421" s="23" t="s">
        <v>39</v>
      </c>
      <c r="I421" s="23">
        <v>10</v>
      </c>
      <c r="J421" s="24">
        <v>4607</v>
      </c>
      <c r="K421" s="24">
        <v>3179</v>
      </c>
      <c r="L421" s="25">
        <v>0.31</v>
      </c>
      <c r="M421" s="24">
        <v>2738</v>
      </c>
      <c r="N421" s="24">
        <f>(tbl_raw[[#This Row],[Selling_Price]]-tbl_raw[[#This Row],[Cost_Price]])*tbl_raw[[#This Row],[Units_Sold]]</f>
        <v>4410</v>
      </c>
      <c r="O421" s="25">
        <f>IFERROR((tbl_raw[[#This Row],[Selling_Price]]-tbl_raw[[#This Row],[Cost_Price]]) / tbl_raw[[#This Row],[Selling_Price]],0)</f>
        <v>0.13872286882667506</v>
      </c>
      <c r="P421" s="24">
        <v>33</v>
      </c>
      <c r="Q421" s="24">
        <f>tbl_raw[[#This Row],[Gross_Profit]]-(tbl_raw[[#This Row],[Shipping_Cost]]*tbl_raw[[#This Row],[Units_Sold]])</f>
        <v>4080</v>
      </c>
      <c r="R421" s="25">
        <f>IFERROR(tbl_raw[[#This Row],[Net_Profit]]/(tbl_raw[[#This Row],[Selling_Price]]*tbl_raw[[#This Row],[Units_Sold]]),0)</f>
        <v>0.12834224598930483</v>
      </c>
      <c r="S421" s="23" t="s">
        <v>65</v>
      </c>
      <c r="T421" s="23" t="s">
        <v>86</v>
      </c>
      <c r="U421" s="23">
        <f>IF(tbl_raw[[#This Row],[Order_Status]]="Returned",1,0)</f>
        <v>1</v>
      </c>
      <c r="V421" s="23">
        <f>IF(tbl_raw[[#This Row],[Payment_Method]]="COD",1,0)</f>
        <v>0</v>
      </c>
      <c r="W421" s="26">
        <f>MIN(1,(tbl_raw[[#This Row],[Discount_Pct]]*1.4)+(tbl_raw[[#This Row],[COD_Flag]]*0.35))</f>
        <v>0.434</v>
      </c>
    </row>
    <row r="422" spans="1:23" ht="22.8" x14ac:dyDescent="0.3">
      <c r="A422" s="17" t="s">
        <v>1189</v>
      </c>
      <c r="B422" s="18" t="s">
        <v>1190</v>
      </c>
      <c r="C422" s="18" t="s">
        <v>89</v>
      </c>
      <c r="D422" s="18" t="s">
        <v>164</v>
      </c>
      <c r="E422" s="18" t="s">
        <v>413</v>
      </c>
      <c r="F422" s="18" t="s">
        <v>1191</v>
      </c>
      <c r="G422" s="18" t="s">
        <v>139</v>
      </c>
      <c r="H422" s="18" t="s">
        <v>48</v>
      </c>
      <c r="I422" s="18">
        <v>11</v>
      </c>
      <c r="J422" s="19">
        <v>7872</v>
      </c>
      <c r="K422" s="19">
        <v>5668</v>
      </c>
      <c r="L422" s="20">
        <v>0.28000000000000003</v>
      </c>
      <c r="M422" s="19">
        <v>5470</v>
      </c>
      <c r="N422" s="19">
        <f>(tbl_raw[[#This Row],[Selling_Price]]-tbl_raw[[#This Row],[Cost_Price]])*tbl_raw[[#This Row],[Units_Sold]]</f>
        <v>2178</v>
      </c>
      <c r="O422" s="20">
        <f>IFERROR((tbl_raw[[#This Row],[Selling_Price]]-tbl_raw[[#This Row],[Cost_Price]]) / tbl_raw[[#This Row],[Selling_Price]],0)</f>
        <v>3.4932956951305577E-2</v>
      </c>
      <c r="P422" s="19">
        <v>116</v>
      </c>
      <c r="Q422" s="19">
        <f>tbl_raw[[#This Row],[Gross_Profit]]-(tbl_raw[[#This Row],[Shipping_Cost]]*tbl_raw[[#This Row],[Units_Sold]])</f>
        <v>902</v>
      </c>
      <c r="R422" s="20">
        <f>IFERROR(tbl_raw[[#This Row],[Net_Profit]]/(tbl_raw[[#This Row],[Selling_Price]]*tbl_raw[[#This Row],[Units_Sold]]),0)</f>
        <v>1.4467184191954835E-2</v>
      </c>
      <c r="S422" s="18" t="s">
        <v>31</v>
      </c>
      <c r="T422" s="18" t="s">
        <v>32</v>
      </c>
      <c r="U422" s="18">
        <f>IF(tbl_raw[[#This Row],[Order_Status]]="Returned",1,0)</f>
        <v>0</v>
      </c>
      <c r="V422" s="18">
        <f>IF(tbl_raw[[#This Row],[Payment_Method]]="COD",1,0)</f>
        <v>0</v>
      </c>
      <c r="W422" s="21">
        <f>MIN(1,(tbl_raw[[#This Row],[Discount_Pct]]*1.4)+(tbl_raw[[#This Row],[COD_Flag]]*0.35))</f>
        <v>0.39200000000000002</v>
      </c>
    </row>
    <row r="423" spans="1:23" ht="22.8" x14ac:dyDescent="0.3">
      <c r="A423" s="22" t="s">
        <v>1192</v>
      </c>
      <c r="B423" s="23" t="s">
        <v>250</v>
      </c>
      <c r="C423" s="23" t="s">
        <v>99</v>
      </c>
      <c r="D423" s="23" t="s">
        <v>44</v>
      </c>
      <c r="E423" s="23" t="s">
        <v>45</v>
      </c>
      <c r="F423" s="23" t="s">
        <v>1193</v>
      </c>
      <c r="G423" s="23" t="s">
        <v>47</v>
      </c>
      <c r="H423" s="23" t="s">
        <v>48</v>
      </c>
      <c r="I423" s="23">
        <v>3</v>
      </c>
      <c r="J423" s="24">
        <v>4077</v>
      </c>
      <c r="K423" s="24">
        <v>3629</v>
      </c>
      <c r="L423" s="25">
        <v>0.11</v>
      </c>
      <c r="M423" s="24">
        <v>2276</v>
      </c>
      <c r="N423" s="24">
        <f>(tbl_raw[[#This Row],[Selling_Price]]-tbl_raw[[#This Row],[Cost_Price]])*tbl_raw[[#This Row],[Units_Sold]]</f>
        <v>4059</v>
      </c>
      <c r="O423" s="25">
        <f>IFERROR((tbl_raw[[#This Row],[Selling_Price]]-tbl_raw[[#This Row],[Cost_Price]]) / tbl_raw[[#This Row],[Selling_Price]],0)</f>
        <v>0.37282998071093965</v>
      </c>
      <c r="P423" s="24">
        <v>173</v>
      </c>
      <c r="Q423" s="24">
        <f>tbl_raw[[#This Row],[Gross_Profit]]-(tbl_raw[[#This Row],[Shipping_Cost]]*tbl_raw[[#This Row],[Units_Sold]])</f>
        <v>3540</v>
      </c>
      <c r="R423" s="25">
        <f>IFERROR(tbl_raw[[#This Row],[Net_Profit]]/(tbl_raw[[#This Row],[Selling_Price]]*tbl_raw[[#This Row],[Units_Sold]]),0)</f>
        <v>0.32515844585285203</v>
      </c>
      <c r="S423" s="23" t="s">
        <v>40</v>
      </c>
      <c r="T423" s="23" t="s">
        <v>32</v>
      </c>
      <c r="U423" s="23">
        <f>IF(tbl_raw[[#This Row],[Order_Status]]="Returned",1,0)</f>
        <v>0</v>
      </c>
      <c r="V423" s="23">
        <f>IF(tbl_raw[[#This Row],[Payment_Method]]="COD",1,0)</f>
        <v>1</v>
      </c>
      <c r="W423" s="26">
        <f>MIN(1,(tbl_raw[[#This Row],[Discount_Pct]]*1.4)+(tbl_raw[[#This Row],[COD_Flag]]*0.35))</f>
        <v>0.504</v>
      </c>
    </row>
    <row r="424" spans="1:23" ht="22.8" x14ac:dyDescent="0.3">
      <c r="A424" s="17" t="s">
        <v>1194</v>
      </c>
      <c r="B424" s="18" t="s">
        <v>1195</v>
      </c>
      <c r="C424" s="18" t="s">
        <v>89</v>
      </c>
      <c r="D424" s="18" t="s">
        <v>26</v>
      </c>
      <c r="E424" s="18" t="s">
        <v>100</v>
      </c>
      <c r="F424" s="18" t="s">
        <v>1196</v>
      </c>
      <c r="G424" s="18" t="s">
        <v>75</v>
      </c>
      <c r="H424" s="18" t="s">
        <v>48</v>
      </c>
      <c r="I424" s="18">
        <v>17</v>
      </c>
      <c r="J424" s="19">
        <v>394</v>
      </c>
      <c r="K424" s="19">
        <v>307</v>
      </c>
      <c r="L424" s="20">
        <v>0.22</v>
      </c>
      <c r="M424" s="19">
        <v>227</v>
      </c>
      <c r="N424" s="19">
        <f>(tbl_raw[[#This Row],[Selling_Price]]-tbl_raw[[#This Row],[Cost_Price]])*tbl_raw[[#This Row],[Units_Sold]]</f>
        <v>1360</v>
      </c>
      <c r="O424" s="20">
        <f>IFERROR((tbl_raw[[#This Row],[Selling_Price]]-tbl_raw[[#This Row],[Cost_Price]]) / tbl_raw[[#This Row],[Selling_Price]],0)</f>
        <v>0.26058631921824105</v>
      </c>
      <c r="P424" s="19">
        <v>59</v>
      </c>
      <c r="Q424" s="19">
        <f>tbl_raw[[#This Row],[Gross_Profit]]-(tbl_raw[[#This Row],[Shipping_Cost]]*tbl_raw[[#This Row],[Units_Sold]])</f>
        <v>357</v>
      </c>
      <c r="R424" s="20">
        <f>IFERROR(tbl_raw[[#This Row],[Net_Profit]]/(tbl_raw[[#This Row],[Selling_Price]]*tbl_raw[[#This Row],[Units_Sold]]),0)</f>
        <v>6.8403908794788276E-2</v>
      </c>
      <c r="S424" s="18" t="s">
        <v>31</v>
      </c>
      <c r="T424" s="18" t="s">
        <v>32</v>
      </c>
      <c r="U424" s="18">
        <f>IF(tbl_raw[[#This Row],[Order_Status]]="Returned",1,0)</f>
        <v>0</v>
      </c>
      <c r="V424" s="18">
        <f>IF(tbl_raw[[#This Row],[Payment_Method]]="COD",1,0)</f>
        <v>0</v>
      </c>
      <c r="W424" s="21">
        <f>MIN(1,(tbl_raw[[#This Row],[Discount_Pct]]*1.4)+(tbl_raw[[#This Row],[COD_Flag]]*0.35))</f>
        <v>0.308</v>
      </c>
    </row>
    <row r="425" spans="1:23" ht="22.8" x14ac:dyDescent="0.3">
      <c r="A425" s="22" t="s">
        <v>1197</v>
      </c>
      <c r="B425" s="23" t="s">
        <v>1198</v>
      </c>
      <c r="C425" s="23" t="s">
        <v>89</v>
      </c>
      <c r="D425" s="23" t="s">
        <v>175</v>
      </c>
      <c r="E425" s="23" t="s">
        <v>176</v>
      </c>
      <c r="F425" s="23" t="s">
        <v>1199</v>
      </c>
      <c r="G425" s="23" t="s">
        <v>81</v>
      </c>
      <c r="H425" s="23" t="s">
        <v>30</v>
      </c>
      <c r="I425" s="23">
        <v>7</v>
      </c>
      <c r="J425" s="24">
        <v>5852</v>
      </c>
      <c r="K425" s="24">
        <v>4623</v>
      </c>
      <c r="L425" s="25">
        <v>0.21</v>
      </c>
      <c r="M425" s="24">
        <v>3803</v>
      </c>
      <c r="N425" s="24">
        <f>(tbl_raw[[#This Row],[Selling_Price]]-tbl_raw[[#This Row],[Cost_Price]])*tbl_raw[[#This Row],[Units_Sold]]</f>
        <v>5740</v>
      </c>
      <c r="O425" s="25">
        <f>IFERROR((tbl_raw[[#This Row],[Selling_Price]]-tbl_raw[[#This Row],[Cost_Price]]) / tbl_raw[[#This Row],[Selling_Price]],0)</f>
        <v>0.17737399956738048</v>
      </c>
      <c r="P425" s="24">
        <v>108</v>
      </c>
      <c r="Q425" s="24">
        <f>tbl_raw[[#This Row],[Gross_Profit]]-(tbl_raw[[#This Row],[Shipping_Cost]]*tbl_raw[[#This Row],[Units_Sold]])</f>
        <v>4984</v>
      </c>
      <c r="R425" s="25">
        <f>IFERROR(tbl_raw[[#This Row],[Net_Profit]]/(tbl_raw[[#This Row],[Selling_Price]]*tbl_raw[[#This Row],[Units_Sold]]),0)</f>
        <v>0.15401254596582306</v>
      </c>
      <c r="S425" s="23" t="s">
        <v>58</v>
      </c>
      <c r="T425" s="23" t="s">
        <v>32</v>
      </c>
      <c r="U425" s="23">
        <f>IF(tbl_raw[[#This Row],[Order_Status]]="Returned",1,0)</f>
        <v>0</v>
      </c>
      <c r="V425" s="23">
        <f>IF(tbl_raw[[#This Row],[Payment_Method]]="COD",1,0)</f>
        <v>0</v>
      </c>
      <c r="W425" s="26">
        <f>MIN(1,(tbl_raw[[#This Row],[Discount_Pct]]*1.4)+(tbl_raw[[#This Row],[COD_Flag]]*0.35))</f>
        <v>0.29399999999999998</v>
      </c>
    </row>
    <row r="426" spans="1:23" ht="22.8" x14ac:dyDescent="0.3">
      <c r="A426" s="17" t="s">
        <v>1200</v>
      </c>
      <c r="B426" s="18" t="s">
        <v>923</v>
      </c>
      <c r="C426" s="18" t="s">
        <v>199</v>
      </c>
      <c r="D426" s="18" t="s">
        <v>175</v>
      </c>
      <c r="E426" s="18" t="s">
        <v>190</v>
      </c>
      <c r="F426" s="18" t="s">
        <v>1201</v>
      </c>
      <c r="G426" s="18" t="s">
        <v>139</v>
      </c>
      <c r="H426" s="18" t="s">
        <v>48</v>
      </c>
      <c r="I426" s="18">
        <v>4</v>
      </c>
      <c r="J426" s="19">
        <v>4261</v>
      </c>
      <c r="K426" s="19">
        <v>2983</v>
      </c>
      <c r="L426" s="20">
        <v>0.3</v>
      </c>
      <c r="M426" s="19">
        <v>2170</v>
      </c>
      <c r="N426" s="19">
        <f>(tbl_raw[[#This Row],[Selling_Price]]-tbl_raw[[#This Row],[Cost_Price]])*tbl_raw[[#This Row],[Units_Sold]]</f>
        <v>3252</v>
      </c>
      <c r="O426" s="20">
        <f>IFERROR((tbl_raw[[#This Row],[Selling_Price]]-tbl_raw[[#This Row],[Cost_Price]]) / tbl_raw[[#This Row],[Selling_Price]],0)</f>
        <v>0.2725444183707677</v>
      </c>
      <c r="P426" s="19">
        <v>117</v>
      </c>
      <c r="Q426" s="19">
        <f>tbl_raw[[#This Row],[Gross_Profit]]-(tbl_raw[[#This Row],[Shipping_Cost]]*tbl_raw[[#This Row],[Units_Sold]])</f>
        <v>2784</v>
      </c>
      <c r="R426" s="20">
        <f>IFERROR(tbl_raw[[#This Row],[Net_Profit]]/(tbl_raw[[#This Row],[Selling_Price]]*tbl_raw[[#This Row],[Units_Sold]]),0)</f>
        <v>0.23332215890043581</v>
      </c>
      <c r="S426" s="18" t="s">
        <v>107</v>
      </c>
      <c r="T426" s="18" t="s">
        <v>32</v>
      </c>
      <c r="U426" s="18">
        <f>IF(tbl_raw[[#This Row],[Order_Status]]="Returned",1,0)</f>
        <v>0</v>
      </c>
      <c r="V426" s="18">
        <f>IF(tbl_raw[[#This Row],[Payment_Method]]="COD",1,0)</f>
        <v>0</v>
      </c>
      <c r="W426" s="21">
        <f>MIN(1,(tbl_raw[[#This Row],[Discount_Pct]]*1.4)+(tbl_raw[[#This Row],[COD_Flag]]*0.35))</f>
        <v>0.42</v>
      </c>
    </row>
    <row r="427" spans="1:23" ht="22.8" x14ac:dyDescent="0.3">
      <c r="A427" s="22" t="s">
        <v>1202</v>
      </c>
      <c r="B427" s="23" t="s">
        <v>1118</v>
      </c>
      <c r="C427" s="23" t="s">
        <v>35</v>
      </c>
      <c r="D427" s="23" t="s">
        <v>53</v>
      </c>
      <c r="E427" s="23" t="s">
        <v>160</v>
      </c>
      <c r="F427" s="23" t="s">
        <v>1203</v>
      </c>
      <c r="G427" s="23" t="s">
        <v>56</v>
      </c>
      <c r="H427" s="23" t="s">
        <v>57</v>
      </c>
      <c r="I427" s="23">
        <v>15</v>
      </c>
      <c r="J427" s="24">
        <v>5435</v>
      </c>
      <c r="K427" s="24">
        <v>4783</v>
      </c>
      <c r="L427" s="25">
        <v>0.12</v>
      </c>
      <c r="M427" s="24">
        <v>2474</v>
      </c>
      <c r="N427" s="24">
        <f>(tbl_raw[[#This Row],[Selling_Price]]-tbl_raw[[#This Row],[Cost_Price]])*tbl_raw[[#This Row],[Units_Sold]]</f>
        <v>34635</v>
      </c>
      <c r="O427" s="25">
        <f>IFERROR((tbl_raw[[#This Row],[Selling_Price]]-tbl_raw[[#This Row],[Cost_Price]]) / tbl_raw[[#This Row],[Selling_Price]],0)</f>
        <v>0.48275141124817061</v>
      </c>
      <c r="P427" s="24">
        <v>47</v>
      </c>
      <c r="Q427" s="24">
        <f>tbl_raw[[#This Row],[Gross_Profit]]-(tbl_raw[[#This Row],[Shipping_Cost]]*tbl_raw[[#This Row],[Units_Sold]])</f>
        <v>33930</v>
      </c>
      <c r="R427" s="25">
        <f>IFERROR(tbl_raw[[#This Row],[Net_Profit]]/(tbl_raw[[#This Row],[Selling_Price]]*tbl_raw[[#This Row],[Units_Sold]]),0)</f>
        <v>0.47292494250470418</v>
      </c>
      <c r="S427" s="23" t="s">
        <v>65</v>
      </c>
      <c r="T427" s="23" t="s">
        <v>32</v>
      </c>
      <c r="U427" s="23">
        <f>IF(tbl_raw[[#This Row],[Order_Status]]="Returned",1,0)</f>
        <v>0</v>
      </c>
      <c r="V427" s="23">
        <f>IF(tbl_raw[[#This Row],[Payment_Method]]="COD",1,0)</f>
        <v>0</v>
      </c>
      <c r="W427" s="26">
        <f>MIN(1,(tbl_raw[[#This Row],[Discount_Pct]]*1.4)+(tbl_raw[[#This Row],[COD_Flag]]*0.35))</f>
        <v>0.16799999999999998</v>
      </c>
    </row>
    <row r="428" spans="1:23" ht="22.8" x14ac:dyDescent="0.3">
      <c r="A428" s="17" t="s">
        <v>1204</v>
      </c>
      <c r="B428" s="18" t="s">
        <v>762</v>
      </c>
      <c r="C428" s="18" t="s">
        <v>105</v>
      </c>
      <c r="D428" s="18" t="s">
        <v>44</v>
      </c>
      <c r="E428" s="18" t="s">
        <v>279</v>
      </c>
      <c r="F428" s="18" t="s">
        <v>1205</v>
      </c>
      <c r="G428" s="18" t="s">
        <v>143</v>
      </c>
      <c r="H428" s="18" t="s">
        <v>30</v>
      </c>
      <c r="I428" s="18">
        <v>19</v>
      </c>
      <c r="J428" s="19">
        <v>2110</v>
      </c>
      <c r="K428" s="19">
        <v>2047</v>
      </c>
      <c r="L428" s="20">
        <v>0.03</v>
      </c>
      <c r="M428" s="19">
        <v>1297</v>
      </c>
      <c r="N428" s="19">
        <f>(tbl_raw[[#This Row],[Selling_Price]]-tbl_raw[[#This Row],[Cost_Price]])*tbl_raw[[#This Row],[Units_Sold]]</f>
        <v>14250</v>
      </c>
      <c r="O428" s="20">
        <f>IFERROR((tbl_raw[[#This Row],[Selling_Price]]-tbl_raw[[#This Row],[Cost_Price]]) / tbl_raw[[#This Row],[Selling_Price]],0)</f>
        <v>0.36638983878847092</v>
      </c>
      <c r="P428" s="19">
        <v>81</v>
      </c>
      <c r="Q428" s="19">
        <f>tbl_raw[[#This Row],[Gross_Profit]]-(tbl_raw[[#This Row],[Shipping_Cost]]*tbl_raw[[#This Row],[Units_Sold]])</f>
        <v>12711</v>
      </c>
      <c r="R428" s="20">
        <f>IFERROR(tbl_raw[[#This Row],[Net_Profit]]/(tbl_raw[[#This Row],[Selling_Price]]*tbl_raw[[#This Row],[Units_Sold]]),0)</f>
        <v>0.32681973619931609</v>
      </c>
      <c r="S428" s="18" t="s">
        <v>31</v>
      </c>
      <c r="T428" s="18" t="s">
        <v>32</v>
      </c>
      <c r="U428" s="18">
        <f>IF(tbl_raw[[#This Row],[Order_Status]]="Returned",1,0)</f>
        <v>0</v>
      </c>
      <c r="V428" s="18">
        <f>IF(tbl_raw[[#This Row],[Payment_Method]]="COD",1,0)</f>
        <v>0</v>
      </c>
      <c r="W428" s="21">
        <f>MIN(1,(tbl_raw[[#This Row],[Discount_Pct]]*1.4)+(tbl_raw[[#This Row],[COD_Flag]]*0.35))</f>
        <v>4.1999999999999996E-2</v>
      </c>
    </row>
    <row r="429" spans="1:23" ht="22.8" x14ac:dyDescent="0.3">
      <c r="A429" s="22" t="s">
        <v>1206</v>
      </c>
      <c r="B429" s="23" t="s">
        <v>221</v>
      </c>
      <c r="C429" s="23" t="s">
        <v>25</v>
      </c>
      <c r="D429" s="23" t="s">
        <v>175</v>
      </c>
      <c r="E429" s="23" t="s">
        <v>149</v>
      </c>
      <c r="F429" s="23" t="s">
        <v>1207</v>
      </c>
      <c r="G429" s="23" t="s">
        <v>120</v>
      </c>
      <c r="H429" s="23" t="s">
        <v>39</v>
      </c>
      <c r="I429" s="23">
        <v>14</v>
      </c>
      <c r="J429" s="24">
        <v>3257</v>
      </c>
      <c r="K429" s="24">
        <v>2215</v>
      </c>
      <c r="L429" s="25">
        <v>0.32</v>
      </c>
      <c r="M429" s="24">
        <v>2319</v>
      </c>
      <c r="N429" s="24">
        <f>(tbl_raw[[#This Row],[Selling_Price]]-tbl_raw[[#This Row],[Cost_Price]])*tbl_raw[[#This Row],[Units_Sold]]</f>
        <v>-1456</v>
      </c>
      <c r="O429" s="25">
        <f>IFERROR((tbl_raw[[#This Row],[Selling_Price]]-tbl_raw[[#This Row],[Cost_Price]]) / tbl_raw[[#This Row],[Selling_Price]],0)</f>
        <v>-4.6952595936794579E-2</v>
      </c>
      <c r="P429" s="24">
        <v>124</v>
      </c>
      <c r="Q429" s="24">
        <f>tbl_raw[[#This Row],[Gross_Profit]]-(tbl_raw[[#This Row],[Shipping_Cost]]*tbl_raw[[#This Row],[Units_Sold]])</f>
        <v>-3192</v>
      </c>
      <c r="R429" s="25">
        <f>IFERROR(tbl_raw[[#This Row],[Net_Profit]]/(tbl_raw[[#This Row],[Selling_Price]]*tbl_raw[[#This Row],[Units_Sold]]),0)</f>
        <v>-0.10293453724604966</v>
      </c>
      <c r="S429" s="23" t="s">
        <v>31</v>
      </c>
      <c r="T429" s="23" t="s">
        <v>32</v>
      </c>
      <c r="U429" s="23">
        <f>IF(tbl_raw[[#This Row],[Order_Status]]="Returned",1,0)</f>
        <v>0</v>
      </c>
      <c r="V429" s="23">
        <f>IF(tbl_raw[[#This Row],[Payment_Method]]="COD",1,0)</f>
        <v>0</v>
      </c>
      <c r="W429" s="26">
        <f>MIN(1,(tbl_raw[[#This Row],[Discount_Pct]]*1.4)+(tbl_raw[[#This Row],[COD_Flag]]*0.35))</f>
        <v>0.44799999999999995</v>
      </c>
    </row>
    <row r="430" spans="1:23" ht="22.8" x14ac:dyDescent="0.3">
      <c r="A430" s="17" t="s">
        <v>1208</v>
      </c>
      <c r="B430" s="18" t="s">
        <v>408</v>
      </c>
      <c r="C430" s="18" t="s">
        <v>35</v>
      </c>
      <c r="D430" s="18" t="s">
        <v>175</v>
      </c>
      <c r="E430" s="18" t="s">
        <v>149</v>
      </c>
      <c r="F430" s="18" t="s">
        <v>1209</v>
      </c>
      <c r="G430" s="18" t="s">
        <v>81</v>
      </c>
      <c r="H430" s="18" t="s">
        <v>30</v>
      </c>
      <c r="I430" s="18">
        <v>3</v>
      </c>
      <c r="J430" s="19">
        <v>6540</v>
      </c>
      <c r="K430" s="19">
        <v>3859</v>
      </c>
      <c r="L430" s="20">
        <v>0.41</v>
      </c>
      <c r="M430" s="19">
        <v>3688</v>
      </c>
      <c r="N430" s="19">
        <f>(tbl_raw[[#This Row],[Selling_Price]]-tbl_raw[[#This Row],[Cost_Price]])*tbl_raw[[#This Row],[Units_Sold]]</f>
        <v>513</v>
      </c>
      <c r="O430" s="20">
        <f>IFERROR((tbl_raw[[#This Row],[Selling_Price]]-tbl_raw[[#This Row],[Cost_Price]]) / tbl_raw[[#This Row],[Selling_Price]],0)</f>
        <v>4.4311997926924071E-2</v>
      </c>
      <c r="P430" s="19">
        <v>98</v>
      </c>
      <c r="Q430" s="19">
        <f>tbl_raw[[#This Row],[Gross_Profit]]-(tbl_raw[[#This Row],[Shipping_Cost]]*tbl_raw[[#This Row],[Units_Sold]])</f>
        <v>219</v>
      </c>
      <c r="R430" s="20">
        <f>IFERROR(tbl_raw[[#This Row],[Net_Profit]]/(tbl_raw[[#This Row],[Selling_Price]]*tbl_raw[[#This Row],[Units_Sold]]),0)</f>
        <v>1.8916817828452968E-2</v>
      </c>
      <c r="S430" s="18" t="s">
        <v>31</v>
      </c>
      <c r="T430" s="18" t="s">
        <v>49</v>
      </c>
      <c r="U430" s="18">
        <f>IF(tbl_raw[[#This Row],[Order_Status]]="Returned",1,0)</f>
        <v>0</v>
      </c>
      <c r="V430" s="18">
        <f>IF(tbl_raw[[#This Row],[Payment_Method]]="COD",1,0)</f>
        <v>0</v>
      </c>
      <c r="W430" s="21">
        <f>MIN(1,(tbl_raw[[#This Row],[Discount_Pct]]*1.4)+(tbl_raw[[#This Row],[COD_Flag]]*0.35))</f>
        <v>0.57399999999999995</v>
      </c>
    </row>
    <row r="431" spans="1:23" ht="22.8" x14ac:dyDescent="0.3">
      <c r="A431" s="22" t="s">
        <v>1210</v>
      </c>
      <c r="B431" s="23" t="s">
        <v>427</v>
      </c>
      <c r="C431" s="23" t="s">
        <v>43</v>
      </c>
      <c r="D431" s="23" t="s">
        <v>53</v>
      </c>
      <c r="E431" s="23" t="s">
        <v>160</v>
      </c>
      <c r="F431" s="23" t="s">
        <v>1211</v>
      </c>
      <c r="G431" s="23" t="s">
        <v>81</v>
      </c>
      <c r="H431" s="23" t="s">
        <v>30</v>
      </c>
      <c r="I431" s="23">
        <v>11</v>
      </c>
      <c r="J431" s="24">
        <v>6352</v>
      </c>
      <c r="K431" s="24">
        <v>3811</v>
      </c>
      <c r="L431" s="25">
        <v>0.4</v>
      </c>
      <c r="M431" s="24">
        <v>3549</v>
      </c>
      <c r="N431" s="24">
        <f>(tbl_raw[[#This Row],[Selling_Price]]-tbl_raw[[#This Row],[Cost_Price]])*tbl_raw[[#This Row],[Units_Sold]]</f>
        <v>2882</v>
      </c>
      <c r="O431" s="25">
        <f>IFERROR((tbl_raw[[#This Row],[Selling_Price]]-tbl_raw[[#This Row],[Cost_Price]]) / tbl_raw[[#This Row],[Selling_Price]],0)</f>
        <v>6.8748360010495932E-2</v>
      </c>
      <c r="P431" s="24">
        <v>35</v>
      </c>
      <c r="Q431" s="24">
        <f>tbl_raw[[#This Row],[Gross_Profit]]-(tbl_raw[[#This Row],[Shipping_Cost]]*tbl_raw[[#This Row],[Units_Sold]])</f>
        <v>2497</v>
      </c>
      <c r="R431" s="25">
        <f>IFERROR(tbl_raw[[#This Row],[Net_Profit]]/(tbl_raw[[#This Row],[Selling_Price]]*tbl_raw[[#This Row],[Units_Sold]]),0)</f>
        <v>5.9564418787719758E-2</v>
      </c>
      <c r="S431" s="23" t="s">
        <v>31</v>
      </c>
      <c r="T431" s="23" t="s">
        <v>32</v>
      </c>
      <c r="U431" s="23">
        <f>IF(tbl_raw[[#This Row],[Order_Status]]="Returned",1,0)</f>
        <v>0</v>
      </c>
      <c r="V431" s="23">
        <f>IF(tbl_raw[[#This Row],[Payment_Method]]="COD",1,0)</f>
        <v>0</v>
      </c>
      <c r="W431" s="26">
        <f>MIN(1,(tbl_raw[[#This Row],[Discount_Pct]]*1.4)+(tbl_raw[[#This Row],[COD_Flag]]*0.35))</f>
        <v>0.55999999999999994</v>
      </c>
    </row>
    <row r="432" spans="1:23" ht="22.8" x14ac:dyDescent="0.3">
      <c r="A432" s="17" t="s">
        <v>1212</v>
      </c>
      <c r="B432" s="18" t="s">
        <v>1213</v>
      </c>
      <c r="C432" s="18" t="s">
        <v>43</v>
      </c>
      <c r="D432" s="18" t="s">
        <v>44</v>
      </c>
      <c r="E432" s="18" t="s">
        <v>338</v>
      </c>
      <c r="F432" s="18" t="s">
        <v>1214</v>
      </c>
      <c r="G432" s="18" t="s">
        <v>81</v>
      </c>
      <c r="H432" s="18" t="s">
        <v>30</v>
      </c>
      <c r="I432" s="18">
        <v>17</v>
      </c>
      <c r="J432" s="19">
        <v>1003</v>
      </c>
      <c r="K432" s="19">
        <v>632</v>
      </c>
      <c r="L432" s="20">
        <v>0.37</v>
      </c>
      <c r="M432" s="19">
        <v>681</v>
      </c>
      <c r="N432" s="19">
        <f>(tbl_raw[[#This Row],[Selling_Price]]-tbl_raw[[#This Row],[Cost_Price]])*tbl_raw[[#This Row],[Units_Sold]]</f>
        <v>-833</v>
      </c>
      <c r="O432" s="20">
        <f>IFERROR((tbl_raw[[#This Row],[Selling_Price]]-tbl_raw[[#This Row],[Cost_Price]]) / tbl_raw[[#This Row],[Selling_Price]],0)</f>
        <v>-7.753164556962025E-2</v>
      </c>
      <c r="P432" s="19">
        <v>79</v>
      </c>
      <c r="Q432" s="19">
        <f>tbl_raw[[#This Row],[Gross_Profit]]-(tbl_raw[[#This Row],[Shipping_Cost]]*tbl_raw[[#This Row],[Units_Sold]])</f>
        <v>-2176</v>
      </c>
      <c r="R432" s="20">
        <f>IFERROR(tbl_raw[[#This Row],[Net_Profit]]/(tbl_raw[[#This Row],[Selling_Price]]*tbl_raw[[#This Row],[Units_Sold]]),0)</f>
        <v>-0.20253164556962025</v>
      </c>
      <c r="S432" s="18" t="s">
        <v>58</v>
      </c>
      <c r="T432" s="18" t="s">
        <v>32</v>
      </c>
      <c r="U432" s="18">
        <f>IF(tbl_raw[[#This Row],[Order_Status]]="Returned",1,0)</f>
        <v>0</v>
      </c>
      <c r="V432" s="18">
        <f>IF(tbl_raw[[#This Row],[Payment_Method]]="COD",1,0)</f>
        <v>0</v>
      </c>
      <c r="W432" s="21">
        <f>MIN(1,(tbl_raw[[#This Row],[Discount_Pct]]*1.4)+(tbl_raw[[#This Row],[COD_Flag]]*0.35))</f>
        <v>0.51800000000000002</v>
      </c>
    </row>
    <row r="433" spans="1:23" ht="22.8" x14ac:dyDescent="0.3">
      <c r="A433" s="22" t="s">
        <v>1215</v>
      </c>
      <c r="B433" s="23" t="s">
        <v>77</v>
      </c>
      <c r="C433" s="23" t="s">
        <v>52</v>
      </c>
      <c r="D433" s="23" t="s">
        <v>78</v>
      </c>
      <c r="E433" s="23" t="s">
        <v>118</v>
      </c>
      <c r="F433" s="23" t="s">
        <v>1216</v>
      </c>
      <c r="G433" s="23" t="s">
        <v>29</v>
      </c>
      <c r="H433" s="23" t="s">
        <v>30</v>
      </c>
      <c r="I433" s="23">
        <v>18</v>
      </c>
      <c r="J433" s="24">
        <v>1440</v>
      </c>
      <c r="K433" s="24">
        <v>1123</v>
      </c>
      <c r="L433" s="25">
        <v>0.22</v>
      </c>
      <c r="M433" s="24">
        <v>609</v>
      </c>
      <c r="N433" s="24">
        <f>(tbl_raw[[#This Row],[Selling_Price]]-tbl_raw[[#This Row],[Cost_Price]])*tbl_raw[[#This Row],[Units_Sold]]</f>
        <v>9252</v>
      </c>
      <c r="O433" s="25">
        <f>IFERROR((tbl_raw[[#This Row],[Selling_Price]]-tbl_raw[[#This Row],[Cost_Price]]) / tbl_raw[[#This Row],[Selling_Price]],0)</f>
        <v>0.45770258236865541</v>
      </c>
      <c r="P433" s="24">
        <v>61</v>
      </c>
      <c r="Q433" s="24">
        <f>tbl_raw[[#This Row],[Gross_Profit]]-(tbl_raw[[#This Row],[Shipping_Cost]]*tbl_raw[[#This Row],[Units_Sold]])</f>
        <v>8154</v>
      </c>
      <c r="R433" s="25">
        <f>IFERROR(tbl_raw[[#This Row],[Net_Profit]]/(tbl_raw[[#This Row],[Selling_Price]]*tbl_raw[[#This Row],[Units_Sold]]),0)</f>
        <v>0.40338379341050756</v>
      </c>
      <c r="S433" s="23" t="s">
        <v>65</v>
      </c>
      <c r="T433" s="23" t="s">
        <v>49</v>
      </c>
      <c r="U433" s="23">
        <f>IF(tbl_raw[[#This Row],[Order_Status]]="Returned",1,0)</f>
        <v>0</v>
      </c>
      <c r="V433" s="23">
        <f>IF(tbl_raw[[#This Row],[Payment_Method]]="COD",1,0)</f>
        <v>0</v>
      </c>
      <c r="W433" s="26">
        <f>MIN(1,(tbl_raw[[#This Row],[Discount_Pct]]*1.4)+(tbl_raw[[#This Row],[COD_Flag]]*0.35))</f>
        <v>0.308</v>
      </c>
    </row>
    <row r="434" spans="1:23" ht="22.8" x14ac:dyDescent="0.3">
      <c r="A434" s="17" t="s">
        <v>1217</v>
      </c>
      <c r="B434" s="18" t="s">
        <v>256</v>
      </c>
      <c r="C434" s="18" t="s">
        <v>199</v>
      </c>
      <c r="D434" s="18" t="s">
        <v>44</v>
      </c>
      <c r="E434" s="18" t="s">
        <v>338</v>
      </c>
      <c r="F434" s="18" t="s">
        <v>1218</v>
      </c>
      <c r="G434" s="18" t="s">
        <v>29</v>
      </c>
      <c r="H434" s="18" t="s">
        <v>30</v>
      </c>
      <c r="I434" s="18">
        <v>6</v>
      </c>
      <c r="J434" s="19">
        <v>5368</v>
      </c>
      <c r="K434" s="19">
        <v>5153</v>
      </c>
      <c r="L434" s="20">
        <v>0.04</v>
      </c>
      <c r="M434" s="19">
        <v>3896</v>
      </c>
      <c r="N434" s="19">
        <f>(tbl_raw[[#This Row],[Selling_Price]]-tbl_raw[[#This Row],[Cost_Price]])*tbl_raw[[#This Row],[Units_Sold]]</f>
        <v>7542</v>
      </c>
      <c r="O434" s="20">
        <f>IFERROR((tbl_raw[[#This Row],[Selling_Price]]-tbl_raw[[#This Row],[Cost_Price]]) / tbl_raw[[#This Row],[Selling_Price]],0)</f>
        <v>0.24393557151174072</v>
      </c>
      <c r="P434" s="19">
        <v>116</v>
      </c>
      <c r="Q434" s="19">
        <f>tbl_raw[[#This Row],[Gross_Profit]]-(tbl_raw[[#This Row],[Shipping_Cost]]*tbl_raw[[#This Row],[Units_Sold]])</f>
        <v>6846</v>
      </c>
      <c r="R434" s="20">
        <f>IFERROR(tbl_raw[[#This Row],[Net_Profit]]/(tbl_raw[[#This Row],[Selling_Price]]*tbl_raw[[#This Row],[Units_Sold]]),0)</f>
        <v>0.22142441296332233</v>
      </c>
      <c r="S434" s="18" t="s">
        <v>31</v>
      </c>
      <c r="T434" s="18" t="s">
        <v>32</v>
      </c>
      <c r="U434" s="18">
        <f>IF(tbl_raw[[#This Row],[Order_Status]]="Returned",1,0)</f>
        <v>0</v>
      </c>
      <c r="V434" s="18">
        <f>IF(tbl_raw[[#This Row],[Payment_Method]]="COD",1,0)</f>
        <v>0</v>
      </c>
      <c r="W434" s="21">
        <f>MIN(1,(tbl_raw[[#This Row],[Discount_Pct]]*1.4)+(tbl_raw[[#This Row],[COD_Flag]]*0.35))</f>
        <v>5.5999999999999994E-2</v>
      </c>
    </row>
    <row r="435" spans="1:23" ht="22.8" x14ac:dyDescent="0.3">
      <c r="A435" s="22" t="s">
        <v>1219</v>
      </c>
      <c r="B435" s="23" t="s">
        <v>829</v>
      </c>
      <c r="C435" s="23" t="s">
        <v>89</v>
      </c>
      <c r="D435" s="23" t="s">
        <v>175</v>
      </c>
      <c r="E435" s="23" t="s">
        <v>149</v>
      </c>
      <c r="F435" s="23" t="s">
        <v>1220</v>
      </c>
      <c r="G435" s="23" t="s">
        <v>143</v>
      </c>
      <c r="H435" s="23" t="s">
        <v>30</v>
      </c>
      <c r="I435" s="23">
        <v>13</v>
      </c>
      <c r="J435" s="24">
        <v>743</v>
      </c>
      <c r="K435" s="24">
        <v>706</v>
      </c>
      <c r="L435" s="25">
        <v>0.05</v>
      </c>
      <c r="M435" s="24">
        <v>509</v>
      </c>
      <c r="N435" s="24">
        <f>(tbl_raw[[#This Row],[Selling_Price]]-tbl_raw[[#This Row],[Cost_Price]])*tbl_raw[[#This Row],[Units_Sold]]</f>
        <v>2561</v>
      </c>
      <c r="O435" s="25">
        <f>IFERROR((tbl_raw[[#This Row],[Selling_Price]]-tbl_raw[[#This Row],[Cost_Price]]) / tbl_raw[[#This Row],[Selling_Price]],0)</f>
        <v>0.27903682719546741</v>
      </c>
      <c r="P435" s="24">
        <v>146</v>
      </c>
      <c r="Q435" s="24">
        <f>tbl_raw[[#This Row],[Gross_Profit]]-(tbl_raw[[#This Row],[Shipping_Cost]]*tbl_raw[[#This Row],[Units_Sold]])</f>
        <v>663</v>
      </c>
      <c r="R435" s="25">
        <f>IFERROR(tbl_raw[[#This Row],[Net_Profit]]/(tbl_raw[[#This Row],[Selling_Price]]*tbl_raw[[#This Row],[Units_Sold]]),0)</f>
        <v>7.2237960339943341E-2</v>
      </c>
      <c r="S435" s="23" t="s">
        <v>31</v>
      </c>
      <c r="T435" s="23" t="s">
        <v>32</v>
      </c>
      <c r="U435" s="23">
        <f>IF(tbl_raw[[#This Row],[Order_Status]]="Returned",1,0)</f>
        <v>0</v>
      </c>
      <c r="V435" s="23">
        <f>IF(tbl_raw[[#This Row],[Payment_Method]]="COD",1,0)</f>
        <v>0</v>
      </c>
      <c r="W435" s="26">
        <f>MIN(1,(tbl_raw[[#This Row],[Discount_Pct]]*1.4)+(tbl_raw[[#This Row],[COD_Flag]]*0.35))</f>
        <v>6.9999999999999993E-2</v>
      </c>
    </row>
    <row r="436" spans="1:23" ht="22.8" x14ac:dyDescent="0.3">
      <c r="A436" s="17" t="s">
        <v>1221</v>
      </c>
      <c r="B436" s="18" t="s">
        <v>1125</v>
      </c>
      <c r="C436" s="18" t="s">
        <v>132</v>
      </c>
      <c r="D436" s="18" t="s">
        <v>94</v>
      </c>
      <c r="E436" s="18" t="s">
        <v>95</v>
      </c>
      <c r="F436" s="18" t="s">
        <v>1222</v>
      </c>
      <c r="G436" s="18" t="s">
        <v>139</v>
      </c>
      <c r="H436" s="18" t="s">
        <v>48</v>
      </c>
      <c r="I436" s="18">
        <v>5</v>
      </c>
      <c r="J436" s="19">
        <v>5355</v>
      </c>
      <c r="K436" s="19">
        <v>4284</v>
      </c>
      <c r="L436" s="20">
        <v>0.2</v>
      </c>
      <c r="M436" s="19">
        <v>2688</v>
      </c>
      <c r="N436" s="19">
        <f>(tbl_raw[[#This Row],[Selling_Price]]-tbl_raw[[#This Row],[Cost_Price]])*tbl_raw[[#This Row],[Units_Sold]]</f>
        <v>7980</v>
      </c>
      <c r="O436" s="20">
        <f>IFERROR((tbl_raw[[#This Row],[Selling_Price]]-tbl_raw[[#This Row],[Cost_Price]]) / tbl_raw[[#This Row],[Selling_Price]],0)</f>
        <v>0.37254901960784315</v>
      </c>
      <c r="P436" s="19">
        <v>122</v>
      </c>
      <c r="Q436" s="19">
        <f>tbl_raw[[#This Row],[Gross_Profit]]-(tbl_raw[[#This Row],[Shipping_Cost]]*tbl_raw[[#This Row],[Units_Sold]])</f>
        <v>7370</v>
      </c>
      <c r="R436" s="20">
        <f>IFERROR(tbl_raw[[#This Row],[Net_Profit]]/(tbl_raw[[#This Row],[Selling_Price]]*tbl_raw[[#This Row],[Units_Sold]]),0)</f>
        <v>0.34407096171802054</v>
      </c>
      <c r="S436" s="18" t="s">
        <v>31</v>
      </c>
      <c r="T436" s="18" t="s">
        <v>32</v>
      </c>
      <c r="U436" s="18">
        <f>IF(tbl_raw[[#This Row],[Order_Status]]="Returned",1,0)</f>
        <v>0</v>
      </c>
      <c r="V436" s="18">
        <f>IF(tbl_raw[[#This Row],[Payment_Method]]="COD",1,0)</f>
        <v>0</v>
      </c>
      <c r="W436" s="21">
        <f>MIN(1,(tbl_raw[[#This Row],[Discount_Pct]]*1.4)+(tbl_raw[[#This Row],[COD_Flag]]*0.35))</f>
        <v>0.27999999999999997</v>
      </c>
    </row>
    <row r="437" spans="1:23" ht="22.8" x14ac:dyDescent="0.3">
      <c r="A437" s="22" t="s">
        <v>1223</v>
      </c>
      <c r="B437" s="23" t="s">
        <v>581</v>
      </c>
      <c r="C437" s="23" t="s">
        <v>89</v>
      </c>
      <c r="D437" s="23" t="s">
        <v>53</v>
      </c>
      <c r="E437" s="23" t="s">
        <v>90</v>
      </c>
      <c r="F437" s="23" t="s">
        <v>1224</v>
      </c>
      <c r="G437" s="23" t="s">
        <v>56</v>
      </c>
      <c r="H437" s="23" t="s">
        <v>57</v>
      </c>
      <c r="I437" s="23">
        <v>3</v>
      </c>
      <c r="J437" s="24">
        <v>4745</v>
      </c>
      <c r="K437" s="24">
        <v>3416</v>
      </c>
      <c r="L437" s="25">
        <v>0.28000000000000003</v>
      </c>
      <c r="M437" s="24">
        <v>2746</v>
      </c>
      <c r="N437" s="24">
        <f>(tbl_raw[[#This Row],[Selling_Price]]-tbl_raw[[#This Row],[Cost_Price]])*tbl_raw[[#This Row],[Units_Sold]]</f>
        <v>2010</v>
      </c>
      <c r="O437" s="25">
        <f>IFERROR((tbl_raw[[#This Row],[Selling_Price]]-tbl_raw[[#This Row],[Cost_Price]]) / tbl_raw[[#This Row],[Selling_Price]],0)</f>
        <v>0.19613583138173302</v>
      </c>
      <c r="P437" s="24">
        <v>157</v>
      </c>
      <c r="Q437" s="24">
        <f>tbl_raw[[#This Row],[Gross_Profit]]-(tbl_raw[[#This Row],[Shipping_Cost]]*tbl_raw[[#This Row],[Units_Sold]])</f>
        <v>1539</v>
      </c>
      <c r="R437" s="25">
        <f>IFERROR(tbl_raw[[#This Row],[Net_Profit]]/(tbl_raw[[#This Row],[Selling_Price]]*tbl_raw[[#This Row],[Units_Sold]]),0)</f>
        <v>0.15017564402810304</v>
      </c>
      <c r="S437" s="23" t="s">
        <v>107</v>
      </c>
      <c r="T437" s="23" t="s">
        <v>49</v>
      </c>
      <c r="U437" s="23">
        <f>IF(tbl_raw[[#This Row],[Order_Status]]="Returned",1,0)</f>
        <v>0</v>
      </c>
      <c r="V437" s="23">
        <f>IF(tbl_raw[[#This Row],[Payment_Method]]="COD",1,0)</f>
        <v>0</v>
      </c>
      <c r="W437" s="26">
        <f>MIN(1,(tbl_raw[[#This Row],[Discount_Pct]]*1.4)+(tbl_raw[[#This Row],[COD_Flag]]*0.35))</f>
        <v>0.39200000000000002</v>
      </c>
    </row>
    <row r="438" spans="1:23" ht="22.8" x14ac:dyDescent="0.3">
      <c r="A438" s="17" t="s">
        <v>1225</v>
      </c>
      <c r="B438" s="18" t="s">
        <v>1226</v>
      </c>
      <c r="C438" s="18" t="s">
        <v>132</v>
      </c>
      <c r="D438" s="18" t="s">
        <v>44</v>
      </c>
      <c r="E438" s="18" t="s">
        <v>45</v>
      </c>
      <c r="F438" s="18" t="s">
        <v>1227</v>
      </c>
      <c r="G438" s="18" t="s">
        <v>143</v>
      </c>
      <c r="H438" s="18" t="s">
        <v>30</v>
      </c>
      <c r="I438" s="18">
        <v>1</v>
      </c>
      <c r="J438" s="19">
        <v>2035</v>
      </c>
      <c r="K438" s="19">
        <v>1384</v>
      </c>
      <c r="L438" s="20">
        <v>0.32</v>
      </c>
      <c r="M438" s="19">
        <v>1095</v>
      </c>
      <c r="N438" s="19">
        <f>(tbl_raw[[#This Row],[Selling_Price]]-tbl_raw[[#This Row],[Cost_Price]])*tbl_raw[[#This Row],[Units_Sold]]</f>
        <v>289</v>
      </c>
      <c r="O438" s="20">
        <f>IFERROR((tbl_raw[[#This Row],[Selling_Price]]-tbl_raw[[#This Row],[Cost_Price]]) / tbl_raw[[#This Row],[Selling_Price]],0)</f>
        <v>0.20881502890173412</v>
      </c>
      <c r="P438" s="19">
        <v>78</v>
      </c>
      <c r="Q438" s="19">
        <f>tbl_raw[[#This Row],[Gross_Profit]]-(tbl_raw[[#This Row],[Shipping_Cost]]*tbl_raw[[#This Row],[Units_Sold]])</f>
        <v>211</v>
      </c>
      <c r="R438" s="20">
        <f>IFERROR(tbl_raw[[#This Row],[Net_Profit]]/(tbl_raw[[#This Row],[Selling_Price]]*tbl_raw[[#This Row],[Units_Sold]]),0)</f>
        <v>0.15245664739884393</v>
      </c>
      <c r="S438" s="18" t="s">
        <v>31</v>
      </c>
      <c r="T438" s="18" t="s">
        <v>32</v>
      </c>
      <c r="U438" s="18">
        <f>IF(tbl_raw[[#This Row],[Order_Status]]="Returned",1,0)</f>
        <v>0</v>
      </c>
      <c r="V438" s="18">
        <f>IF(tbl_raw[[#This Row],[Payment_Method]]="COD",1,0)</f>
        <v>0</v>
      </c>
      <c r="W438" s="21">
        <f>MIN(1,(tbl_raw[[#This Row],[Discount_Pct]]*1.4)+(tbl_raw[[#This Row],[COD_Flag]]*0.35))</f>
        <v>0.44799999999999995</v>
      </c>
    </row>
    <row r="439" spans="1:23" ht="22.8" x14ac:dyDescent="0.3">
      <c r="A439" s="22" t="s">
        <v>1228</v>
      </c>
      <c r="B439" s="23" t="s">
        <v>935</v>
      </c>
      <c r="C439" s="23" t="s">
        <v>35</v>
      </c>
      <c r="D439" s="23" t="s">
        <v>164</v>
      </c>
      <c r="E439" s="23" t="s">
        <v>251</v>
      </c>
      <c r="F439" s="23" t="s">
        <v>1229</v>
      </c>
      <c r="G439" s="23" t="s">
        <v>29</v>
      </c>
      <c r="H439" s="23" t="s">
        <v>30</v>
      </c>
      <c r="I439" s="23">
        <v>18</v>
      </c>
      <c r="J439" s="24">
        <v>3200</v>
      </c>
      <c r="K439" s="24">
        <v>1856</v>
      </c>
      <c r="L439" s="25">
        <v>0.42</v>
      </c>
      <c r="M439" s="24">
        <v>2221</v>
      </c>
      <c r="N439" s="24">
        <f>(tbl_raw[[#This Row],[Selling_Price]]-tbl_raw[[#This Row],[Cost_Price]])*tbl_raw[[#This Row],[Units_Sold]]</f>
        <v>-6570</v>
      </c>
      <c r="O439" s="25">
        <f>IFERROR((tbl_raw[[#This Row],[Selling_Price]]-tbl_raw[[#This Row],[Cost_Price]]) / tbl_raw[[#This Row],[Selling_Price]],0)</f>
        <v>-0.19665948275862069</v>
      </c>
      <c r="P439" s="24">
        <v>53</v>
      </c>
      <c r="Q439" s="24">
        <f>tbl_raw[[#This Row],[Gross_Profit]]-(tbl_raw[[#This Row],[Shipping_Cost]]*tbl_raw[[#This Row],[Units_Sold]])</f>
        <v>-7524</v>
      </c>
      <c r="R439" s="25">
        <f>IFERROR(tbl_raw[[#This Row],[Net_Profit]]/(tbl_raw[[#This Row],[Selling_Price]]*tbl_raw[[#This Row],[Units_Sold]]),0)</f>
        <v>-0.22521551724137931</v>
      </c>
      <c r="S439" s="23" t="s">
        <v>40</v>
      </c>
      <c r="T439" s="23" t="s">
        <v>32</v>
      </c>
      <c r="U439" s="23">
        <f>IF(tbl_raw[[#This Row],[Order_Status]]="Returned",1,0)</f>
        <v>0</v>
      </c>
      <c r="V439" s="23">
        <f>IF(tbl_raw[[#This Row],[Payment_Method]]="COD",1,0)</f>
        <v>1</v>
      </c>
      <c r="W439" s="26">
        <f>MIN(1,(tbl_raw[[#This Row],[Discount_Pct]]*1.4)+(tbl_raw[[#This Row],[COD_Flag]]*0.35))</f>
        <v>0.93799999999999994</v>
      </c>
    </row>
    <row r="440" spans="1:23" ht="22.8" x14ac:dyDescent="0.3">
      <c r="A440" s="17" t="s">
        <v>1230</v>
      </c>
      <c r="B440" s="18" t="s">
        <v>1231</v>
      </c>
      <c r="C440" s="18" t="s">
        <v>132</v>
      </c>
      <c r="D440" s="18" t="s">
        <v>62</v>
      </c>
      <c r="E440" s="18" t="s">
        <v>68</v>
      </c>
      <c r="F440" s="18" t="s">
        <v>1232</v>
      </c>
      <c r="G440" s="18" t="s">
        <v>120</v>
      </c>
      <c r="H440" s="18" t="s">
        <v>39</v>
      </c>
      <c r="I440" s="18">
        <v>5</v>
      </c>
      <c r="J440" s="19">
        <v>5209</v>
      </c>
      <c r="K440" s="19">
        <v>4219</v>
      </c>
      <c r="L440" s="20">
        <v>0.19</v>
      </c>
      <c r="M440" s="19">
        <v>2915</v>
      </c>
      <c r="N440" s="19">
        <f>(tbl_raw[[#This Row],[Selling_Price]]-tbl_raw[[#This Row],[Cost_Price]])*tbl_raw[[#This Row],[Units_Sold]]</f>
        <v>6520</v>
      </c>
      <c r="O440" s="20">
        <f>IFERROR((tbl_raw[[#This Row],[Selling_Price]]-tbl_raw[[#This Row],[Cost_Price]]) / tbl_raw[[#This Row],[Selling_Price]],0)</f>
        <v>0.30907798056411473</v>
      </c>
      <c r="P440" s="19">
        <v>148</v>
      </c>
      <c r="Q440" s="19">
        <f>tbl_raw[[#This Row],[Gross_Profit]]-(tbl_raw[[#This Row],[Shipping_Cost]]*tbl_raw[[#This Row],[Units_Sold]])</f>
        <v>5780</v>
      </c>
      <c r="R440" s="20">
        <f>IFERROR(tbl_raw[[#This Row],[Net_Profit]]/(tbl_raw[[#This Row],[Selling_Price]]*tbl_raw[[#This Row],[Units_Sold]]),0)</f>
        <v>0.27399857786205262</v>
      </c>
      <c r="S440" s="18" t="s">
        <v>65</v>
      </c>
      <c r="T440" s="18" t="s">
        <v>32</v>
      </c>
      <c r="U440" s="18">
        <f>IF(tbl_raw[[#This Row],[Order_Status]]="Returned",1,0)</f>
        <v>0</v>
      </c>
      <c r="V440" s="18">
        <f>IF(tbl_raw[[#This Row],[Payment_Method]]="COD",1,0)</f>
        <v>0</v>
      </c>
      <c r="W440" s="21">
        <f>MIN(1,(tbl_raw[[#This Row],[Discount_Pct]]*1.4)+(tbl_raw[[#This Row],[COD_Flag]]*0.35))</f>
        <v>0.26599999999999996</v>
      </c>
    </row>
    <row r="441" spans="1:23" ht="22.8" x14ac:dyDescent="0.3">
      <c r="A441" s="22" t="s">
        <v>1233</v>
      </c>
      <c r="B441" s="23" t="s">
        <v>381</v>
      </c>
      <c r="C441" s="23" t="s">
        <v>117</v>
      </c>
      <c r="D441" s="23" t="s">
        <v>78</v>
      </c>
      <c r="E441" s="23" t="s">
        <v>84</v>
      </c>
      <c r="F441" s="23" t="s">
        <v>1234</v>
      </c>
      <c r="G441" s="23" t="s">
        <v>75</v>
      </c>
      <c r="H441" s="23" t="s">
        <v>48</v>
      </c>
      <c r="I441" s="23">
        <v>13</v>
      </c>
      <c r="J441" s="24">
        <v>2971</v>
      </c>
      <c r="K441" s="24">
        <v>2733</v>
      </c>
      <c r="L441" s="25">
        <v>0.08</v>
      </c>
      <c r="M441" s="24">
        <v>1817</v>
      </c>
      <c r="N441" s="24">
        <f>(tbl_raw[[#This Row],[Selling_Price]]-tbl_raw[[#This Row],[Cost_Price]])*tbl_raw[[#This Row],[Units_Sold]]</f>
        <v>11908</v>
      </c>
      <c r="O441" s="25">
        <f>IFERROR((tbl_raw[[#This Row],[Selling_Price]]-tbl_raw[[#This Row],[Cost_Price]]) / tbl_raw[[#This Row],[Selling_Price]],0)</f>
        <v>0.33516282473472375</v>
      </c>
      <c r="P441" s="24">
        <v>117</v>
      </c>
      <c r="Q441" s="24">
        <f>tbl_raw[[#This Row],[Gross_Profit]]-(tbl_raw[[#This Row],[Shipping_Cost]]*tbl_raw[[#This Row],[Units_Sold]])</f>
        <v>10387</v>
      </c>
      <c r="R441" s="25">
        <f>IFERROR(tbl_raw[[#This Row],[Net_Profit]]/(tbl_raw[[#This Row],[Selling_Price]]*tbl_raw[[#This Row],[Units_Sold]]),0)</f>
        <v>0.29235272594218809</v>
      </c>
      <c r="S441" s="23" t="s">
        <v>40</v>
      </c>
      <c r="T441" s="23" t="s">
        <v>32</v>
      </c>
      <c r="U441" s="23">
        <f>IF(tbl_raw[[#This Row],[Order_Status]]="Returned",1,0)</f>
        <v>0</v>
      </c>
      <c r="V441" s="23">
        <f>IF(tbl_raw[[#This Row],[Payment_Method]]="COD",1,0)</f>
        <v>1</v>
      </c>
      <c r="W441" s="26">
        <f>MIN(1,(tbl_raw[[#This Row],[Discount_Pct]]*1.4)+(tbl_raw[[#This Row],[COD_Flag]]*0.35))</f>
        <v>0.46199999999999997</v>
      </c>
    </row>
    <row r="442" spans="1:23" ht="22.8" x14ac:dyDescent="0.3">
      <c r="A442" s="17" t="s">
        <v>1235</v>
      </c>
      <c r="B442" s="18" t="s">
        <v>852</v>
      </c>
      <c r="C442" s="18" t="s">
        <v>105</v>
      </c>
      <c r="D442" s="18" t="s">
        <v>44</v>
      </c>
      <c r="E442" s="18" t="s">
        <v>45</v>
      </c>
      <c r="F442" s="18" t="s">
        <v>1236</v>
      </c>
      <c r="G442" s="18" t="s">
        <v>102</v>
      </c>
      <c r="H442" s="18" t="s">
        <v>39</v>
      </c>
      <c r="I442" s="18">
        <v>16</v>
      </c>
      <c r="J442" s="19">
        <v>5698</v>
      </c>
      <c r="K442" s="19">
        <v>5413</v>
      </c>
      <c r="L442" s="20">
        <v>0.05</v>
      </c>
      <c r="M442" s="19">
        <v>3240</v>
      </c>
      <c r="N442" s="19">
        <f>(tbl_raw[[#This Row],[Selling_Price]]-tbl_raw[[#This Row],[Cost_Price]])*tbl_raw[[#This Row],[Units_Sold]]</f>
        <v>34768</v>
      </c>
      <c r="O442" s="20">
        <f>IFERROR((tbl_raw[[#This Row],[Selling_Price]]-tbl_raw[[#This Row],[Cost_Price]]) / tbl_raw[[#This Row],[Selling_Price]],0)</f>
        <v>0.40144097542952151</v>
      </c>
      <c r="P442" s="19">
        <v>134</v>
      </c>
      <c r="Q442" s="19">
        <f>tbl_raw[[#This Row],[Gross_Profit]]-(tbl_raw[[#This Row],[Shipping_Cost]]*tbl_raw[[#This Row],[Units_Sold]])</f>
        <v>32624</v>
      </c>
      <c r="R442" s="20">
        <f>IFERROR(tbl_raw[[#This Row],[Net_Profit]]/(tbl_raw[[#This Row],[Selling_Price]]*tbl_raw[[#This Row],[Units_Sold]]),0)</f>
        <v>0.37668575651210051</v>
      </c>
      <c r="S442" s="18" t="s">
        <v>40</v>
      </c>
      <c r="T442" s="18" t="s">
        <v>32</v>
      </c>
      <c r="U442" s="18">
        <f>IF(tbl_raw[[#This Row],[Order_Status]]="Returned",1,0)</f>
        <v>0</v>
      </c>
      <c r="V442" s="18">
        <f>IF(tbl_raw[[#This Row],[Payment_Method]]="COD",1,0)</f>
        <v>1</v>
      </c>
      <c r="W442" s="21">
        <f>MIN(1,(tbl_raw[[#This Row],[Discount_Pct]]*1.4)+(tbl_raw[[#This Row],[COD_Flag]]*0.35))</f>
        <v>0.42</v>
      </c>
    </row>
    <row r="443" spans="1:23" ht="22.8" x14ac:dyDescent="0.3">
      <c r="A443" s="22" t="s">
        <v>1237</v>
      </c>
      <c r="B443" s="23" t="s">
        <v>357</v>
      </c>
      <c r="C443" s="23" t="s">
        <v>99</v>
      </c>
      <c r="D443" s="23" t="s">
        <v>175</v>
      </c>
      <c r="E443" s="23" t="s">
        <v>176</v>
      </c>
      <c r="F443" s="23" t="s">
        <v>1238</v>
      </c>
      <c r="G443" s="23" t="s">
        <v>120</v>
      </c>
      <c r="H443" s="23" t="s">
        <v>39</v>
      </c>
      <c r="I443" s="23">
        <v>8</v>
      </c>
      <c r="J443" s="24">
        <v>3885</v>
      </c>
      <c r="K443" s="24">
        <v>2603</v>
      </c>
      <c r="L443" s="25">
        <v>0.33</v>
      </c>
      <c r="M443" s="24">
        <v>2860</v>
      </c>
      <c r="N443" s="24">
        <f>(tbl_raw[[#This Row],[Selling_Price]]-tbl_raw[[#This Row],[Cost_Price]])*tbl_raw[[#This Row],[Units_Sold]]</f>
        <v>-2056</v>
      </c>
      <c r="O443" s="25">
        <f>IFERROR((tbl_raw[[#This Row],[Selling_Price]]-tbl_raw[[#This Row],[Cost_Price]]) / tbl_raw[[#This Row],[Selling_Price]],0)</f>
        <v>-9.8732232039953904E-2</v>
      </c>
      <c r="P443" s="24">
        <v>42</v>
      </c>
      <c r="Q443" s="24">
        <f>tbl_raw[[#This Row],[Gross_Profit]]-(tbl_raw[[#This Row],[Shipping_Cost]]*tbl_raw[[#This Row],[Units_Sold]])</f>
        <v>-2392</v>
      </c>
      <c r="R443" s="25">
        <f>IFERROR(tbl_raw[[#This Row],[Net_Profit]]/(tbl_raw[[#This Row],[Selling_Price]]*tbl_raw[[#This Row],[Units_Sold]]),0)</f>
        <v>-0.11486746062235882</v>
      </c>
      <c r="S443" s="23" t="s">
        <v>65</v>
      </c>
      <c r="T443" s="23" t="s">
        <v>32</v>
      </c>
      <c r="U443" s="23">
        <f>IF(tbl_raw[[#This Row],[Order_Status]]="Returned",1,0)</f>
        <v>0</v>
      </c>
      <c r="V443" s="23">
        <f>IF(tbl_raw[[#This Row],[Payment_Method]]="COD",1,0)</f>
        <v>0</v>
      </c>
      <c r="W443" s="26">
        <f>MIN(1,(tbl_raw[[#This Row],[Discount_Pct]]*1.4)+(tbl_raw[[#This Row],[COD_Flag]]*0.35))</f>
        <v>0.46199999999999997</v>
      </c>
    </row>
    <row r="444" spans="1:23" ht="22.8" x14ac:dyDescent="0.3">
      <c r="A444" s="17" t="s">
        <v>1239</v>
      </c>
      <c r="B444" s="18" t="s">
        <v>306</v>
      </c>
      <c r="C444" s="18" t="s">
        <v>132</v>
      </c>
      <c r="D444" s="18" t="s">
        <v>26</v>
      </c>
      <c r="E444" s="18" t="s">
        <v>168</v>
      </c>
      <c r="F444" s="18" t="s">
        <v>1240</v>
      </c>
      <c r="G444" s="18" t="s">
        <v>38</v>
      </c>
      <c r="H444" s="18" t="s">
        <v>39</v>
      </c>
      <c r="I444" s="18">
        <v>16</v>
      </c>
      <c r="J444" s="19">
        <v>4677</v>
      </c>
      <c r="K444" s="19">
        <v>3975</v>
      </c>
      <c r="L444" s="20">
        <v>0.15</v>
      </c>
      <c r="M444" s="19">
        <v>2449</v>
      </c>
      <c r="N444" s="19">
        <f>(tbl_raw[[#This Row],[Selling_Price]]-tbl_raw[[#This Row],[Cost_Price]])*tbl_raw[[#This Row],[Units_Sold]]</f>
        <v>24416</v>
      </c>
      <c r="O444" s="20">
        <f>IFERROR((tbl_raw[[#This Row],[Selling_Price]]-tbl_raw[[#This Row],[Cost_Price]]) / tbl_raw[[#This Row],[Selling_Price]],0)</f>
        <v>0.38389937106918237</v>
      </c>
      <c r="P444" s="19">
        <v>177</v>
      </c>
      <c r="Q444" s="19">
        <f>tbl_raw[[#This Row],[Gross_Profit]]-(tbl_raw[[#This Row],[Shipping_Cost]]*tbl_raw[[#This Row],[Units_Sold]])</f>
        <v>21584</v>
      </c>
      <c r="R444" s="20">
        <f>IFERROR(tbl_raw[[#This Row],[Net_Profit]]/(tbl_raw[[#This Row],[Selling_Price]]*tbl_raw[[#This Row],[Units_Sold]]),0)</f>
        <v>0.33937106918238996</v>
      </c>
      <c r="S444" s="18" t="s">
        <v>107</v>
      </c>
      <c r="T444" s="18" t="s">
        <v>32</v>
      </c>
      <c r="U444" s="18">
        <f>IF(tbl_raw[[#This Row],[Order_Status]]="Returned",1,0)</f>
        <v>0</v>
      </c>
      <c r="V444" s="18">
        <f>IF(tbl_raw[[#This Row],[Payment_Method]]="COD",1,0)</f>
        <v>0</v>
      </c>
      <c r="W444" s="21">
        <f>MIN(1,(tbl_raw[[#This Row],[Discount_Pct]]*1.4)+(tbl_raw[[#This Row],[COD_Flag]]*0.35))</f>
        <v>0.21</v>
      </c>
    </row>
    <row r="445" spans="1:23" ht="22.8" x14ac:dyDescent="0.3">
      <c r="A445" s="22" t="s">
        <v>1241</v>
      </c>
      <c r="B445" s="23" t="s">
        <v>1151</v>
      </c>
      <c r="C445" s="23" t="s">
        <v>199</v>
      </c>
      <c r="D445" s="23" t="s">
        <v>53</v>
      </c>
      <c r="E445" s="23" t="s">
        <v>54</v>
      </c>
      <c r="F445" s="23" t="s">
        <v>1242</v>
      </c>
      <c r="G445" s="23" t="s">
        <v>139</v>
      </c>
      <c r="H445" s="23" t="s">
        <v>48</v>
      </c>
      <c r="I445" s="23">
        <v>16</v>
      </c>
      <c r="J445" s="24">
        <v>4710</v>
      </c>
      <c r="K445" s="24">
        <v>3485</v>
      </c>
      <c r="L445" s="25">
        <v>0.26</v>
      </c>
      <c r="M445" s="24">
        <v>2966</v>
      </c>
      <c r="N445" s="24">
        <f>(tbl_raw[[#This Row],[Selling_Price]]-tbl_raw[[#This Row],[Cost_Price]])*tbl_raw[[#This Row],[Units_Sold]]</f>
        <v>8304</v>
      </c>
      <c r="O445" s="25">
        <f>IFERROR((tbl_raw[[#This Row],[Selling_Price]]-tbl_raw[[#This Row],[Cost_Price]]) / tbl_raw[[#This Row],[Selling_Price]],0)</f>
        <v>0.14892395982783357</v>
      </c>
      <c r="P445" s="24">
        <v>74</v>
      </c>
      <c r="Q445" s="24">
        <f>tbl_raw[[#This Row],[Gross_Profit]]-(tbl_raw[[#This Row],[Shipping_Cost]]*tbl_raw[[#This Row],[Units_Sold]])</f>
        <v>7120</v>
      </c>
      <c r="R445" s="25">
        <f>IFERROR(tbl_raw[[#This Row],[Net_Profit]]/(tbl_raw[[#This Row],[Selling_Price]]*tbl_raw[[#This Row],[Units_Sold]]),0)</f>
        <v>0.12769010043041606</v>
      </c>
      <c r="S445" s="23" t="s">
        <v>65</v>
      </c>
      <c r="T445" s="23" t="s">
        <v>32</v>
      </c>
      <c r="U445" s="23">
        <f>IF(tbl_raw[[#This Row],[Order_Status]]="Returned",1,0)</f>
        <v>0</v>
      </c>
      <c r="V445" s="23">
        <f>IF(tbl_raw[[#This Row],[Payment_Method]]="COD",1,0)</f>
        <v>0</v>
      </c>
      <c r="W445" s="26">
        <f>MIN(1,(tbl_raw[[#This Row],[Discount_Pct]]*1.4)+(tbl_raw[[#This Row],[COD_Flag]]*0.35))</f>
        <v>0.36399999999999999</v>
      </c>
    </row>
    <row r="446" spans="1:23" ht="22.8" x14ac:dyDescent="0.3">
      <c r="A446" s="17" t="s">
        <v>1243</v>
      </c>
      <c r="B446" s="18" t="s">
        <v>1145</v>
      </c>
      <c r="C446" s="18" t="s">
        <v>43</v>
      </c>
      <c r="D446" s="18" t="s">
        <v>175</v>
      </c>
      <c r="E446" s="18" t="s">
        <v>190</v>
      </c>
      <c r="F446" s="18" t="s">
        <v>1244</v>
      </c>
      <c r="G446" s="18" t="s">
        <v>81</v>
      </c>
      <c r="H446" s="18" t="s">
        <v>30</v>
      </c>
      <c r="I446" s="18">
        <v>20</v>
      </c>
      <c r="J446" s="19">
        <v>2392</v>
      </c>
      <c r="K446" s="19">
        <v>1459</v>
      </c>
      <c r="L446" s="20">
        <v>0.39</v>
      </c>
      <c r="M446" s="19">
        <v>969</v>
      </c>
      <c r="N446" s="19">
        <f>(tbl_raw[[#This Row],[Selling_Price]]-tbl_raw[[#This Row],[Cost_Price]])*tbl_raw[[#This Row],[Units_Sold]]</f>
        <v>9800</v>
      </c>
      <c r="O446" s="20">
        <f>IFERROR((tbl_raw[[#This Row],[Selling_Price]]-tbl_raw[[#This Row],[Cost_Price]]) / tbl_raw[[#This Row],[Selling_Price]],0)</f>
        <v>0.33584647018505825</v>
      </c>
      <c r="P446" s="19">
        <v>47</v>
      </c>
      <c r="Q446" s="19">
        <f>tbl_raw[[#This Row],[Gross_Profit]]-(tbl_raw[[#This Row],[Shipping_Cost]]*tbl_raw[[#This Row],[Units_Sold]])</f>
        <v>8860</v>
      </c>
      <c r="R446" s="20">
        <f>IFERROR(tbl_raw[[#This Row],[Net_Profit]]/(tbl_raw[[#This Row],[Selling_Price]]*tbl_raw[[#This Row],[Units_Sold]]),0)</f>
        <v>0.30363262508567512</v>
      </c>
      <c r="S446" s="18" t="s">
        <v>40</v>
      </c>
      <c r="T446" s="18" t="s">
        <v>86</v>
      </c>
      <c r="U446" s="18">
        <f>IF(tbl_raw[[#This Row],[Order_Status]]="Returned",1,0)</f>
        <v>1</v>
      </c>
      <c r="V446" s="18">
        <f>IF(tbl_raw[[#This Row],[Payment_Method]]="COD",1,0)</f>
        <v>1</v>
      </c>
      <c r="W446" s="21">
        <f>MIN(1,(tbl_raw[[#This Row],[Discount_Pct]]*1.4)+(tbl_raw[[#This Row],[COD_Flag]]*0.35))</f>
        <v>0.89599999999999991</v>
      </c>
    </row>
    <row r="447" spans="1:23" ht="22.8" x14ac:dyDescent="0.3">
      <c r="A447" s="22" t="s">
        <v>1245</v>
      </c>
      <c r="B447" s="23" t="s">
        <v>1092</v>
      </c>
      <c r="C447" s="23" t="s">
        <v>25</v>
      </c>
      <c r="D447" s="23" t="s">
        <v>44</v>
      </c>
      <c r="E447" s="23" t="s">
        <v>73</v>
      </c>
      <c r="F447" s="23" t="s">
        <v>1246</v>
      </c>
      <c r="G447" s="23" t="s">
        <v>29</v>
      </c>
      <c r="H447" s="23" t="s">
        <v>30</v>
      </c>
      <c r="I447" s="23">
        <v>16</v>
      </c>
      <c r="J447" s="24">
        <v>1610</v>
      </c>
      <c r="K447" s="24">
        <v>1224</v>
      </c>
      <c r="L447" s="25">
        <v>0.24</v>
      </c>
      <c r="M447" s="24">
        <v>663</v>
      </c>
      <c r="N447" s="24">
        <f>(tbl_raw[[#This Row],[Selling_Price]]-tbl_raw[[#This Row],[Cost_Price]])*tbl_raw[[#This Row],[Units_Sold]]</f>
        <v>8976</v>
      </c>
      <c r="O447" s="25">
        <f>IFERROR((tbl_raw[[#This Row],[Selling_Price]]-tbl_raw[[#This Row],[Cost_Price]]) / tbl_raw[[#This Row],[Selling_Price]],0)</f>
        <v>0.45833333333333331</v>
      </c>
      <c r="P447" s="24">
        <v>178</v>
      </c>
      <c r="Q447" s="24">
        <f>tbl_raw[[#This Row],[Gross_Profit]]-(tbl_raw[[#This Row],[Shipping_Cost]]*tbl_raw[[#This Row],[Units_Sold]])</f>
        <v>6128</v>
      </c>
      <c r="R447" s="25">
        <f>IFERROR(tbl_raw[[#This Row],[Net_Profit]]/(tbl_raw[[#This Row],[Selling_Price]]*tbl_raw[[#This Row],[Units_Sold]]),0)</f>
        <v>0.31290849673202614</v>
      </c>
      <c r="S447" s="23" t="s">
        <v>40</v>
      </c>
      <c r="T447" s="23" t="s">
        <v>59</v>
      </c>
      <c r="U447" s="23">
        <f>IF(tbl_raw[[#This Row],[Order_Status]]="Returned",1,0)</f>
        <v>0</v>
      </c>
      <c r="V447" s="23">
        <f>IF(tbl_raw[[#This Row],[Payment_Method]]="COD",1,0)</f>
        <v>1</v>
      </c>
      <c r="W447" s="26">
        <f>MIN(1,(tbl_raw[[#This Row],[Discount_Pct]]*1.4)+(tbl_raw[[#This Row],[COD_Flag]]*0.35))</f>
        <v>0.68599999999999994</v>
      </c>
    </row>
    <row r="448" spans="1:23" ht="22.8" x14ac:dyDescent="0.3">
      <c r="A448" s="17" t="s">
        <v>1247</v>
      </c>
      <c r="B448" s="18" t="s">
        <v>500</v>
      </c>
      <c r="C448" s="18" t="s">
        <v>117</v>
      </c>
      <c r="D448" s="18" t="s">
        <v>78</v>
      </c>
      <c r="E448" s="18" t="s">
        <v>534</v>
      </c>
      <c r="F448" s="18" t="s">
        <v>1248</v>
      </c>
      <c r="G448" s="18" t="s">
        <v>75</v>
      </c>
      <c r="H448" s="18" t="s">
        <v>48</v>
      </c>
      <c r="I448" s="18">
        <v>6</v>
      </c>
      <c r="J448" s="19">
        <v>1845</v>
      </c>
      <c r="K448" s="19">
        <v>1236</v>
      </c>
      <c r="L448" s="20">
        <v>0.33</v>
      </c>
      <c r="M448" s="19">
        <v>961</v>
      </c>
      <c r="N448" s="19">
        <f>(tbl_raw[[#This Row],[Selling_Price]]-tbl_raw[[#This Row],[Cost_Price]])*tbl_raw[[#This Row],[Units_Sold]]</f>
        <v>1650</v>
      </c>
      <c r="O448" s="20">
        <f>IFERROR((tbl_raw[[#This Row],[Selling_Price]]-tbl_raw[[#This Row],[Cost_Price]]) / tbl_raw[[#This Row],[Selling_Price]],0)</f>
        <v>0.22249190938511326</v>
      </c>
      <c r="P448" s="19">
        <v>126</v>
      </c>
      <c r="Q448" s="19">
        <f>tbl_raw[[#This Row],[Gross_Profit]]-(tbl_raw[[#This Row],[Shipping_Cost]]*tbl_raw[[#This Row],[Units_Sold]])</f>
        <v>894</v>
      </c>
      <c r="R448" s="20">
        <f>IFERROR(tbl_raw[[#This Row],[Net_Profit]]/(tbl_raw[[#This Row],[Selling_Price]]*tbl_raw[[#This Row],[Units_Sold]]),0)</f>
        <v>0.12055016181229773</v>
      </c>
      <c r="S448" s="18" t="s">
        <v>58</v>
      </c>
      <c r="T448" s="18" t="s">
        <v>32</v>
      </c>
      <c r="U448" s="18">
        <f>IF(tbl_raw[[#This Row],[Order_Status]]="Returned",1,0)</f>
        <v>0</v>
      </c>
      <c r="V448" s="18">
        <f>IF(tbl_raw[[#This Row],[Payment_Method]]="COD",1,0)</f>
        <v>0</v>
      </c>
      <c r="W448" s="21">
        <f>MIN(1,(tbl_raw[[#This Row],[Discount_Pct]]*1.4)+(tbl_raw[[#This Row],[COD_Flag]]*0.35))</f>
        <v>0.46199999999999997</v>
      </c>
    </row>
    <row r="449" spans="1:23" ht="22.8" x14ac:dyDescent="0.3">
      <c r="A449" s="22" t="s">
        <v>1249</v>
      </c>
      <c r="B449" s="23" t="s">
        <v>1166</v>
      </c>
      <c r="C449" s="23" t="s">
        <v>117</v>
      </c>
      <c r="D449" s="23" t="s">
        <v>62</v>
      </c>
      <c r="E449" s="23" t="s">
        <v>133</v>
      </c>
      <c r="F449" s="23" t="s">
        <v>1250</v>
      </c>
      <c r="G449" s="23" t="s">
        <v>47</v>
      </c>
      <c r="H449" s="23" t="s">
        <v>48</v>
      </c>
      <c r="I449" s="23">
        <v>13</v>
      </c>
      <c r="J449" s="24">
        <v>3902</v>
      </c>
      <c r="K449" s="24">
        <v>3629</v>
      </c>
      <c r="L449" s="25">
        <v>7.0000000000000007E-2</v>
      </c>
      <c r="M449" s="24">
        <v>2749</v>
      </c>
      <c r="N449" s="24">
        <f>(tbl_raw[[#This Row],[Selling_Price]]-tbl_raw[[#This Row],[Cost_Price]])*tbl_raw[[#This Row],[Units_Sold]]</f>
        <v>11440</v>
      </c>
      <c r="O449" s="25">
        <f>IFERROR((tbl_raw[[#This Row],[Selling_Price]]-tbl_raw[[#This Row],[Cost_Price]]) / tbl_raw[[#This Row],[Selling_Price]],0)</f>
        <v>0.24249104436483879</v>
      </c>
      <c r="P449" s="24">
        <v>32</v>
      </c>
      <c r="Q449" s="24">
        <f>tbl_raw[[#This Row],[Gross_Profit]]-(tbl_raw[[#This Row],[Shipping_Cost]]*tbl_raw[[#This Row],[Units_Sold]])</f>
        <v>11024</v>
      </c>
      <c r="R449" s="25">
        <f>IFERROR(tbl_raw[[#This Row],[Net_Profit]]/(tbl_raw[[#This Row],[Selling_Price]]*tbl_raw[[#This Row],[Units_Sold]]),0)</f>
        <v>0.23367318820611738</v>
      </c>
      <c r="S449" s="23" t="s">
        <v>31</v>
      </c>
      <c r="T449" s="23" t="s">
        <v>32</v>
      </c>
      <c r="U449" s="23">
        <f>IF(tbl_raw[[#This Row],[Order_Status]]="Returned",1,0)</f>
        <v>0</v>
      </c>
      <c r="V449" s="23">
        <f>IF(tbl_raw[[#This Row],[Payment_Method]]="COD",1,0)</f>
        <v>0</v>
      </c>
      <c r="W449" s="26">
        <f>MIN(1,(tbl_raw[[#This Row],[Discount_Pct]]*1.4)+(tbl_raw[[#This Row],[COD_Flag]]*0.35))</f>
        <v>9.8000000000000004E-2</v>
      </c>
    </row>
    <row r="450" spans="1:23" ht="22.8" x14ac:dyDescent="0.3">
      <c r="A450" s="17" t="s">
        <v>1251</v>
      </c>
      <c r="B450" s="18" t="s">
        <v>678</v>
      </c>
      <c r="C450" s="18" t="s">
        <v>105</v>
      </c>
      <c r="D450" s="18" t="s">
        <v>26</v>
      </c>
      <c r="E450" s="18" t="s">
        <v>125</v>
      </c>
      <c r="F450" s="18" t="s">
        <v>1252</v>
      </c>
      <c r="G450" s="18" t="s">
        <v>56</v>
      </c>
      <c r="H450" s="18" t="s">
        <v>57</v>
      </c>
      <c r="I450" s="18">
        <v>14</v>
      </c>
      <c r="J450" s="19">
        <v>4962</v>
      </c>
      <c r="K450" s="19">
        <v>3523</v>
      </c>
      <c r="L450" s="20">
        <v>0.28999999999999998</v>
      </c>
      <c r="M450" s="19">
        <v>2458</v>
      </c>
      <c r="N450" s="19">
        <f>(tbl_raw[[#This Row],[Selling_Price]]-tbl_raw[[#This Row],[Cost_Price]])*tbl_raw[[#This Row],[Units_Sold]]</f>
        <v>14910</v>
      </c>
      <c r="O450" s="20">
        <f>IFERROR((tbl_raw[[#This Row],[Selling_Price]]-tbl_raw[[#This Row],[Cost_Price]]) / tbl_raw[[#This Row],[Selling_Price]],0)</f>
        <v>0.30229917683792223</v>
      </c>
      <c r="P450" s="19">
        <v>71</v>
      </c>
      <c r="Q450" s="19">
        <f>tbl_raw[[#This Row],[Gross_Profit]]-(tbl_raw[[#This Row],[Shipping_Cost]]*tbl_raw[[#This Row],[Units_Sold]])</f>
        <v>13916</v>
      </c>
      <c r="R450" s="20">
        <f>IFERROR(tbl_raw[[#This Row],[Net_Profit]]/(tbl_raw[[#This Row],[Selling_Price]]*tbl_raw[[#This Row],[Units_Sold]]),0)</f>
        <v>0.28214589838206072</v>
      </c>
      <c r="S450" s="18" t="s">
        <v>58</v>
      </c>
      <c r="T450" s="18" t="s">
        <v>32</v>
      </c>
      <c r="U450" s="18">
        <f>IF(tbl_raw[[#This Row],[Order_Status]]="Returned",1,0)</f>
        <v>0</v>
      </c>
      <c r="V450" s="18">
        <f>IF(tbl_raw[[#This Row],[Payment_Method]]="COD",1,0)</f>
        <v>0</v>
      </c>
      <c r="W450" s="21">
        <f>MIN(1,(tbl_raw[[#This Row],[Discount_Pct]]*1.4)+(tbl_raw[[#This Row],[COD_Flag]]*0.35))</f>
        <v>0.40599999999999997</v>
      </c>
    </row>
    <row r="451" spans="1:23" ht="22.8" x14ac:dyDescent="0.3">
      <c r="A451" s="22" t="s">
        <v>1253</v>
      </c>
      <c r="B451" s="23" t="s">
        <v>500</v>
      </c>
      <c r="C451" s="23" t="s">
        <v>117</v>
      </c>
      <c r="D451" s="23" t="s">
        <v>94</v>
      </c>
      <c r="E451" s="23" t="s">
        <v>137</v>
      </c>
      <c r="F451" s="23" t="s">
        <v>1254</v>
      </c>
      <c r="G451" s="23" t="s">
        <v>29</v>
      </c>
      <c r="H451" s="23" t="s">
        <v>30</v>
      </c>
      <c r="I451" s="23">
        <v>17</v>
      </c>
      <c r="J451" s="24">
        <v>2832</v>
      </c>
      <c r="K451" s="24">
        <v>1954</v>
      </c>
      <c r="L451" s="25">
        <v>0.31</v>
      </c>
      <c r="M451" s="24">
        <v>1311</v>
      </c>
      <c r="N451" s="24">
        <f>(tbl_raw[[#This Row],[Selling_Price]]-tbl_raw[[#This Row],[Cost_Price]])*tbl_raw[[#This Row],[Units_Sold]]</f>
        <v>10931</v>
      </c>
      <c r="O451" s="25">
        <f>IFERROR((tbl_raw[[#This Row],[Selling_Price]]-tbl_raw[[#This Row],[Cost_Price]]) / tbl_raw[[#This Row],[Selling_Price]],0)</f>
        <v>0.32906857727737976</v>
      </c>
      <c r="P451" s="24">
        <v>112</v>
      </c>
      <c r="Q451" s="24">
        <f>tbl_raw[[#This Row],[Gross_Profit]]-(tbl_raw[[#This Row],[Shipping_Cost]]*tbl_raw[[#This Row],[Units_Sold]])</f>
        <v>9027</v>
      </c>
      <c r="R451" s="25">
        <f>IFERROR(tbl_raw[[#This Row],[Net_Profit]]/(tbl_raw[[#This Row],[Selling_Price]]*tbl_raw[[#This Row],[Units_Sold]]),0)</f>
        <v>0.27175025588536333</v>
      </c>
      <c r="S451" s="23" t="s">
        <v>58</v>
      </c>
      <c r="T451" s="23" t="s">
        <v>32</v>
      </c>
      <c r="U451" s="23">
        <f>IF(tbl_raw[[#This Row],[Order_Status]]="Returned",1,0)</f>
        <v>0</v>
      </c>
      <c r="V451" s="23">
        <f>IF(tbl_raw[[#This Row],[Payment_Method]]="COD",1,0)</f>
        <v>0</v>
      </c>
      <c r="W451" s="26">
        <f>MIN(1,(tbl_raw[[#This Row],[Discount_Pct]]*1.4)+(tbl_raw[[#This Row],[COD_Flag]]*0.35))</f>
        <v>0.434</v>
      </c>
    </row>
    <row r="452" spans="1:23" ht="22.8" x14ac:dyDescent="0.3">
      <c r="A452" s="17" t="s">
        <v>1255</v>
      </c>
      <c r="B452" s="18" t="s">
        <v>393</v>
      </c>
      <c r="C452" s="18" t="s">
        <v>72</v>
      </c>
      <c r="D452" s="18" t="s">
        <v>175</v>
      </c>
      <c r="E452" s="18" t="s">
        <v>149</v>
      </c>
      <c r="F452" s="18" t="s">
        <v>1256</v>
      </c>
      <c r="G452" s="18" t="s">
        <v>29</v>
      </c>
      <c r="H452" s="18" t="s">
        <v>30</v>
      </c>
      <c r="I452" s="18">
        <v>10</v>
      </c>
      <c r="J452" s="19">
        <v>2165</v>
      </c>
      <c r="K452" s="19">
        <v>2122</v>
      </c>
      <c r="L452" s="20">
        <v>0.02</v>
      </c>
      <c r="M452" s="19">
        <v>1335</v>
      </c>
      <c r="N452" s="19">
        <f>(tbl_raw[[#This Row],[Selling_Price]]-tbl_raw[[#This Row],[Cost_Price]])*tbl_raw[[#This Row],[Units_Sold]]</f>
        <v>7870</v>
      </c>
      <c r="O452" s="20">
        <f>IFERROR((tbl_raw[[#This Row],[Selling_Price]]-tbl_raw[[#This Row],[Cost_Price]]) / tbl_raw[[#This Row],[Selling_Price]],0)</f>
        <v>0.37087653157398681</v>
      </c>
      <c r="P452" s="19">
        <v>39</v>
      </c>
      <c r="Q452" s="19">
        <f>tbl_raw[[#This Row],[Gross_Profit]]-(tbl_raw[[#This Row],[Shipping_Cost]]*tbl_raw[[#This Row],[Units_Sold]])</f>
        <v>7480</v>
      </c>
      <c r="R452" s="20">
        <f>IFERROR(tbl_raw[[#This Row],[Net_Profit]]/(tbl_raw[[#This Row],[Selling_Price]]*tbl_raw[[#This Row],[Units_Sold]]),0)</f>
        <v>0.352497643732328</v>
      </c>
      <c r="S452" s="18" t="s">
        <v>65</v>
      </c>
      <c r="T452" s="18" t="s">
        <v>59</v>
      </c>
      <c r="U452" s="18">
        <f>IF(tbl_raw[[#This Row],[Order_Status]]="Returned",1,0)</f>
        <v>0</v>
      </c>
      <c r="V452" s="18">
        <f>IF(tbl_raw[[#This Row],[Payment_Method]]="COD",1,0)</f>
        <v>0</v>
      </c>
      <c r="W452" s="21">
        <f>MIN(1,(tbl_raw[[#This Row],[Discount_Pct]]*1.4)+(tbl_raw[[#This Row],[COD_Flag]]*0.35))</f>
        <v>2.7999999999999997E-2</v>
      </c>
    </row>
    <row r="453" spans="1:23" ht="22.8" x14ac:dyDescent="0.3">
      <c r="A453" s="22" t="s">
        <v>1257</v>
      </c>
      <c r="B453" s="23" t="s">
        <v>640</v>
      </c>
      <c r="C453" s="23" t="s">
        <v>199</v>
      </c>
      <c r="D453" s="23" t="s">
        <v>175</v>
      </c>
      <c r="E453" s="23" t="s">
        <v>354</v>
      </c>
      <c r="F453" s="23" t="s">
        <v>1258</v>
      </c>
      <c r="G453" s="23" t="s">
        <v>102</v>
      </c>
      <c r="H453" s="23" t="s">
        <v>39</v>
      </c>
      <c r="I453" s="23">
        <v>5</v>
      </c>
      <c r="J453" s="24">
        <v>3132</v>
      </c>
      <c r="K453" s="24">
        <v>2067</v>
      </c>
      <c r="L453" s="25">
        <v>0.34</v>
      </c>
      <c r="M453" s="24">
        <v>1963</v>
      </c>
      <c r="N453" s="24">
        <f>(tbl_raw[[#This Row],[Selling_Price]]-tbl_raw[[#This Row],[Cost_Price]])*tbl_raw[[#This Row],[Units_Sold]]</f>
        <v>520</v>
      </c>
      <c r="O453" s="25">
        <f>IFERROR((tbl_raw[[#This Row],[Selling_Price]]-tbl_raw[[#This Row],[Cost_Price]]) / tbl_raw[[#This Row],[Selling_Price]],0)</f>
        <v>5.0314465408805034E-2</v>
      </c>
      <c r="P453" s="24">
        <v>150</v>
      </c>
      <c r="Q453" s="24">
        <f>tbl_raw[[#This Row],[Gross_Profit]]-(tbl_raw[[#This Row],[Shipping_Cost]]*tbl_raw[[#This Row],[Units_Sold]])</f>
        <v>-230</v>
      </c>
      <c r="R453" s="25">
        <f>IFERROR(tbl_raw[[#This Row],[Net_Profit]]/(tbl_raw[[#This Row],[Selling_Price]]*tbl_raw[[#This Row],[Units_Sold]]),0)</f>
        <v>-2.2254475084663765E-2</v>
      </c>
      <c r="S453" s="23" t="s">
        <v>40</v>
      </c>
      <c r="T453" s="23" t="s">
        <v>86</v>
      </c>
      <c r="U453" s="23">
        <f>IF(tbl_raw[[#This Row],[Order_Status]]="Returned",1,0)</f>
        <v>1</v>
      </c>
      <c r="V453" s="23">
        <f>IF(tbl_raw[[#This Row],[Payment_Method]]="COD",1,0)</f>
        <v>1</v>
      </c>
      <c r="W453" s="26">
        <f>MIN(1,(tbl_raw[[#This Row],[Discount_Pct]]*1.4)+(tbl_raw[[#This Row],[COD_Flag]]*0.35))</f>
        <v>0.82599999999999996</v>
      </c>
    </row>
    <row r="454" spans="1:23" ht="22.8" x14ac:dyDescent="0.3">
      <c r="A454" s="17" t="s">
        <v>1259</v>
      </c>
      <c r="B454" s="18" t="s">
        <v>1260</v>
      </c>
      <c r="C454" s="18" t="s">
        <v>99</v>
      </c>
      <c r="D454" s="18" t="s">
        <v>62</v>
      </c>
      <c r="E454" s="18" t="s">
        <v>110</v>
      </c>
      <c r="F454" s="18" t="s">
        <v>1261</v>
      </c>
      <c r="G454" s="18" t="s">
        <v>75</v>
      </c>
      <c r="H454" s="18" t="s">
        <v>48</v>
      </c>
      <c r="I454" s="18">
        <v>9</v>
      </c>
      <c r="J454" s="19">
        <v>6201</v>
      </c>
      <c r="K454" s="19">
        <v>4279</v>
      </c>
      <c r="L454" s="20">
        <v>0.31</v>
      </c>
      <c r="M454" s="19">
        <v>3929</v>
      </c>
      <c r="N454" s="19">
        <f>(tbl_raw[[#This Row],[Selling_Price]]-tbl_raw[[#This Row],[Cost_Price]])*tbl_raw[[#This Row],[Units_Sold]]</f>
        <v>3150</v>
      </c>
      <c r="O454" s="20">
        <f>IFERROR((tbl_raw[[#This Row],[Selling_Price]]-tbl_raw[[#This Row],[Cost_Price]]) / tbl_raw[[#This Row],[Selling_Price]],0)</f>
        <v>8.1794811871932688E-2</v>
      </c>
      <c r="P454" s="19">
        <v>146</v>
      </c>
      <c r="Q454" s="19">
        <f>tbl_raw[[#This Row],[Gross_Profit]]-(tbl_raw[[#This Row],[Shipping_Cost]]*tbl_raw[[#This Row],[Units_Sold]])</f>
        <v>1836</v>
      </c>
      <c r="R454" s="20">
        <f>IFERROR(tbl_raw[[#This Row],[Net_Profit]]/(tbl_raw[[#This Row],[Selling_Price]]*tbl_raw[[#This Row],[Units_Sold]]),0)</f>
        <v>4.7674690348212201E-2</v>
      </c>
      <c r="S454" s="18" t="s">
        <v>107</v>
      </c>
      <c r="T454" s="18" t="s">
        <v>32</v>
      </c>
      <c r="U454" s="18">
        <f>IF(tbl_raw[[#This Row],[Order_Status]]="Returned",1,0)</f>
        <v>0</v>
      </c>
      <c r="V454" s="18">
        <f>IF(tbl_raw[[#This Row],[Payment_Method]]="COD",1,0)</f>
        <v>0</v>
      </c>
      <c r="W454" s="21">
        <f>MIN(1,(tbl_raw[[#This Row],[Discount_Pct]]*1.4)+(tbl_raw[[#This Row],[COD_Flag]]*0.35))</f>
        <v>0.434</v>
      </c>
    </row>
    <row r="455" spans="1:23" ht="22.8" x14ac:dyDescent="0.3">
      <c r="A455" s="22" t="s">
        <v>1262</v>
      </c>
      <c r="B455" s="23" t="s">
        <v>811</v>
      </c>
      <c r="C455" s="23" t="s">
        <v>132</v>
      </c>
      <c r="D455" s="23" t="s">
        <v>78</v>
      </c>
      <c r="E455" s="23" t="s">
        <v>79</v>
      </c>
      <c r="F455" s="23" t="s">
        <v>1263</v>
      </c>
      <c r="G455" s="23" t="s">
        <v>143</v>
      </c>
      <c r="H455" s="23" t="s">
        <v>30</v>
      </c>
      <c r="I455" s="23">
        <v>9</v>
      </c>
      <c r="J455" s="24">
        <v>1588</v>
      </c>
      <c r="K455" s="24">
        <v>1540</v>
      </c>
      <c r="L455" s="25">
        <v>0.03</v>
      </c>
      <c r="M455" s="24">
        <v>1180</v>
      </c>
      <c r="N455" s="24">
        <f>(tbl_raw[[#This Row],[Selling_Price]]-tbl_raw[[#This Row],[Cost_Price]])*tbl_raw[[#This Row],[Units_Sold]]</f>
        <v>3240</v>
      </c>
      <c r="O455" s="25">
        <f>IFERROR((tbl_raw[[#This Row],[Selling_Price]]-tbl_raw[[#This Row],[Cost_Price]]) / tbl_raw[[#This Row],[Selling_Price]],0)</f>
        <v>0.23376623376623376</v>
      </c>
      <c r="P455" s="24">
        <v>60</v>
      </c>
      <c r="Q455" s="24">
        <f>tbl_raw[[#This Row],[Gross_Profit]]-(tbl_raw[[#This Row],[Shipping_Cost]]*tbl_raw[[#This Row],[Units_Sold]])</f>
        <v>2700</v>
      </c>
      <c r="R455" s="25">
        <f>IFERROR(tbl_raw[[#This Row],[Net_Profit]]/(tbl_raw[[#This Row],[Selling_Price]]*tbl_raw[[#This Row],[Units_Sold]]),0)</f>
        <v>0.19480519480519481</v>
      </c>
      <c r="S455" s="23" t="s">
        <v>31</v>
      </c>
      <c r="T455" s="23" t="s">
        <v>32</v>
      </c>
      <c r="U455" s="23">
        <f>IF(tbl_raw[[#This Row],[Order_Status]]="Returned",1,0)</f>
        <v>0</v>
      </c>
      <c r="V455" s="23">
        <f>IF(tbl_raw[[#This Row],[Payment_Method]]="COD",1,0)</f>
        <v>0</v>
      </c>
      <c r="W455" s="26">
        <f>MIN(1,(tbl_raw[[#This Row],[Discount_Pct]]*1.4)+(tbl_raw[[#This Row],[COD_Flag]]*0.35))</f>
        <v>4.1999999999999996E-2</v>
      </c>
    </row>
    <row r="456" spans="1:23" ht="22.8" x14ac:dyDescent="0.3">
      <c r="A456" s="17" t="s">
        <v>1264</v>
      </c>
      <c r="B456" s="18" t="s">
        <v>1265</v>
      </c>
      <c r="C456" s="18" t="s">
        <v>43</v>
      </c>
      <c r="D456" s="18" t="s">
        <v>78</v>
      </c>
      <c r="E456" s="18" t="s">
        <v>118</v>
      </c>
      <c r="F456" s="18" t="s">
        <v>1266</v>
      </c>
      <c r="G456" s="18" t="s">
        <v>120</v>
      </c>
      <c r="H456" s="18" t="s">
        <v>39</v>
      </c>
      <c r="I456" s="18">
        <v>15</v>
      </c>
      <c r="J456" s="19">
        <v>5780</v>
      </c>
      <c r="K456" s="19">
        <v>5491</v>
      </c>
      <c r="L456" s="20">
        <v>0.05</v>
      </c>
      <c r="M456" s="19">
        <v>2460</v>
      </c>
      <c r="N456" s="19">
        <f>(tbl_raw[[#This Row],[Selling_Price]]-tbl_raw[[#This Row],[Cost_Price]])*tbl_raw[[#This Row],[Units_Sold]]</f>
        <v>45465</v>
      </c>
      <c r="O456" s="20">
        <f>IFERROR((tbl_raw[[#This Row],[Selling_Price]]-tbl_raw[[#This Row],[Cost_Price]]) / tbl_raw[[#This Row],[Selling_Price]],0)</f>
        <v>0.55199417228191583</v>
      </c>
      <c r="P456" s="19">
        <v>116</v>
      </c>
      <c r="Q456" s="19">
        <f>tbl_raw[[#This Row],[Gross_Profit]]-(tbl_raw[[#This Row],[Shipping_Cost]]*tbl_raw[[#This Row],[Units_Sold]])</f>
        <v>43725</v>
      </c>
      <c r="R456" s="20">
        <f>IFERROR(tbl_raw[[#This Row],[Net_Profit]]/(tbl_raw[[#This Row],[Selling_Price]]*tbl_raw[[#This Row],[Units_Sold]]),0)</f>
        <v>0.53086869422691674</v>
      </c>
      <c r="S456" s="18" t="s">
        <v>107</v>
      </c>
      <c r="T456" s="18" t="s">
        <v>32</v>
      </c>
      <c r="U456" s="18">
        <f>IF(tbl_raw[[#This Row],[Order_Status]]="Returned",1,0)</f>
        <v>0</v>
      </c>
      <c r="V456" s="18">
        <f>IF(tbl_raw[[#This Row],[Payment_Method]]="COD",1,0)</f>
        <v>0</v>
      </c>
      <c r="W456" s="21">
        <f>MIN(1,(tbl_raw[[#This Row],[Discount_Pct]]*1.4)+(tbl_raw[[#This Row],[COD_Flag]]*0.35))</f>
        <v>6.9999999999999993E-2</v>
      </c>
    </row>
    <row r="457" spans="1:23" ht="22.8" x14ac:dyDescent="0.3">
      <c r="A457" s="22" t="s">
        <v>1267</v>
      </c>
      <c r="B457" s="23" t="s">
        <v>1268</v>
      </c>
      <c r="C457" s="23" t="s">
        <v>117</v>
      </c>
      <c r="D457" s="23" t="s">
        <v>26</v>
      </c>
      <c r="E457" s="23" t="s">
        <v>125</v>
      </c>
      <c r="F457" s="23" t="s">
        <v>1269</v>
      </c>
      <c r="G457" s="23" t="s">
        <v>47</v>
      </c>
      <c r="H457" s="23" t="s">
        <v>48</v>
      </c>
      <c r="I457" s="23">
        <v>9</v>
      </c>
      <c r="J457" s="24">
        <v>1383</v>
      </c>
      <c r="K457" s="24">
        <v>1176</v>
      </c>
      <c r="L457" s="25">
        <v>0.15</v>
      </c>
      <c r="M457" s="24">
        <v>743</v>
      </c>
      <c r="N457" s="24">
        <f>(tbl_raw[[#This Row],[Selling_Price]]-tbl_raw[[#This Row],[Cost_Price]])*tbl_raw[[#This Row],[Units_Sold]]</f>
        <v>3897</v>
      </c>
      <c r="O457" s="25">
        <f>IFERROR((tbl_raw[[#This Row],[Selling_Price]]-tbl_raw[[#This Row],[Cost_Price]]) / tbl_raw[[#This Row],[Selling_Price]],0)</f>
        <v>0.36819727891156462</v>
      </c>
      <c r="P457" s="24">
        <v>31</v>
      </c>
      <c r="Q457" s="24">
        <f>tbl_raw[[#This Row],[Gross_Profit]]-(tbl_raw[[#This Row],[Shipping_Cost]]*tbl_raw[[#This Row],[Units_Sold]])</f>
        <v>3618</v>
      </c>
      <c r="R457" s="25">
        <f>IFERROR(tbl_raw[[#This Row],[Net_Profit]]/(tbl_raw[[#This Row],[Selling_Price]]*tbl_raw[[#This Row],[Units_Sold]]),0)</f>
        <v>0.34183673469387754</v>
      </c>
      <c r="S457" s="23" t="s">
        <v>31</v>
      </c>
      <c r="T457" s="23" t="s">
        <v>32</v>
      </c>
      <c r="U457" s="23">
        <f>IF(tbl_raw[[#This Row],[Order_Status]]="Returned",1,0)</f>
        <v>0</v>
      </c>
      <c r="V457" s="23">
        <f>IF(tbl_raw[[#This Row],[Payment_Method]]="COD",1,0)</f>
        <v>0</v>
      </c>
      <c r="W457" s="26">
        <f>MIN(1,(tbl_raw[[#This Row],[Discount_Pct]]*1.4)+(tbl_raw[[#This Row],[COD_Flag]]*0.35))</f>
        <v>0.21</v>
      </c>
    </row>
    <row r="458" spans="1:23" ht="22.8" x14ac:dyDescent="0.3">
      <c r="A458" s="17" t="s">
        <v>1270</v>
      </c>
      <c r="B458" s="18" t="s">
        <v>421</v>
      </c>
      <c r="C458" s="18" t="s">
        <v>156</v>
      </c>
      <c r="D458" s="18" t="s">
        <v>175</v>
      </c>
      <c r="E458" s="18" t="s">
        <v>176</v>
      </c>
      <c r="F458" s="18" t="s">
        <v>1271</v>
      </c>
      <c r="G458" s="18" t="s">
        <v>139</v>
      </c>
      <c r="H458" s="18" t="s">
        <v>48</v>
      </c>
      <c r="I458" s="18">
        <v>13</v>
      </c>
      <c r="J458" s="19">
        <v>7642</v>
      </c>
      <c r="K458" s="19">
        <v>4814</v>
      </c>
      <c r="L458" s="20">
        <v>0.37</v>
      </c>
      <c r="M458" s="19">
        <v>4346</v>
      </c>
      <c r="N458" s="19">
        <f>(tbl_raw[[#This Row],[Selling_Price]]-tbl_raw[[#This Row],[Cost_Price]])*tbl_raw[[#This Row],[Units_Sold]]</f>
        <v>6084</v>
      </c>
      <c r="O458" s="20">
        <f>IFERROR((tbl_raw[[#This Row],[Selling_Price]]-tbl_raw[[#This Row],[Cost_Price]]) / tbl_raw[[#This Row],[Selling_Price]],0)</f>
        <v>9.7216452014956378E-2</v>
      </c>
      <c r="P458" s="19">
        <v>115</v>
      </c>
      <c r="Q458" s="19">
        <f>tbl_raw[[#This Row],[Gross_Profit]]-(tbl_raw[[#This Row],[Shipping_Cost]]*tbl_raw[[#This Row],[Units_Sold]])</f>
        <v>4589</v>
      </c>
      <c r="R458" s="20">
        <f>IFERROR(tbl_raw[[#This Row],[Net_Profit]]/(tbl_raw[[#This Row],[Selling_Price]]*tbl_raw[[#This Row],[Units_Sold]]),0)</f>
        <v>7.3327793934358121E-2</v>
      </c>
      <c r="S458" s="18" t="s">
        <v>107</v>
      </c>
      <c r="T458" s="18" t="s">
        <v>32</v>
      </c>
      <c r="U458" s="18">
        <f>IF(tbl_raw[[#This Row],[Order_Status]]="Returned",1,0)</f>
        <v>0</v>
      </c>
      <c r="V458" s="18">
        <f>IF(tbl_raw[[#This Row],[Payment_Method]]="COD",1,0)</f>
        <v>0</v>
      </c>
      <c r="W458" s="21">
        <f>MIN(1,(tbl_raw[[#This Row],[Discount_Pct]]*1.4)+(tbl_raw[[#This Row],[COD_Flag]]*0.35))</f>
        <v>0.51800000000000002</v>
      </c>
    </row>
    <row r="459" spans="1:23" ht="22.8" x14ac:dyDescent="0.3">
      <c r="A459" s="22" t="s">
        <v>1272</v>
      </c>
      <c r="B459" s="23" t="s">
        <v>1273</v>
      </c>
      <c r="C459" s="23" t="s">
        <v>132</v>
      </c>
      <c r="D459" s="23" t="s">
        <v>175</v>
      </c>
      <c r="E459" s="23" t="s">
        <v>190</v>
      </c>
      <c r="F459" s="23" t="s">
        <v>1274</v>
      </c>
      <c r="G459" s="23" t="s">
        <v>56</v>
      </c>
      <c r="H459" s="23" t="s">
        <v>57</v>
      </c>
      <c r="I459" s="23">
        <v>3</v>
      </c>
      <c r="J459" s="24">
        <v>6761</v>
      </c>
      <c r="K459" s="24">
        <v>4462</v>
      </c>
      <c r="L459" s="25">
        <v>0.34</v>
      </c>
      <c r="M459" s="24">
        <v>3391</v>
      </c>
      <c r="N459" s="24">
        <f>(tbl_raw[[#This Row],[Selling_Price]]-tbl_raw[[#This Row],[Cost_Price]])*tbl_raw[[#This Row],[Units_Sold]]</f>
        <v>3213</v>
      </c>
      <c r="O459" s="25">
        <f>IFERROR((tbl_raw[[#This Row],[Selling_Price]]-tbl_raw[[#This Row],[Cost_Price]]) / tbl_raw[[#This Row],[Selling_Price]],0)</f>
        <v>0.24002689376961003</v>
      </c>
      <c r="P459" s="24">
        <v>60</v>
      </c>
      <c r="Q459" s="24">
        <f>tbl_raw[[#This Row],[Gross_Profit]]-(tbl_raw[[#This Row],[Shipping_Cost]]*tbl_raw[[#This Row],[Units_Sold]])</f>
        <v>3033</v>
      </c>
      <c r="R459" s="25">
        <f>IFERROR(tbl_raw[[#This Row],[Net_Profit]]/(tbl_raw[[#This Row],[Selling_Price]]*tbl_raw[[#This Row],[Units_Sold]]),0)</f>
        <v>0.22658000896458988</v>
      </c>
      <c r="S459" s="23" t="s">
        <v>65</v>
      </c>
      <c r="T459" s="23" t="s">
        <v>32</v>
      </c>
      <c r="U459" s="23">
        <f>IF(tbl_raw[[#This Row],[Order_Status]]="Returned",1,0)</f>
        <v>0</v>
      </c>
      <c r="V459" s="23">
        <f>IF(tbl_raw[[#This Row],[Payment_Method]]="COD",1,0)</f>
        <v>0</v>
      </c>
      <c r="W459" s="26">
        <f>MIN(1,(tbl_raw[[#This Row],[Discount_Pct]]*1.4)+(tbl_raw[[#This Row],[COD_Flag]]*0.35))</f>
        <v>0.47599999999999998</v>
      </c>
    </row>
    <row r="460" spans="1:23" ht="22.8" x14ac:dyDescent="0.3">
      <c r="A460" s="17" t="s">
        <v>1275</v>
      </c>
      <c r="B460" s="18" t="s">
        <v>667</v>
      </c>
      <c r="C460" s="18" t="s">
        <v>35</v>
      </c>
      <c r="D460" s="18" t="s">
        <v>78</v>
      </c>
      <c r="E460" s="18" t="s">
        <v>296</v>
      </c>
      <c r="F460" s="18" t="s">
        <v>1276</v>
      </c>
      <c r="G460" s="18" t="s">
        <v>56</v>
      </c>
      <c r="H460" s="18" t="s">
        <v>57</v>
      </c>
      <c r="I460" s="18">
        <v>16</v>
      </c>
      <c r="J460" s="19">
        <v>862</v>
      </c>
      <c r="K460" s="19">
        <v>621</v>
      </c>
      <c r="L460" s="20">
        <v>0.28000000000000003</v>
      </c>
      <c r="M460" s="19">
        <v>567</v>
      </c>
      <c r="N460" s="19">
        <f>(tbl_raw[[#This Row],[Selling_Price]]-tbl_raw[[#This Row],[Cost_Price]])*tbl_raw[[#This Row],[Units_Sold]]</f>
        <v>864</v>
      </c>
      <c r="O460" s="20">
        <f>IFERROR((tbl_raw[[#This Row],[Selling_Price]]-tbl_raw[[#This Row],[Cost_Price]]) / tbl_raw[[#This Row],[Selling_Price]],0)</f>
        <v>8.6956521739130432E-2</v>
      </c>
      <c r="P460" s="19">
        <v>51</v>
      </c>
      <c r="Q460" s="19">
        <f>tbl_raw[[#This Row],[Gross_Profit]]-(tbl_raw[[#This Row],[Shipping_Cost]]*tbl_raw[[#This Row],[Units_Sold]])</f>
        <v>48</v>
      </c>
      <c r="R460" s="20">
        <f>IFERROR(tbl_raw[[#This Row],[Net_Profit]]/(tbl_raw[[#This Row],[Selling_Price]]*tbl_raw[[#This Row],[Units_Sold]]),0)</f>
        <v>4.830917874396135E-3</v>
      </c>
      <c r="S460" s="18" t="s">
        <v>40</v>
      </c>
      <c r="T460" s="18" t="s">
        <v>49</v>
      </c>
      <c r="U460" s="18">
        <f>IF(tbl_raw[[#This Row],[Order_Status]]="Returned",1,0)</f>
        <v>0</v>
      </c>
      <c r="V460" s="18">
        <f>IF(tbl_raw[[#This Row],[Payment_Method]]="COD",1,0)</f>
        <v>1</v>
      </c>
      <c r="W460" s="21">
        <f>MIN(1,(tbl_raw[[#This Row],[Discount_Pct]]*1.4)+(tbl_raw[[#This Row],[COD_Flag]]*0.35))</f>
        <v>0.74199999999999999</v>
      </c>
    </row>
    <row r="461" spans="1:23" ht="22.8" x14ac:dyDescent="0.3">
      <c r="A461" s="22" t="s">
        <v>1277</v>
      </c>
      <c r="B461" s="23" t="s">
        <v>589</v>
      </c>
      <c r="C461" s="23" t="s">
        <v>35</v>
      </c>
      <c r="D461" s="23" t="s">
        <v>78</v>
      </c>
      <c r="E461" s="23" t="s">
        <v>296</v>
      </c>
      <c r="F461" s="23" t="s">
        <v>1278</v>
      </c>
      <c r="G461" s="23" t="s">
        <v>38</v>
      </c>
      <c r="H461" s="23" t="s">
        <v>39</v>
      </c>
      <c r="I461" s="23">
        <v>10</v>
      </c>
      <c r="J461" s="24">
        <v>4098</v>
      </c>
      <c r="K461" s="24">
        <v>2336</v>
      </c>
      <c r="L461" s="25">
        <v>0.43</v>
      </c>
      <c r="M461" s="24">
        <v>2804</v>
      </c>
      <c r="N461" s="24">
        <f>(tbl_raw[[#This Row],[Selling_Price]]-tbl_raw[[#This Row],[Cost_Price]])*tbl_raw[[#This Row],[Units_Sold]]</f>
        <v>-4680</v>
      </c>
      <c r="O461" s="25">
        <f>IFERROR((tbl_raw[[#This Row],[Selling_Price]]-tbl_raw[[#This Row],[Cost_Price]]) / tbl_raw[[#This Row],[Selling_Price]],0)</f>
        <v>-0.20034246575342465</v>
      </c>
      <c r="P461" s="24">
        <v>175</v>
      </c>
      <c r="Q461" s="24">
        <f>tbl_raw[[#This Row],[Gross_Profit]]-(tbl_raw[[#This Row],[Shipping_Cost]]*tbl_raw[[#This Row],[Units_Sold]])</f>
        <v>-6430</v>
      </c>
      <c r="R461" s="25">
        <f>IFERROR(tbl_raw[[#This Row],[Net_Profit]]/(tbl_raw[[#This Row],[Selling_Price]]*tbl_raw[[#This Row],[Units_Sold]]),0)</f>
        <v>-0.2752568493150685</v>
      </c>
      <c r="S461" s="23" t="s">
        <v>58</v>
      </c>
      <c r="T461" s="23" t="s">
        <v>32</v>
      </c>
      <c r="U461" s="23">
        <f>IF(tbl_raw[[#This Row],[Order_Status]]="Returned",1,0)</f>
        <v>0</v>
      </c>
      <c r="V461" s="23">
        <f>IF(tbl_raw[[#This Row],[Payment_Method]]="COD",1,0)</f>
        <v>0</v>
      </c>
      <c r="W461" s="26">
        <f>MIN(1,(tbl_raw[[#This Row],[Discount_Pct]]*1.4)+(tbl_raw[[#This Row],[COD_Flag]]*0.35))</f>
        <v>0.60199999999999998</v>
      </c>
    </row>
    <row r="462" spans="1:23" ht="22.8" x14ac:dyDescent="0.3">
      <c r="A462" s="17" t="s">
        <v>1279</v>
      </c>
      <c r="B462" s="18" t="s">
        <v>1280</v>
      </c>
      <c r="C462" s="18" t="s">
        <v>156</v>
      </c>
      <c r="D462" s="18" t="s">
        <v>78</v>
      </c>
      <c r="E462" s="18" t="s">
        <v>296</v>
      </c>
      <c r="F462" s="18" t="s">
        <v>1281</v>
      </c>
      <c r="G462" s="18" t="s">
        <v>38</v>
      </c>
      <c r="H462" s="18" t="s">
        <v>39</v>
      </c>
      <c r="I462" s="18">
        <v>15</v>
      </c>
      <c r="J462" s="19">
        <v>7533</v>
      </c>
      <c r="K462" s="19">
        <v>4595</v>
      </c>
      <c r="L462" s="20">
        <v>0.39</v>
      </c>
      <c r="M462" s="19">
        <v>4428</v>
      </c>
      <c r="N462" s="19">
        <f>(tbl_raw[[#This Row],[Selling_Price]]-tbl_raw[[#This Row],[Cost_Price]])*tbl_raw[[#This Row],[Units_Sold]]</f>
        <v>2505</v>
      </c>
      <c r="O462" s="20">
        <f>IFERROR((tbl_raw[[#This Row],[Selling_Price]]-tbl_raw[[#This Row],[Cost_Price]]) / tbl_raw[[#This Row],[Selling_Price]],0)</f>
        <v>3.6343852013057669E-2</v>
      </c>
      <c r="P462" s="19">
        <v>141</v>
      </c>
      <c r="Q462" s="19">
        <f>tbl_raw[[#This Row],[Gross_Profit]]-(tbl_raw[[#This Row],[Shipping_Cost]]*tbl_raw[[#This Row],[Units_Sold]])</f>
        <v>390</v>
      </c>
      <c r="R462" s="20">
        <f>IFERROR(tbl_raw[[#This Row],[Net_Profit]]/(tbl_raw[[#This Row],[Selling_Price]]*tbl_raw[[#This Row],[Units_Sold]]),0)</f>
        <v>5.6583242655059846E-3</v>
      </c>
      <c r="S462" s="18" t="s">
        <v>40</v>
      </c>
      <c r="T462" s="18" t="s">
        <v>32</v>
      </c>
      <c r="U462" s="18">
        <f>IF(tbl_raw[[#This Row],[Order_Status]]="Returned",1,0)</f>
        <v>0</v>
      </c>
      <c r="V462" s="18">
        <f>IF(tbl_raw[[#This Row],[Payment_Method]]="COD",1,0)</f>
        <v>1</v>
      </c>
      <c r="W462" s="21">
        <f>MIN(1,(tbl_raw[[#This Row],[Discount_Pct]]*1.4)+(tbl_raw[[#This Row],[COD_Flag]]*0.35))</f>
        <v>0.89599999999999991</v>
      </c>
    </row>
    <row r="463" spans="1:23" ht="22.8" x14ac:dyDescent="0.3">
      <c r="A463" s="22" t="s">
        <v>1282</v>
      </c>
      <c r="B463" s="23" t="s">
        <v>287</v>
      </c>
      <c r="C463" s="23" t="s">
        <v>43</v>
      </c>
      <c r="D463" s="23" t="s">
        <v>26</v>
      </c>
      <c r="E463" s="23" t="s">
        <v>168</v>
      </c>
      <c r="F463" s="23" t="s">
        <v>1283</v>
      </c>
      <c r="G463" s="23" t="s">
        <v>139</v>
      </c>
      <c r="H463" s="23" t="s">
        <v>48</v>
      </c>
      <c r="I463" s="23">
        <v>8</v>
      </c>
      <c r="J463" s="24">
        <v>5670</v>
      </c>
      <c r="K463" s="24">
        <v>5330</v>
      </c>
      <c r="L463" s="25">
        <v>0.06</v>
      </c>
      <c r="M463" s="24">
        <v>2610</v>
      </c>
      <c r="N463" s="24">
        <f>(tbl_raw[[#This Row],[Selling_Price]]-tbl_raw[[#This Row],[Cost_Price]])*tbl_raw[[#This Row],[Units_Sold]]</f>
        <v>21760</v>
      </c>
      <c r="O463" s="25">
        <f>IFERROR((tbl_raw[[#This Row],[Selling_Price]]-tbl_raw[[#This Row],[Cost_Price]]) / tbl_raw[[#This Row],[Selling_Price]],0)</f>
        <v>0.51031894934333955</v>
      </c>
      <c r="P463" s="24">
        <v>37</v>
      </c>
      <c r="Q463" s="24">
        <f>tbl_raw[[#This Row],[Gross_Profit]]-(tbl_raw[[#This Row],[Shipping_Cost]]*tbl_raw[[#This Row],[Units_Sold]])</f>
        <v>21464</v>
      </c>
      <c r="R463" s="25">
        <f>IFERROR(tbl_raw[[#This Row],[Net_Profit]]/(tbl_raw[[#This Row],[Selling_Price]]*tbl_raw[[#This Row],[Units_Sold]]),0)</f>
        <v>0.50337711069418389</v>
      </c>
      <c r="S463" s="23" t="s">
        <v>107</v>
      </c>
      <c r="T463" s="23" t="s">
        <v>32</v>
      </c>
      <c r="U463" s="23">
        <f>IF(tbl_raw[[#This Row],[Order_Status]]="Returned",1,0)</f>
        <v>0</v>
      </c>
      <c r="V463" s="23">
        <f>IF(tbl_raw[[#This Row],[Payment_Method]]="COD",1,0)</f>
        <v>0</v>
      </c>
      <c r="W463" s="26">
        <f>MIN(1,(tbl_raw[[#This Row],[Discount_Pct]]*1.4)+(tbl_raw[[#This Row],[COD_Flag]]*0.35))</f>
        <v>8.3999999999999991E-2</v>
      </c>
    </row>
    <row r="464" spans="1:23" ht="22.8" x14ac:dyDescent="0.3">
      <c r="A464" s="17" t="s">
        <v>1284</v>
      </c>
      <c r="B464" s="18" t="s">
        <v>1285</v>
      </c>
      <c r="C464" s="18" t="s">
        <v>199</v>
      </c>
      <c r="D464" s="18" t="s">
        <v>175</v>
      </c>
      <c r="E464" s="18" t="s">
        <v>354</v>
      </c>
      <c r="F464" s="18" t="s">
        <v>1286</v>
      </c>
      <c r="G464" s="18" t="s">
        <v>75</v>
      </c>
      <c r="H464" s="18" t="s">
        <v>48</v>
      </c>
      <c r="I464" s="18">
        <v>20</v>
      </c>
      <c r="J464" s="19">
        <v>6434</v>
      </c>
      <c r="K464" s="19">
        <v>5791</v>
      </c>
      <c r="L464" s="20">
        <v>0.1</v>
      </c>
      <c r="M464" s="19">
        <v>4385</v>
      </c>
      <c r="N464" s="19">
        <f>(tbl_raw[[#This Row],[Selling_Price]]-tbl_raw[[#This Row],[Cost_Price]])*tbl_raw[[#This Row],[Units_Sold]]</f>
        <v>28120</v>
      </c>
      <c r="O464" s="20">
        <f>IFERROR((tbl_raw[[#This Row],[Selling_Price]]-tbl_raw[[#This Row],[Cost_Price]]) / tbl_raw[[#This Row],[Selling_Price]],0)</f>
        <v>0.24279053704023484</v>
      </c>
      <c r="P464" s="19">
        <v>94</v>
      </c>
      <c r="Q464" s="19">
        <f>tbl_raw[[#This Row],[Gross_Profit]]-(tbl_raw[[#This Row],[Shipping_Cost]]*tbl_raw[[#This Row],[Units_Sold]])</f>
        <v>26240</v>
      </c>
      <c r="R464" s="20">
        <f>IFERROR(tbl_raw[[#This Row],[Net_Profit]]/(tbl_raw[[#This Row],[Selling_Price]]*tbl_raw[[#This Row],[Units_Sold]]),0)</f>
        <v>0.22655845277154205</v>
      </c>
      <c r="S464" s="18" t="s">
        <v>31</v>
      </c>
      <c r="T464" s="18" t="s">
        <v>49</v>
      </c>
      <c r="U464" s="18">
        <f>IF(tbl_raw[[#This Row],[Order_Status]]="Returned",1,0)</f>
        <v>0</v>
      </c>
      <c r="V464" s="18">
        <f>IF(tbl_raw[[#This Row],[Payment_Method]]="COD",1,0)</f>
        <v>0</v>
      </c>
      <c r="W464" s="21">
        <f>MIN(1,(tbl_raw[[#This Row],[Discount_Pct]]*1.4)+(tbl_raw[[#This Row],[COD_Flag]]*0.35))</f>
        <v>0.13999999999999999</v>
      </c>
    </row>
    <row r="465" spans="1:23" ht="22.8" x14ac:dyDescent="0.3">
      <c r="A465" s="22" t="s">
        <v>1287</v>
      </c>
      <c r="B465" s="23" t="s">
        <v>926</v>
      </c>
      <c r="C465" s="23" t="s">
        <v>199</v>
      </c>
      <c r="D465" s="23" t="s">
        <v>164</v>
      </c>
      <c r="E465" s="23" t="s">
        <v>413</v>
      </c>
      <c r="F465" s="23" t="s">
        <v>1288</v>
      </c>
      <c r="G465" s="23" t="s">
        <v>29</v>
      </c>
      <c r="H465" s="23" t="s">
        <v>30</v>
      </c>
      <c r="I465" s="23">
        <v>2</v>
      </c>
      <c r="J465" s="24">
        <v>4826</v>
      </c>
      <c r="K465" s="24">
        <v>4102</v>
      </c>
      <c r="L465" s="25">
        <v>0.15</v>
      </c>
      <c r="M465" s="24">
        <v>2134</v>
      </c>
      <c r="N465" s="24">
        <f>(tbl_raw[[#This Row],[Selling_Price]]-tbl_raw[[#This Row],[Cost_Price]])*tbl_raw[[#This Row],[Units_Sold]]</f>
        <v>3936</v>
      </c>
      <c r="O465" s="25">
        <f>IFERROR((tbl_raw[[#This Row],[Selling_Price]]-tbl_raw[[#This Row],[Cost_Price]]) / tbl_raw[[#This Row],[Selling_Price]],0)</f>
        <v>0.47976596782057535</v>
      </c>
      <c r="P465" s="24">
        <v>51</v>
      </c>
      <c r="Q465" s="24">
        <f>tbl_raw[[#This Row],[Gross_Profit]]-(tbl_raw[[#This Row],[Shipping_Cost]]*tbl_raw[[#This Row],[Units_Sold]])</f>
        <v>3834</v>
      </c>
      <c r="R465" s="25">
        <f>IFERROR(tbl_raw[[#This Row],[Net_Profit]]/(tbl_raw[[#This Row],[Selling_Price]]*tbl_raw[[#This Row],[Units_Sold]]),0)</f>
        <v>0.46733300828863966</v>
      </c>
      <c r="S465" s="23" t="s">
        <v>31</v>
      </c>
      <c r="T465" s="23" t="s">
        <v>32</v>
      </c>
      <c r="U465" s="23">
        <f>IF(tbl_raw[[#This Row],[Order_Status]]="Returned",1,0)</f>
        <v>0</v>
      </c>
      <c r="V465" s="23">
        <f>IF(tbl_raw[[#This Row],[Payment_Method]]="COD",1,0)</f>
        <v>0</v>
      </c>
      <c r="W465" s="26">
        <f>MIN(1,(tbl_raw[[#This Row],[Discount_Pct]]*1.4)+(tbl_raw[[#This Row],[COD_Flag]]*0.35))</f>
        <v>0.21</v>
      </c>
    </row>
    <row r="466" spans="1:23" ht="22.8" x14ac:dyDescent="0.3">
      <c r="A466" s="17" t="s">
        <v>1289</v>
      </c>
      <c r="B466" s="18" t="s">
        <v>1022</v>
      </c>
      <c r="C466" s="18" t="s">
        <v>43</v>
      </c>
      <c r="D466" s="18" t="s">
        <v>94</v>
      </c>
      <c r="E466" s="18" t="s">
        <v>137</v>
      </c>
      <c r="F466" s="18" t="s">
        <v>1290</v>
      </c>
      <c r="G466" s="18" t="s">
        <v>81</v>
      </c>
      <c r="H466" s="18" t="s">
        <v>30</v>
      </c>
      <c r="I466" s="18">
        <v>4</v>
      </c>
      <c r="J466" s="19">
        <v>6370</v>
      </c>
      <c r="K466" s="19">
        <v>4586</v>
      </c>
      <c r="L466" s="20">
        <v>0.28000000000000003</v>
      </c>
      <c r="M466" s="19">
        <v>3387</v>
      </c>
      <c r="N466" s="19">
        <f>(tbl_raw[[#This Row],[Selling_Price]]-tbl_raw[[#This Row],[Cost_Price]])*tbl_raw[[#This Row],[Units_Sold]]</f>
        <v>4796</v>
      </c>
      <c r="O466" s="20">
        <f>IFERROR((tbl_raw[[#This Row],[Selling_Price]]-tbl_raw[[#This Row],[Cost_Price]]) / tbl_raw[[#This Row],[Selling_Price]],0)</f>
        <v>0.2614478848669865</v>
      </c>
      <c r="P466" s="19">
        <v>54</v>
      </c>
      <c r="Q466" s="19">
        <f>tbl_raw[[#This Row],[Gross_Profit]]-(tbl_raw[[#This Row],[Shipping_Cost]]*tbl_raw[[#This Row],[Units_Sold]])</f>
        <v>4580</v>
      </c>
      <c r="R466" s="20">
        <f>IFERROR(tbl_raw[[#This Row],[Net_Profit]]/(tbl_raw[[#This Row],[Selling_Price]]*tbl_raw[[#This Row],[Units_Sold]]),0)</f>
        <v>0.24967291757522897</v>
      </c>
      <c r="S466" s="18" t="s">
        <v>31</v>
      </c>
      <c r="T466" s="18" t="s">
        <v>32</v>
      </c>
      <c r="U466" s="18">
        <f>IF(tbl_raw[[#This Row],[Order_Status]]="Returned",1,0)</f>
        <v>0</v>
      </c>
      <c r="V466" s="18">
        <f>IF(tbl_raw[[#This Row],[Payment_Method]]="COD",1,0)</f>
        <v>0</v>
      </c>
      <c r="W466" s="21">
        <f>MIN(1,(tbl_raw[[#This Row],[Discount_Pct]]*1.4)+(tbl_raw[[#This Row],[COD_Flag]]*0.35))</f>
        <v>0.39200000000000002</v>
      </c>
    </row>
    <row r="467" spans="1:23" ht="22.8" x14ac:dyDescent="0.3">
      <c r="A467" s="22" t="s">
        <v>1291</v>
      </c>
      <c r="B467" s="23" t="s">
        <v>1292</v>
      </c>
      <c r="C467" s="23" t="s">
        <v>72</v>
      </c>
      <c r="D467" s="23" t="s">
        <v>53</v>
      </c>
      <c r="E467" s="23" t="s">
        <v>90</v>
      </c>
      <c r="F467" s="23" t="s">
        <v>1293</v>
      </c>
      <c r="G467" s="23" t="s">
        <v>75</v>
      </c>
      <c r="H467" s="23" t="s">
        <v>48</v>
      </c>
      <c r="I467" s="23">
        <v>5</v>
      </c>
      <c r="J467" s="24">
        <v>1808</v>
      </c>
      <c r="K467" s="24">
        <v>1284</v>
      </c>
      <c r="L467" s="25">
        <v>0.28999999999999998</v>
      </c>
      <c r="M467" s="24">
        <v>1054</v>
      </c>
      <c r="N467" s="24">
        <f>(tbl_raw[[#This Row],[Selling_Price]]-tbl_raw[[#This Row],[Cost_Price]])*tbl_raw[[#This Row],[Units_Sold]]</f>
        <v>1150</v>
      </c>
      <c r="O467" s="25">
        <f>IFERROR((tbl_raw[[#This Row],[Selling_Price]]-tbl_raw[[#This Row],[Cost_Price]]) / tbl_raw[[#This Row],[Selling_Price]],0)</f>
        <v>0.17912772585669781</v>
      </c>
      <c r="P467" s="24">
        <v>92</v>
      </c>
      <c r="Q467" s="24">
        <f>tbl_raw[[#This Row],[Gross_Profit]]-(tbl_raw[[#This Row],[Shipping_Cost]]*tbl_raw[[#This Row],[Units_Sold]])</f>
        <v>690</v>
      </c>
      <c r="R467" s="25">
        <f>IFERROR(tbl_raw[[#This Row],[Net_Profit]]/(tbl_raw[[#This Row],[Selling_Price]]*tbl_raw[[#This Row],[Units_Sold]]),0)</f>
        <v>0.10747663551401869</v>
      </c>
      <c r="S467" s="23" t="s">
        <v>40</v>
      </c>
      <c r="T467" s="23" t="s">
        <v>32</v>
      </c>
      <c r="U467" s="23">
        <f>IF(tbl_raw[[#This Row],[Order_Status]]="Returned",1,0)</f>
        <v>0</v>
      </c>
      <c r="V467" s="23">
        <f>IF(tbl_raw[[#This Row],[Payment_Method]]="COD",1,0)</f>
        <v>1</v>
      </c>
      <c r="W467" s="26">
        <f>MIN(1,(tbl_raw[[#This Row],[Discount_Pct]]*1.4)+(tbl_raw[[#This Row],[COD_Flag]]*0.35))</f>
        <v>0.75600000000000001</v>
      </c>
    </row>
    <row r="468" spans="1:23" ht="22.8" x14ac:dyDescent="0.3">
      <c r="A468" s="17" t="s">
        <v>1294</v>
      </c>
      <c r="B468" s="18" t="s">
        <v>738</v>
      </c>
      <c r="C468" s="18" t="s">
        <v>43</v>
      </c>
      <c r="D468" s="18" t="s">
        <v>62</v>
      </c>
      <c r="E468" s="18" t="s">
        <v>133</v>
      </c>
      <c r="F468" s="18" t="s">
        <v>1295</v>
      </c>
      <c r="G468" s="18" t="s">
        <v>143</v>
      </c>
      <c r="H468" s="18" t="s">
        <v>30</v>
      </c>
      <c r="I468" s="18">
        <v>12</v>
      </c>
      <c r="J468" s="19">
        <v>3467</v>
      </c>
      <c r="K468" s="19">
        <v>2600</v>
      </c>
      <c r="L468" s="20">
        <v>0.25</v>
      </c>
      <c r="M468" s="19">
        <v>1620</v>
      </c>
      <c r="N468" s="19">
        <f>(tbl_raw[[#This Row],[Selling_Price]]-tbl_raw[[#This Row],[Cost_Price]])*tbl_raw[[#This Row],[Units_Sold]]</f>
        <v>11760</v>
      </c>
      <c r="O468" s="20">
        <f>IFERROR((tbl_raw[[#This Row],[Selling_Price]]-tbl_raw[[#This Row],[Cost_Price]]) / tbl_raw[[#This Row],[Selling_Price]],0)</f>
        <v>0.37692307692307692</v>
      </c>
      <c r="P468" s="19">
        <v>178</v>
      </c>
      <c r="Q468" s="19">
        <f>tbl_raw[[#This Row],[Gross_Profit]]-(tbl_raw[[#This Row],[Shipping_Cost]]*tbl_raw[[#This Row],[Units_Sold]])</f>
        <v>9624</v>
      </c>
      <c r="R468" s="20">
        <f>IFERROR(tbl_raw[[#This Row],[Net_Profit]]/(tbl_raw[[#This Row],[Selling_Price]]*tbl_raw[[#This Row],[Units_Sold]]),0)</f>
        <v>0.30846153846153845</v>
      </c>
      <c r="S468" s="18" t="s">
        <v>58</v>
      </c>
      <c r="T468" s="18" t="s">
        <v>59</v>
      </c>
      <c r="U468" s="18">
        <f>IF(tbl_raw[[#This Row],[Order_Status]]="Returned",1,0)</f>
        <v>0</v>
      </c>
      <c r="V468" s="18">
        <f>IF(tbl_raw[[#This Row],[Payment_Method]]="COD",1,0)</f>
        <v>0</v>
      </c>
      <c r="W468" s="21">
        <f>MIN(1,(tbl_raw[[#This Row],[Discount_Pct]]*1.4)+(tbl_raw[[#This Row],[COD_Flag]]*0.35))</f>
        <v>0.35</v>
      </c>
    </row>
    <row r="469" spans="1:23" ht="22.8" x14ac:dyDescent="0.3">
      <c r="A469" s="22" t="s">
        <v>1296</v>
      </c>
      <c r="B469" s="23" t="s">
        <v>1001</v>
      </c>
      <c r="C469" s="23" t="s">
        <v>105</v>
      </c>
      <c r="D469" s="23" t="s">
        <v>94</v>
      </c>
      <c r="E469" s="23" t="s">
        <v>310</v>
      </c>
      <c r="F469" s="23" t="s">
        <v>1297</v>
      </c>
      <c r="G469" s="23" t="s">
        <v>29</v>
      </c>
      <c r="H469" s="23" t="s">
        <v>30</v>
      </c>
      <c r="I469" s="23">
        <v>9</v>
      </c>
      <c r="J469" s="24">
        <v>614</v>
      </c>
      <c r="K469" s="24">
        <v>583</v>
      </c>
      <c r="L469" s="25">
        <v>0.05</v>
      </c>
      <c r="M469" s="24">
        <v>278</v>
      </c>
      <c r="N469" s="24">
        <f>(tbl_raw[[#This Row],[Selling_Price]]-tbl_raw[[#This Row],[Cost_Price]])*tbl_raw[[#This Row],[Units_Sold]]</f>
        <v>2745</v>
      </c>
      <c r="O469" s="25">
        <f>IFERROR((tbl_raw[[#This Row],[Selling_Price]]-tbl_raw[[#This Row],[Cost_Price]]) / tbl_raw[[#This Row],[Selling_Price]],0)</f>
        <v>0.52315608919382506</v>
      </c>
      <c r="P469" s="24">
        <v>157</v>
      </c>
      <c r="Q469" s="24">
        <f>tbl_raw[[#This Row],[Gross_Profit]]-(tbl_raw[[#This Row],[Shipping_Cost]]*tbl_raw[[#This Row],[Units_Sold]])</f>
        <v>1332</v>
      </c>
      <c r="R469" s="25">
        <f>IFERROR(tbl_raw[[#This Row],[Net_Profit]]/(tbl_raw[[#This Row],[Selling_Price]]*tbl_raw[[#This Row],[Units_Sold]]),0)</f>
        <v>0.25385934819897082</v>
      </c>
      <c r="S469" s="23" t="s">
        <v>31</v>
      </c>
      <c r="T469" s="23" t="s">
        <v>32</v>
      </c>
      <c r="U469" s="23">
        <f>IF(tbl_raw[[#This Row],[Order_Status]]="Returned",1,0)</f>
        <v>0</v>
      </c>
      <c r="V469" s="23">
        <f>IF(tbl_raw[[#This Row],[Payment_Method]]="COD",1,0)</f>
        <v>0</v>
      </c>
      <c r="W469" s="26">
        <f>MIN(1,(tbl_raw[[#This Row],[Discount_Pct]]*1.4)+(tbl_raw[[#This Row],[COD_Flag]]*0.35))</f>
        <v>6.9999999999999993E-2</v>
      </c>
    </row>
    <row r="470" spans="1:23" ht="22.8" x14ac:dyDescent="0.3">
      <c r="A470" s="17" t="s">
        <v>1298</v>
      </c>
      <c r="B470" s="18" t="s">
        <v>402</v>
      </c>
      <c r="C470" s="18" t="s">
        <v>132</v>
      </c>
      <c r="D470" s="18" t="s">
        <v>44</v>
      </c>
      <c r="E470" s="18" t="s">
        <v>279</v>
      </c>
      <c r="F470" s="18" t="s">
        <v>1299</v>
      </c>
      <c r="G470" s="18" t="s">
        <v>47</v>
      </c>
      <c r="H470" s="18" t="s">
        <v>48</v>
      </c>
      <c r="I470" s="18">
        <v>9</v>
      </c>
      <c r="J470" s="19">
        <v>2807</v>
      </c>
      <c r="K470" s="19">
        <v>1796</v>
      </c>
      <c r="L470" s="20">
        <v>0.36</v>
      </c>
      <c r="M470" s="19">
        <v>1868</v>
      </c>
      <c r="N470" s="19">
        <f>(tbl_raw[[#This Row],[Selling_Price]]-tbl_raw[[#This Row],[Cost_Price]])*tbl_raw[[#This Row],[Units_Sold]]</f>
        <v>-648</v>
      </c>
      <c r="O470" s="20">
        <f>IFERROR((tbl_raw[[#This Row],[Selling_Price]]-tbl_raw[[#This Row],[Cost_Price]]) / tbl_raw[[#This Row],[Selling_Price]],0)</f>
        <v>-4.0089086859688199E-2</v>
      </c>
      <c r="P470" s="19">
        <v>36</v>
      </c>
      <c r="Q470" s="19">
        <f>tbl_raw[[#This Row],[Gross_Profit]]-(tbl_raw[[#This Row],[Shipping_Cost]]*tbl_raw[[#This Row],[Units_Sold]])</f>
        <v>-972</v>
      </c>
      <c r="R470" s="20">
        <f>IFERROR(tbl_raw[[#This Row],[Net_Profit]]/(tbl_raw[[#This Row],[Selling_Price]]*tbl_raw[[#This Row],[Units_Sold]]),0)</f>
        <v>-6.0133630289532294E-2</v>
      </c>
      <c r="S470" s="18" t="s">
        <v>58</v>
      </c>
      <c r="T470" s="18" t="s">
        <v>32</v>
      </c>
      <c r="U470" s="18">
        <f>IF(tbl_raw[[#This Row],[Order_Status]]="Returned",1,0)</f>
        <v>0</v>
      </c>
      <c r="V470" s="18">
        <f>IF(tbl_raw[[#This Row],[Payment_Method]]="COD",1,0)</f>
        <v>0</v>
      </c>
      <c r="W470" s="21">
        <f>MIN(1,(tbl_raw[[#This Row],[Discount_Pct]]*1.4)+(tbl_raw[[#This Row],[COD_Flag]]*0.35))</f>
        <v>0.504</v>
      </c>
    </row>
    <row r="471" spans="1:23" ht="22.8" x14ac:dyDescent="0.3">
      <c r="A471" s="22" t="s">
        <v>1300</v>
      </c>
      <c r="B471" s="23" t="s">
        <v>1301</v>
      </c>
      <c r="C471" s="23" t="s">
        <v>132</v>
      </c>
      <c r="D471" s="23" t="s">
        <v>175</v>
      </c>
      <c r="E471" s="23" t="s">
        <v>354</v>
      </c>
      <c r="F471" s="23" t="s">
        <v>1302</v>
      </c>
      <c r="G471" s="23" t="s">
        <v>75</v>
      </c>
      <c r="H471" s="23" t="s">
        <v>48</v>
      </c>
      <c r="I471" s="23">
        <v>19</v>
      </c>
      <c r="J471" s="24">
        <v>4722</v>
      </c>
      <c r="K471" s="24">
        <v>3825</v>
      </c>
      <c r="L471" s="25">
        <v>0.19</v>
      </c>
      <c r="M471" s="24">
        <v>3124</v>
      </c>
      <c r="N471" s="24">
        <f>(tbl_raw[[#This Row],[Selling_Price]]-tbl_raw[[#This Row],[Cost_Price]])*tbl_raw[[#This Row],[Units_Sold]]</f>
        <v>13319</v>
      </c>
      <c r="O471" s="25">
        <f>IFERROR((tbl_raw[[#This Row],[Selling_Price]]-tbl_raw[[#This Row],[Cost_Price]]) / tbl_raw[[#This Row],[Selling_Price]],0)</f>
        <v>0.18326797385620916</v>
      </c>
      <c r="P471" s="24">
        <v>165</v>
      </c>
      <c r="Q471" s="24">
        <f>tbl_raw[[#This Row],[Gross_Profit]]-(tbl_raw[[#This Row],[Shipping_Cost]]*tbl_raw[[#This Row],[Units_Sold]])</f>
        <v>10184</v>
      </c>
      <c r="R471" s="25">
        <f>IFERROR(tbl_raw[[#This Row],[Net_Profit]]/(tbl_raw[[#This Row],[Selling_Price]]*tbl_raw[[#This Row],[Units_Sold]]),0)</f>
        <v>0.14013071895424836</v>
      </c>
      <c r="S471" s="23" t="s">
        <v>40</v>
      </c>
      <c r="T471" s="23" t="s">
        <v>32</v>
      </c>
      <c r="U471" s="23">
        <f>IF(tbl_raw[[#This Row],[Order_Status]]="Returned",1,0)</f>
        <v>0</v>
      </c>
      <c r="V471" s="23">
        <f>IF(tbl_raw[[#This Row],[Payment_Method]]="COD",1,0)</f>
        <v>1</v>
      </c>
      <c r="W471" s="26">
        <f>MIN(1,(tbl_raw[[#This Row],[Discount_Pct]]*1.4)+(tbl_raw[[#This Row],[COD_Flag]]*0.35))</f>
        <v>0.61599999999999988</v>
      </c>
    </row>
    <row r="472" spans="1:23" ht="22.8" x14ac:dyDescent="0.3">
      <c r="A472" s="17" t="s">
        <v>1303</v>
      </c>
      <c r="B472" s="18" t="s">
        <v>122</v>
      </c>
      <c r="C472" s="18" t="s">
        <v>72</v>
      </c>
      <c r="D472" s="18" t="s">
        <v>78</v>
      </c>
      <c r="E472" s="18" t="s">
        <v>118</v>
      </c>
      <c r="F472" s="18" t="s">
        <v>1304</v>
      </c>
      <c r="G472" s="18" t="s">
        <v>29</v>
      </c>
      <c r="H472" s="18" t="s">
        <v>30</v>
      </c>
      <c r="I472" s="18">
        <v>3</v>
      </c>
      <c r="J472" s="19">
        <v>3874</v>
      </c>
      <c r="K472" s="19">
        <v>3022</v>
      </c>
      <c r="L472" s="20">
        <v>0.22</v>
      </c>
      <c r="M472" s="19">
        <v>2757</v>
      </c>
      <c r="N472" s="19">
        <f>(tbl_raw[[#This Row],[Selling_Price]]-tbl_raw[[#This Row],[Cost_Price]])*tbl_raw[[#This Row],[Units_Sold]]</f>
        <v>795</v>
      </c>
      <c r="O472" s="20">
        <f>IFERROR((tbl_raw[[#This Row],[Selling_Price]]-tbl_raw[[#This Row],[Cost_Price]]) / tbl_raw[[#This Row],[Selling_Price]],0)</f>
        <v>8.7690271343481133E-2</v>
      </c>
      <c r="P472" s="19">
        <v>52</v>
      </c>
      <c r="Q472" s="19">
        <f>tbl_raw[[#This Row],[Gross_Profit]]-(tbl_raw[[#This Row],[Shipping_Cost]]*tbl_raw[[#This Row],[Units_Sold]])</f>
        <v>639</v>
      </c>
      <c r="R472" s="20">
        <f>IFERROR(tbl_raw[[#This Row],[Net_Profit]]/(tbl_raw[[#This Row],[Selling_Price]]*tbl_raw[[#This Row],[Units_Sold]]),0)</f>
        <v>7.048312375909993E-2</v>
      </c>
      <c r="S472" s="18" t="s">
        <v>65</v>
      </c>
      <c r="T472" s="18" t="s">
        <v>32</v>
      </c>
      <c r="U472" s="18">
        <f>IF(tbl_raw[[#This Row],[Order_Status]]="Returned",1,0)</f>
        <v>0</v>
      </c>
      <c r="V472" s="18">
        <f>IF(tbl_raw[[#This Row],[Payment_Method]]="COD",1,0)</f>
        <v>0</v>
      </c>
      <c r="W472" s="21">
        <f>MIN(1,(tbl_raw[[#This Row],[Discount_Pct]]*1.4)+(tbl_raw[[#This Row],[COD_Flag]]*0.35))</f>
        <v>0.308</v>
      </c>
    </row>
    <row r="473" spans="1:23" ht="22.8" x14ac:dyDescent="0.3">
      <c r="A473" s="22" t="s">
        <v>1305</v>
      </c>
      <c r="B473" s="23" t="s">
        <v>1022</v>
      </c>
      <c r="C473" s="23" t="s">
        <v>43</v>
      </c>
      <c r="D473" s="23" t="s">
        <v>94</v>
      </c>
      <c r="E473" s="23" t="s">
        <v>180</v>
      </c>
      <c r="F473" s="23" t="s">
        <v>1306</v>
      </c>
      <c r="G473" s="23" t="s">
        <v>29</v>
      </c>
      <c r="H473" s="23" t="s">
        <v>30</v>
      </c>
      <c r="I473" s="23">
        <v>11</v>
      </c>
      <c r="J473" s="24">
        <v>1192</v>
      </c>
      <c r="K473" s="24">
        <v>822</v>
      </c>
      <c r="L473" s="25">
        <v>0.31</v>
      </c>
      <c r="M473" s="24">
        <v>502</v>
      </c>
      <c r="N473" s="24">
        <f>(tbl_raw[[#This Row],[Selling_Price]]-tbl_raw[[#This Row],[Cost_Price]])*tbl_raw[[#This Row],[Units_Sold]]</f>
        <v>3520</v>
      </c>
      <c r="O473" s="25">
        <f>IFERROR((tbl_raw[[#This Row],[Selling_Price]]-tbl_raw[[#This Row],[Cost_Price]]) / tbl_raw[[#This Row],[Selling_Price]],0)</f>
        <v>0.38929440389294406</v>
      </c>
      <c r="P473" s="24">
        <v>50</v>
      </c>
      <c r="Q473" s="24">
        <f>tbl_raw[[#This Row],[Gross_Profit]]-(tbl_raw[[#This Row],[Shipping_Cost]]*tbl_raw[[#This Row],[Units_Sold]])</f>
        <v>2970</v>
      </c>
      <c r="R473" s="25">
        <f>IFERROR(tbl_raw[[#This Row],[Net_Profit]]/(tbl_raw[[#This Row],[Selling_Price]]*tbl_raw[[#This Row],[Units_Sold]]),0)</f>
        <v>0.32846715328467152</v>
      </c>
      <c r="S473" s="23" t="s">
        <v>31</v>
      </c>
      <c r="T473" s="23" t="s">
        <v>32</v>
      </c>
      <c r="U473" s="23">
        <f>IF(tbl_raw[[#This Row],[Order_Status]]="Returned",1,0)</f>
        <v>0</v>
      </c>
      <c r="V473" s="23">
        <f>IF(tbl_raw[[#This Row],[Payment_Method]]="COD",1,0)</f>
        <v>0</v>
      </c>
      <c r="W473" s="26">
        <f>MIN(1,(tbl_raw[[#This Row],[Discount_Pct]]*1.4)+(tbl_raw[[#This Row],[COD_Flag]]*0.35))</f>
        <v>0.434</v>
      </c>
    </row>
    <row r="474" spans="1:23" ht="22.8" x14ac:dyDescent="0.3">
      <c r="A474" s="17" t="s">
        <v>1307</v>
      </c>
      <c r="B474" s="18" t="s">
        <v>432</v>
      </c>
      <c r="C474" s="18" t="s">
        <v>89</v>
      </c>
      <c r="D474" s="18" t="s">
        <v>53</v>
      </c>
      <c r="E474" s="18" t="s">
        <v>54</v>
      </c>
      <c r="F474" s="18" t="s">
        <v>1308</v>
      </c>
      <c r="G474" s="18" t="s">
        <v>102</v>
      </c>
      <c r="H474" s="18" t="s">
        <v>39</v>
      </c>
      <c r="I474" s="18">
        <v>6</v>
      </c>
      <c r="J474" s="19">
        <v>4709</v>
      </c>
      <c r="K474" s="19">
        <v>3532</v>
      </c>
      <c r="L474" s="20">
        <v>0.25</v>
      </c>
      <c r="M474" s="19">
        <v>2262</v>
      </c>
      <c r="N474" s="19">
        <f>(tbl_raw[[#This Row],[Selling_Price]]-tbl_raw[[#This Row],[Cost_Price]])*tbl_raw[[#This Row],[Units_Sold]]</f>
        <v>7620</v>
      </c>
      <c r="O474" s="20">
        <f>IFERROR((tbl_raw[[#This Row],[Selling_Price]]-tbl_raw[[#This Row],[Cost_Price]]) / tbl_raw[[#This Row],[Selling_Price]],0)</f>
        <v>0.3595696489241223</v>
      </c>
      <c r="P474" s="19">
        <v>92</v>
      </c>
      <c r="Q474" s="19">
        <f>tbl_raw[[#This Row],[Gross_Profit]]-(tbl_raw[[#This Row],[Shipping_Cost]]*tbl_raw[[#This Row],[Units_Sold]])</f>
        <v>7068</v>
      </c>
      <c r="R474" s="20">
        <f>IFERROR(tbl_raw[[#This Row],[Net_Profit]]/(tbl_raw[[#This Row],[Selling_Price]]*tbl_raw[[#This Row],[Units_Sold]]),0)</f>
        <v>0.33352208380520953</v>
      </c>
      <c r="S474" s="18" t="s">
        <v>65</v>
      </c>
      <c r="T474" s="18" t="s">
        <v>49</v>
      </c>
      <c r="U474" s="18">
        <f>IF(tbl_raw[[#This Row],[Order_Status]]="Returned",1,0)</f>
        <v>0</v>
      </c>
      <c r="V474" s="18">
        <f>IF(tbl_raw[[#This Row],[Payment_Method]]="COD",1,0)</f>
        <v>0</v>
      </c>
      <c r="W474" s="21">
        <f>MIN(1,(tbl_raw[[#This Row],[Discount_Pct]]*1.4)+(tbl_raw[[#This Row],[COD_Flag]]*0.35))</f>
        <v>0.35</v>
      </c>
    </row>
    <row r="475" spans="1:23" ht="22.8" x14ac:dyDescent="0.3">
      <c r="A475" s="22" t="s">
        <v>1309</v>
      </c>
      <c r="B475" s="23" t="s">
        <v>511</v>
      </c>
      <c r="C475" s="23" t="s">
        <v>199</v>
      </c>
      <c r="D475" s="23" t="s">
        <v>62</v>
      </c>
      <c r="E475" s="23" t="s">
        <v>63</v>
      </c>
      <c r="F475" s="23" t="s">
        <v>1310</v>
      </c>
      <c r="G475" s="23" t="s">
        <v>47</v>
      </c>
      <c r="H475" s="23" t="s">
        <v>48</v>
      </c>
      <c r="I475" s="23">
        <v>8</v>
      </c>
      <c r="J475" s="24">
        <v>2133</v>
      </c>
      <c r="K475" s="24">
        <v>1706</v>
      </c>
      <c r="L475" s="25">
        <v>0.2</v>
      </c>
      <c r="M475" s="24">
        <v>1019</v>
      </c>
      <c r="N475" s="24">
        <f>(tbl_raw[[#This Row],[Selling_Price]]-tbl_raw[[#This Row],[Cost_Price]])*tbl_raw[[#This Row],[Units_Sold]]</f>
        <v>5496</v>
      </c>
      <c r="O475" s="25">
        <f>IFERROR((tbl_raw[[#This Row],[Selling_Price]]-tbl_raw[[#This Row],[Cost_Price]]) / tbl_raw[[#This Row],[Selling_Price]],0)</f>
        <v>0.4026963657678781</v>
      </c>
      <c r="P475" s="24">
        <v>169</v>
      </c>
      <c r="Q475" s="24">
        <f>tbl_raw[[#This Row],[Gross_Profit]]-(tbl_raw[[#This Row],[Shipping_Cost]]*tbl_raw[[#This Row],[Units_Sold]])</f>
        <v>4144</v>
      </c>
      <c r="R475" s="25">
        <f>IFERROR(tbl_raw[[#This Row],[Net_Profit]]/(tbl_raw[[#This Row],[Selling_Price]]*tbl_raw[[#This Row],[Units_Sold]]),0)</f>
        <v>0.30363423212192264</v>
      </c>
      <c r="S475" s="23" t="s">
        <v>40</v>
      </c>
      <c r="T475" s="23" t="s">
        <v>49</v>
      </c>
      <c r="U475" s="23">
        <f>IF(tbl_raw[[#This Row],[Order_Status]]="Returned",1,0)</f>
        <v>0</v>
      </c>
      <c r="V475" s="23">
        <f>IF(tbl_raw[[#This Row],[Payment_Method]]="COD",1,0)</f>
        <v>1</v>
      </c>
      <c r="W475" s="26">
        <f>MIN(1,(tbl_raw[[#This Row],[Discount_Pct]]*1.4)+(tbl_raw[[#This Row],[COD_Flag]]*0.35))</f>
        <v>0.62999999999999989</v>
      </c>
    </row>
    <row r="476" spans="1:23" ht="22.8" x14ac:dyDescent="0.3">
      <c r="A476" s="17" t="s">
        <v>1311</v>
      </c>
      <c r="B476" s="18" t="s">
        <v>586</v>
      </c>
      <c r="C476" s="18" t="s">
        <v>52</v>
      </c>
      <c r="D476" s="18" t="s">
        <v>26</v>
      </c>
      <c r="E476" s="18" t="s">
        <v>168</v>
      </c>
      <c r="F476" s="18" t="s">
        <v>1312</v>
      </c>
      <c r="G476" s="18" t="s">
        <v>38</v>
      </c>
      <c r="H476" s="18" t="s">
        <v>39</v>
      </c>
      <c r="I476" s="18">
        <v>2</v>
      </c>
      <c r="J476" s="19">
        <v>3520</v>
      </c>
      <c r="K476" s="19">
        <v>2886</v>
      </c>
      <c r="L476" s="20">
        <v>0.18</v>
      </c>
      <c r="M476" s="19">
        <v>2406</v>
      </c>
      <c r="N476" s="19">
        <f>(tbl_raw[[#This Row],[Selling_Price]]-tbl_raw[[#This Row],[Cost_Price]])*tbl_raw[[#This Row],[Units_Sold]]</f>
        <v>960</v>
      </c>
      <c r="O476" s="20">
        <f>IFERROR((tbl_raw[[#This Row],[Selling_Price]]-tbl_raw[[#This Row],[Cost_Price]]) / tbl_raw[[#This Row],[Selling_Price]],0)</f>
        <v>0.16632016632016633</v>
      </c>
      <c r="P476" s="19">
        <v>134</v>
      </c>
      <c r="Q476" s="19">
        <f>tbl_raw[[#This Row],[Gross_Profit]]-(tbl_raw[[#This Row],[Shipping_Cost]]*tbl_raw[[#This Row],[Units_Sold]])</f>
        <v>692</v>
      </c>
      <c r="R476" s="20">
        <f>IFERROR(tbl_raw[[#This Row],[Net_Profit]]/(tbl_raw[[#This Row],[Selling_Price]]*tbl_raw[[#This Row],[Units_Sold]]),0)</f>
        <v>0.11988911988911989</v>
      </c>
      <c r="S476" s="18" t="s">
        <v>58</v>
      </c>
      <c r="T476" s="18" t="s">
        <v>32</v>
      </c>
      <c r="U476" s="18">
        <f>IF(tbl_raw[[#This Row],[Order_Status]]="Returned",1,0)</f>
        <v>0</v>
      </c>
      <c r="V476" s="18">
        <f>IF(tbl_raw[[#This Row],[Payment_Method]]="COD",1,0)</f>
        <v>0</v>
      </c>
      <c r="W476" s="21">
        <f>MIN(1,(tbl_raw[[#This Row],[Discount_Pct]]*1.4)+(tbl_raw[[#This Row],[COD_Flag]]*0.35))</f>
        <v>0.252</v>
      </c>
    </row>
    <row r="477" spans="1:23" ht="22.8" x14ac:dyDescent="0.3">
      <c r="A477" s="22" t="s">
        <v>1313</v>
      </c>
      <c r="B477" s="23" t="s">
        <v>900</v>
      </c>
      <c r="C477" s="23" t="s">
        <v>105</v>
      </c>
      <c r="D477" s="23" t="s">
        <v>26</v>
      </c>
      <c r="E477" s="23" t="s">
        <v>168</v>
      </c>
      <c r="F477" s="23" t="s">
        <v>1314</v>
      </c>
      <c r="G477" s="23" t="s">
        <v>81</v>
      </c>
      <c r="H477" s="23" t="s">
        <v>30</v>
      </c>
      <c r="I477" s="23">
        <v>12</v>
      </c>
      <c r="J477" s="24">
        <v>2507</v>
      </c>
      <c r="K477" s="24">
        <v>1780</v>
      </c>
      <c r="L477" s="25">
        <v>0.28999999999999998</v>
      </c>
      <c r="M477" s="24">
        <v>1082</v>
      </c>
      <c r="N477" s="24">
        <f>(tbl_raw[[#This Row],[Selling_Price]]-tbl_raw[[#This Row],[Cost_Price]])*tbl_raw[[#This Row],[Units_Sold]]</f>
        <v>8376</v>
      </c>
      <c r="O477" s="25">
        <f>IFERROR((tbl_raw[[#This Row],[Selling_Price]]-tbl_raw[[#This Row],[Cost_Price]]) / tbl_raw[[#This Row],[Selling_Price]],0)</f>
        <v>0.39213483146067418</v>
      </c>
      <c r="P477" s="24">
        <v>102</v>
      </c>
      <c r="Q477" s="24">
        <f>tbl_raw[[#This Row],[Gross_Profit]]-(tbl_raw[[#This Row],[Shipping_Cost]]*tbl_raw[[#This Row],[Units_Sold]])</f>
        <v>7152</v>
      </c>
      <c r="R477" s="25">
        <f>IFERROR(tbl_raw[[#This Row],[Net_Profit]]/(tbl_raw[[#This Row],[Selling_Price]]*tbl_raw[[#This Row],[Units_Sold]]),0)</f>
        <v>0.33483146067415731</v>
      </c>
      <c r="S477" s="23" t="s">
        <v>107</v>
      </c>
      <c r="T477" s="23" t="s">
        <v>32</v>
      </c>
      <c r="U477" s="23">
        <f>IF(tbl_raw[[#This Row],[Order_Status]]="Returned",1,0)</f>
        <v>0</v>
      </c>
      <c r="V477" s="23">
        <f>IF(tbl_raw[[#This Row],[Payment_Method]]="COD",1,0)</f>
        <v>0</v>
      </c>
      <c r="W477" s="26">
        <f>MIN(1,(tbl_raw[[#This Row],[Discount_Pct]]*1.4)+(tbl_raw[[#This Row],[COD_Flag]]*0.35))</f>
        <v>0.40599999999999997</v>
      </c>
    </row>
    <row r="478" spans="1:23" ht="22.8" x14ac:dyDescent="0.3">
      <c r="A478" s="17" t="s">
        <v>1315</v>
      </c>
      <c r="B478" s="18" t="s">
        <v>1151</v>
      </c>
      <c r="C478" s="18" t="s">
        <v>199</v>
      </c>
      <c r="D478" s="18" t="s">
        <v>26</v>
      </c>
      <c r="E478" s="18" t="s">
        <v>168</v>
      </c>
      <c r="F478" s="18" t="s">
        <v>1316</v>
      </c>
      <c r="G478" s="18" t="s">
        <v>81</v>
      </c>
      <c r="H478" s="18" t="s">
        <v>30</v>
      </c>
      <c r="I478" s="18">
        <v>13</v>
      </c>
      <c r="J478" s="19">
        <v>1643</v>
      </c>
      <c r="K478" s="19">
        <v>1002</v>
      </c>
      <c r="L478" s="20">
        <v>0.39</v>
      </c>
      <c r="M478" s="19">
        <v>1018</v>
      </c>
      <c r="N478" s="19">
        <f>(tbl_raw[[#This Row],[Selling_Price]]-tbl_raw[[#This Row],[Cost_Price]])*tbl_raw[[#This Row],[Units_Sold]]</f>
        <v>-208</v>
      </c>
      <c r="O478" s="20">
        <f>IFERROR((tbl_raw[[#This Row],[Selling_Price]]-tbl_raw[[#This Row],[Cost_Price]]) / tbl_raw[[#This Row],[Selling_Price]],0)</f>
        <v>-1.5968063872255488E-2</v>
      </c>
      <c r="P478" s="19">
        <v>136</v>
      </c>
      <c r="Q478" s="19">
        <f>tbl_raw[[#This Row],[Gross_Profit]]-(tbl_raw[[#This Row],[Shipping_Cost]]*tbl_raw[[#This Row],[Units_Sold]])</f>
        <v>-1976</v>
      </c>
      <c r="R478" s="20">
        <f>IFERROR(tbl_raw[[#This Row],[Net_Profit]]/(tbl_raw[[#This Row],[Selling_Price]]*tbl_raw[[#This Row],[Units_Sold]]),0)</f>
        <v>-0.15169660678642716</v>
      </c>
      <c r="S478" s="18" t="s">
        <v>58</v>
      </c>
      <c r="T478" s="18" t="s">
        <v>32</v>
      </c>
      <c r="U478" s="18">
        <f>IF(tbl_raw[[#This Row],[Order_Status]]="Returned",1,0)</f>
        <v>0</v>
      </c>
      <c r="V478" s="18">
        <f>IF(tbl_raw[[#This Row],[Payment_Method]]="COD",1,0)</f>
        <v>0</v>
      </c>
      <c r="W478" s="21">
        <f>MIN(1,(tbl_raw[[#This Row],[Discount_Pct]]*1.4)+(tbl_raw[[#This Row],[COD_Flag]]*0.35))</f>
        <v>0.54599999999999993</v>
      </c>
    </row>
    <row r="479" spans="1:23" ht="22.8" x14ac:dyDescent="0.3">
      <c r="A479" s="22" t="s">
        <v>1317</v>
      </c>
      <c r="B479" s="23" t="s">
        <v>1318</v>
      </c>
      <c r="C479" s="23" t="s">
        <v>156</v>
      </c>
      <c r="D479" s="23" t="s">
        <v>26</v>
      </c>
      <c r="E479" s="23" t="s">
        <v>27</v>
      </c>
      <c r="F479" s="23" t="s">
        <v>1319</v>
      </c>
      <c r="G479" s="23" t="s">
        <v>143</v>
      </c>
      <c r="H479" s="23" t="s">
        <v>30</v>
      </c>
      <c r="I479" s="23">
        <v>20</v>
      </c>
      <c r="J479" s="24">
        <v>4431</v>
      </c>
      <c r="K479" s="24">
        <v>2836</v>
      </c>
      <c r="L479" s="25">
        <v>0.36</v>
      </c>
      <c r="M479" s="24">
        <v>2994</v>
      </c>
      <c r="N479" s="24">
        <f>(tbl_raw[[#This Row],[Selling_Price]]-tbl_raw[[#This Row],[Cost_Price]])*tbl_raw[[#This Row],[Units_Sold]]</f>
        <v>-3160</v>
      </c>
      <c r="O479" s="25">
        <f>IFERROR((tbl_raw[[#This Row],[Selling_Price]]-tbl_raw[[#This Row],[Cost_Price]]) / tbl_raw[[#This Row],[Selling_Price]],0)</f>
        <v>-5.5712270803949221E-2</v>
      </c>
      <c r="P479" s="24">
        <v>42</v>
      </c>
      <c r="Q479" s="24">
        <f>tbl_raw[[#This Row],[Gross_Profit]]-(tbl_raw[[#This Row],[Shipping_Cost]]*tbl_raw[[#This Row],[Units_Sold]])</f>
        <v>-4000</v>
      </c>
      <c r="R479" s="25">
        <f>IFERROR(tbl_raw[[#This Row],[Net_Profit]]/(tbl_raw[[#This Row],[Selling_Price]]*tbl_raw[[#This Row],[Units_Sold]]),0)</f>
        <v>-7.0521861777150918E-2</v>
      </c>
      <c r="S479" s="23" t="s">
        <v>107</v>
      </c>
      <c r="T479" s="23" t="s">
        <v>32</v>
      </c>
      <c r="U479" s="23">
        <f>IF(tbl_raw[[#This Row],[Order_Status]]="Returned",1,0)</f>
        <v>0</v>
      </c>
      <c r="V479" s="23">
        <f>IF(tbl_raw[[#This Row],[Payment_Method]]="COD",1,0)</f>
        <v>0</v>
      </c>
      <c r="W479" s="26">
        <f>MIN(1,(tbl_raw[[#This Row],[Discount_Pct]]*1.4)+(tbl_raw[[#This Row],[COD_Flag]]*0.35))</f>
        <v>0.504</v>
      </c>
    </row>
    <row r="480" spans="1:23" ht="22.8" x14ac:dyDescent="0.3">
      <c r="A480" s="17" t="s">
        <v>1320</v>
      </c>
      <c r="B480" s="18" t="s">
        <v>1321</v>
      </c>
      <c r="C480" s="18" t="s">
        <v>25</v>
      </c>
      <c r="D480" s="18" t="s">
        <v>26</v>
      </c>
      <c r="E480" s="18" t="s">
        <v>125</v>
      </c>
      <c r="F480" s="18" t="s">
        <v>1322</v>
      </c>
      <c r="G480" s="18" t="s">
        <v>56</v>
      </c>
      <c r="H480" s="18" t="s">
        <v>57</v>
      </c>
      <c r="I480" s="18">
        <v>15</v>
      </c>
      <c r="J480" s="19">
        <v>5029</v>
      </c>
      <c r="K480" s="19">
        <v>4224</v>
      </c>
      <c r="L480" s="20">
        <v>0.16</v>
      </c>
      <c r="M480" s="19">
        <v>2320</v>
      </c>
      <c r="N480" s="19">
        <f>(tbl_raw[[#This Row],[Selling_Price]]-tbl_raw[[#This Row],[Cost_Price]])*tbl_raw[[#This Row],[Units_Sold]]</f>
        <v>28560</v>
      </c>
      <c r="O480" s="20">
        <f>IFERROR((tbl_raw[[#This Row],[Selling_Price]]-tbl_raw[[#This Row],[Cost_Price]]) / tbl_raw[[#This Row],[Selling_Price]],0)</f>
        <v>0.45075757575757575</v>
      </c>
      <c r="P480" s="19">
        <v>114</v>
      </c>
      <c r="Q480" s="19">
        <f>tbl_raw[[#This Row],[Gross_Profit]]-(tbl_raw[[#This Row],[Shipping_Cost]]*tbl_raw[[#This Row],[Units_Sold]])</f>
        <v>26850</v>
      </c>
      <c r="R480" s="20">
        <f>IFERROR(tbl_raw[[#This Row],[Net_Profit]]/(tbl_raw[[#This Row],[Selling_Price]]*tbl_raw[[#This Row],[Units_Sold]]),0)</f>
        <v>0.42376893939393939</v>
      </c>
      <c r="S480" s="18" t="s">
        <v>58</v>
      </c>
      <c r="T480" s="18" t="s">
        <v>86</v>
      </c>
      <c r="U480" s="18">
        <f>IF(tbl_raw[[#This Row],[Order_Status]]="Returned",1,0)</f>
        <v>1</v>
      </c>
      <c r="V480" s="18">
        <f>IF(tbl_raw[[#This Row],[Payment_Method]]="COD",1,0)</f>
        <v>0</v>
      </c>
      <c r="W480" s="21">
        <f>MIN(1,(tbl_raw[[#This Row],[Discount_Pct]]*1.4)+(tbl_raw[[#This Row],[COD_Flag]]*0.35))</f>
        <v>0.22399999999999998</v>
      </c>
    </row>
    <row r="481" spans="1:23" ht="22.8" x14ac:dyDescent="0.3">
      <c r="A481" s="22" t="s">
        <v>1323</v>
      </c>
      <c r="B481" s="23" t="s">
        <v>1324</v>
      </c>
      <c r="C481" s="23" t="s">
        <v>43</v>
      </c>
      <c r="D481" s="23" t="s">
        <v>94</v>
      </c>
      <c r="E481" s="23" t="s">
        <v>137</v>
      </c>
      <c r="F481" s="23" t="s">
        <v>1325</v>
      </c>
      <c r="G481" s="23" t="s">
        <v>75</v>
      </c>
      <c r="H481" s="23" t="s">
        <v>48</v>
      </c>
      <c r="I481" s="23">
        <v>19</v>
      </c>
      <c r="J481" s="24">
        <v>6995</v>
      </c>
      <c r="K481" s="24">
        <v>4757</v>
      </c>
      <c r="L481" s="25">
        <v>0.32</v>
      </c>
      <c r="M481" s="24">
        <v>4642</v>
      </c>
      <c r="N481" s="24">
        <f>(tbl_raw[[#This Row],[Selling_Price]]-tbl_raw[[#This Row],[Cost_Price]])*tbl_raw[[#This Row],[Units_Sold]]</f>
        <v>2185</v>
      </c>
      <c r="O481" s="25">
        <f>IFERROR((tbl_raw[[#This Row],[Selling_Price]]-tbl_raw[[#This Row],[Cost_Price]]) / tbl_raw[[#This Row],[Selling_Price]],0)</f>
        <v>2.4174900147151564E-2</v>
      </c>
      <c r="P481" s="24">
        <v>144</v>
      </c>
      <c r="Q481" s="24">
        <f>tbl_raw[[#This Row],[Gross_Profit]]-(tbl_raw[[#This Row],[Shipping_Cost]]*tbl_raw[[#This Row],[Units_Sold]])</f>
        <v>-551</v>
      </c>
      <c r="R481" s="25">
        <f>IFERROR(tbl_raw[[#This Row],[Net_Profit]]/(tbl_raw[[#This Row],[Selling_Price]]*tbl_raw[[#This Row],[Units_Sold]]),0)</f>
        <v>-6.0962791675425688E-3</v>
      </c>
      <c r="S481" s="23" t="s">
        <v>107</v>
      </c>
      <c r="T481" s="23" t="s">
        <v>32</v>
      </c>
      <c r="U481" s="23">
        <f>IF(tbl_raw[[#This Row],[Order_Status]]="Returned",1,0)</f>
        <v>0</v>
      </c>
      <c r="V481" s="23">
        <f>IF(tbl_raw[[#This Row],[Payment_Method]]="COD",1,0)</f>
        <v>0</v>
      </c>
      <c r="W481" s="26">
        <f>MIN(1,(tbl_raw[[#This Row],[Discount_Pct]]*1.4)+(tbl_raw[[#This Row],[COD_Flag]]*0.35))</f>
        <v>0.44799999999999995</v>
      </c>
    </row>
    <row r="482" spans="1:23" ht="22.8" x14ac:dyDescent="0.3">
      <c r="A482" s="17" t="s">
        <v>1326</v>
      </c>
      <c r="B482" s="18" t="s">
        <v>597</v>
      </c>
      <c r="C482" s="18" t="s">
        <v>25</v>
      </c>
      <c r="D482" s="18" t="s">
        <v>53</v>
      </c>
      <c r="E482" s="18" t="s">
        <v>149</v>
      </c>
      <c r="F482" s="18" t="s">
        <v>1327</v>
      </c>
      <c r="G482" s="18" t="s">
        <v>56</v>
      </c>
      <c r="H482" s="18" t="s">
        <v>57</v>
      </c>
      <c r="I482" s="18">
        <v>12</v>
      </c>
      <c r="J482" s="19">
        <v>3729</v>
      </c>
      <c r="K482" s="19">
        <v>2871</v>
      </c>
      <c r="L482" s="20">
        <v>0.23</v>
      </c>
      <c r="M482" s="19">
        <v>2574</v>
      </c>
      <c r="N482" s="19">
        <f>(tbl_raw[[#This Row],[Selling_Price]]-tbl_raw[[#This Row],[Cost_Price]])*tbl_raw[[#This Row],[Units_Sold]]</f>
        <v>3564</v>
      </c>
      <c r="O482" s="20">
        <f>IFERROR((tbl_raw[[#This Row],[Selling_Price]]-tbl_raw[[#This Row],[Cost_Price]]) / tbl_raw[[#This Row],[Selling_Price]],0)</f>
        <v>0.10344827586206896</v>
      </c>
      <c r="P482" s="19">
        <v>101</v>
      </c>
      <c r="Q482" s="19">
        <f>tbl_raw[[#This Row],[Gross_Profit]]-(tbl_raw[[#This Row],[Shipping_Cost]]*tbl_raw[[#This Row],[Units_Sold]])</f>
        <v>2352</v>
      </c>
      <c r="R482" s="20">
        <f>IFERROR(tbl_raw[[#This Row],[Net_Profit]]/(tbl_raw[[#This Row],[Selling_Price]]*tbl_raw[[#This Row],[Units_Sold]]),0)</f>
        <v>6.8268895855102749E-2</v>
      </c>
      <c r="S482" s="18" t="s">
        <v>65</v>
      </c>
      <c r="T482" s="18" t="s">
        <v>32</v>
      </c>
      <c r="U482" s="18">
        <f>IF(tbl_raw[[#This Row],[Order_Status]]="Returned",1,0)</f>
        <v>0</v>
      </c>
      <c r="V482" s="18">
        <f>IF(tbl_raw[[#This Row],[Payment_Method]]="COD",1,0)</f>
        <v>0</v>
      </c>
      <c r="W482" s="21">
        <f>MIN(1,(tbl_raw[[#This Row],[Discount_Pct]]*1.4)+(tbl_raw[[#This Row],[COD_Flag]]*0.35))</f>
        <v>0.32200000000000001</v>
      </c>
    </row>
    <row r="483" spans="1:23" ht="22.8" x14ac:dyDescent="0.3">
      <c r="A483" s="22" t="s">
        <v>1328</v>
      </c>
      <c r="B483" s="23" t="s">
        <v>357</v>
      </c>
      <c r="C483" s="23" t="s">
        <v>99</v>
      </c>
      <c r="D483" s="23" t="s">
        <v>44</v>
      </c>
      <c r="E483" s="23" t="s">
        <v>45</v>
      </c>
      <c r="F483" s="23" t="s">
        <v>1329</v>
      </c>
      <c r="G483" s="23" t="s">
        <v>75</v>
      </c>
      <c r="H483" s="23" t="s">
        <v>48</v>
      </c>
      <c r="I483" s="23">
        <v>3</v>
      </c>
      <c r="J483" s="24">
        <v>825</v>
      </c>
      <c r="K483" s="24">
        <v>495</v>
      </c>
      <c r="L483" s="25">
        <v>0.4</v>
      </c>
      <c r="M483" s="24">
        <v>413</v>
      </c>
      <c r="N483" s="24">
        <f>(tbl_raw[[#This Row],[Selling_Price]]-tbl_raw[[#This Row],[Cost_Price]])*tbl_raw[[#This Row],[Units_Sold]]</f>
        <v>246</v>
      </c>
      <c r="O483" s="25">
        <f>IFERROR((tbl_raw[[#This Row],[Selling_Price]]-tbl_raw[[#This Row],[Cost_Price]]) / tbl_raw[[#This Row],[Selling_Price]],0)</f>
        <v>0.16565656565656567</v>
      </c>
      <c r="P483" s="24">
        <v>173</v>
      </c>
      <c r="Q483" s="24">
        <f>tbl_raw[[#This Row],[Gross_Profit]]-(tbl_raw[[#This Row],[Shipping_Cost]]*tbl_raw[[#This Row],[Units_Sold]])</f>
        <v>-273</v>
      </c>
      <c r="R483" s="25">
        <f>IFERROR(tbl_raw[[#This Row],[Net_Profit]]/(tbl_raw[[#This Row],[Selling_Price]]*tbl_raw[[#This Row],[Units_Sold]]),0)</f>
        <v>-0.18383838383838383</v>
      </c>
      <c r="S483" s="23" t="s">
        <v>58</v>
      </c>
      <c r="T483" s="23" t="s">
        <v>32</v>
      </c>
      <c r="U483" s="23">
        <f>IF(tbl_raw[[#This Row],[Order_Status]]="Returned",1,0)</f>
        <v>0</v>
      </c>
      <c r="V483" s="23">
        <f>IF(tbl_raw[[#This Row],[Payment_Method]]="COD",1,0)</f>
        <v>0</v>
      </c>
      <c r="W483" s="26">
        <f>MIN(1,(tbl_raw[[#This Row],[Discount_Pct]]*1.4)+(tbl_raw[[#This Row],[COD_Flag]]*0.35))</f>
        <v>0.55999999999999994</v>
      </c>
    </row>
    <row r="484" spans="1:23" ht="22.8" x14ac:dyDescent="0.3">
      <c r="A484" s="17" t="s">
        <v>1330</v>
      </c>
      <c r="B484" s="18" t="s">
        <v>287</v>
      </c>
      <c r="C484" s="18" t="s">
        <v>43</v>
      </c>
      <c r="D484" s="18" t="s">
        <v>164</v>
      </c>
      <c r="E484" s="18" t="s">
        <v>165</v>
      </c>
      <c r="F484" s="18" t="s">
        <v>1331</v>
      </c>
      <c r="G484" s="18" t="s">
        <v>139</v>
      </c>
      <c r="H484" s="18" t="s">
        <v>48</v>
      </c>
      <c r="I484" s="18">
        <v>10</v>
      </c>
      <c r="J484" s="19">
        <v>3449</v>
      </c>
      <c r="K484" s="19">
        <v>2380</v>
      </c>
      <c r="L484" s="20">
        <v>0.31</v>
      </c>
      <c r="M484" s="19">
        <v>2504</v>
      </c>
      <c r="N484" s="19">
        <f>(tbl_raw[[#This Row],[Selling_Price]]-tbl_raw[[#This Row],[Cost_Price]])*tbl_raw[[#This Row],[Units_Sold]]</f>
        <v>-1240</v>
      </c>
      <c r="O484" s="20">
        <f>IFERROR((tbl_raw[[#This Row],[Selling_Price]]-tbl_raw[[#This Row],[Cost_Price]]) / tbl_raw[[#This Row],[Selling_Price]],0)</f>
        <v>-5.2100840336134456E-2</v>
      </c>
      <c r="P484" s="19">
        <v>101</v>
      </c>
      <c r="Q484" s="19">
        <f>tbl_raw[[#This Row],[Gross_Profit]]-(tbl_raw[[#This Row],[Shipping_Cost]]*tbl_raw[[#This Row],[Units_Sold]])</f>
        <v>-2250</v>
      </c>
      <c r="R484" s="20">
        <f>IFERROR(tbl_raw[[#This Row],[Net_Profit]]/(tbl_raw[[#This Row],[Selling_Price]]*tbl_raw[[#This Row],[Units_Sold]]),0)</f>
        <v>-9.4537815126050417E-2</v>
      </c>
      <c r="S484" s="18" t="s">
        <v>31</v>
      </c>
      <c r="T484" s="18" t="s">
        <v>32</v>
      </c>
      <c r="U484" s="18">
        <f>IF(tbl_raw[[#This Row],[Order_Status]]="Returned",1,0)</f>
        <v>0</v>
      </c>
      <c r="V484" s="18">
        <f>IF(tbl_raw[[#This Row],[Payment_Method]]="COD",1,0)</f>
        <v>0</v>
      </c>
      <c r="W484" s="21">
        <f>MIN(1,(tbl_raw[[#This Row],[Discount_Pct]]*1.4)+(tbl_raw[[#This Row],[COD_Flag]]*0.35))</f>
        <v>0.434</v>
      </c>
    </row>
    <row r="485" spans="1:23" ht="22.8" x14ac:dyDescent="0.3">
      <c r="A485" s="22" t="s">
        <v>1332</v>
      </c>
      <c r="B485" s="23" t="s">
        <v>1333</v>
      </c>
      <c r="C485" s="23" t="s">
        <v>99</v>
      </c>
      <c r="D485" s="23" t="s">
        <v>175</v>
      </c>
      <c r="E485" s="23" t="s">
        <v>354</v>
      </c>
      <c r="F485" s="23" t="s">
        <v>1334</v>
      </c>
      <c r="G485" s="23" t="s">
        <v>29</v>
      </c>
      <c r="H485" s="23" t="s">
        <v>30</v>
      </c>
      <c r="I485" s="23">
        <v>17</v>
      </c>
      <c r="J485" s="24">
        <v>5228</v>
      </c>
      <c r="K485" s="24">
        <v>4235</v>
      </c>
      <c r="L485" s="25">
        <v>0.19</v>
      </c>
      <c r="M485" s="24">
        <v>2718</v>
      </c>
      <c r="N485" s="24">
        <f>(tbl_raw[[#This Row],[Selling_Price]]-tbl_raw[[#This Row],[Cost_Price]])*tbl_raw[[#This Row],[Units_Sold]]</f>
        <v>25789</v>
      </c>
      <c r="O485" s="25">
        <f>IFERROR((tbl_raw[[#This Row],[Selling_Price]]-tbl_raw[[#This Row],[Cost_Price]]) / tbl_raw[[#This Row],[Selling_Price]],0)</f>
        <v>0.35820543093270368</v>
      </c>
      <c r="P485" s="24">
        <v>127</v>
      </c>
      <c r="Q485" s="24">
        <f>tbl_raw[[#This Row],[Gross_Profit]]-(tbl_raw[[#This Row],[Shipping_Cost]]*tbl_raw[[#This Row],[Units_Sold]])</f>
        <v>23630</v>
      </c>
      <c r="R485" s="25">
        <f>IFERROR(tbl_raw[[#This Row],[Net_Profit]]/(tbl_raw[[#This Row],[Selling_Price]]*tbl_raw[[#This Row],[Units_Sold]]),0)</f>
        <v>0.32821723730814639</v>
      </c>
      <c r="S485" s="23" t="s">
        <v>107</v>
      </c>
      <c r="T485" s="23" t="s">
        <v>32</v>
      </c>
      <c r="U485" s="23">
        <f>IF(tbl_raw[[#This Row],[Order_Status]]="Returned",1,0)</f>
        <v>0</v>
      </c>
      <c r="V485" s="23">
        <f>IF(tbl_raw[[#This Row],[Payment_Method]]="COD",1,0)</f>
        <v>0</v>
      </c>
      <c r="W485" s="26">
        <f>MIN(1,(tbl_raw[[#This Row],[Discount_Pct]]*1.4)+(tbl_raw[[#This Row],[COD_Flag]]*0.35))</f>
        <v>0.26599999999999996</v>
      </c>
    </row>
    <row r="486" spans="1:23" ht="22.8" x14ac:dyDescent="0.3">
      <c r="A486" s="17" t="s">
        <v>1335</v>
      </c>
      <c r="B486" s="18" t="s">
        <v>1336</v>
      </c>
      <c r="C486" s="18" t="s">
        <v>105</v>
      </c>
      <c r="D486" s="18" t="s">
        <v>62</v>
      </c>
      <c r="E486" s="18" t="s">
        <v>68</v>
      </c>
      <c r="F486" s="18" t="s">
        <v>1337</v>
      </c>
      <c r="G486" s="18" t="s">
        <v>102</v>
      </c>
      <c r="H486" s="18" t="s">
        <v>39</v>
      </c>
      <c r="I486" s="18">
        <v>5</v>
      </c>
      <c r="J486" s="19">
        <v>7207</v>
      </c>
      <c r="K486" s="19">
        <v>6198</v>
      </c>
      <c r="L486" s="20">
        <v>0.14000000000000001</v>
      </c>
      <c r="M486" s="19">
        <v>4874</v>
      </c>
      <c r="N486" s="19">
        <f>(tbl_raw[[#This Row],[Selling_Price]]-tbl_raw[[#This Row],[Cost_Price]])*tbl_raw[[#This Row],[Units_Sold]]</f>
        <v>6620</v>
      </c>
      <c r="O486" s="20">
        <f>IFERROR((tbl_raw[[#This Row],[Selling_Price]]-tbl_raw[[#This Row],[Cost_Price]]) / tbl_raw[[#This Row],[Selling_Price]],0)</f>
        <v>0.21361729590190384</v>
      </c>
      <c r="P486" s="19">
        <v>64</v>
      </c>
      <c r="Q486" s="19">
        <f>tbl_raw[[#This Row],[Gross_Profit]]-(tbl_raw[[#This Row],[Shipping_Cost]]*tbl_raw[[#This Row],[Units_Sold]])</f>
        <v>6300</v>
      </c>
      <c r="R486" s="20">
        <f>IFERROR(tbl_raw[[#This Row],[Net_Profit]]/(tbl_raw[[#This Row],[Selling_Price]]*tbl_raw[[#This Row],[Units_Sold]]),0)</f>
        <v>0.20329138431752178</v>
      </c>
      <c r="S486" s="18" t="s">
        <v>107</v>
      </c>
      <c r="T486" s="18" t="s">
        <v>86</v>
      </c>
      <c r="U486" s="18">
        <f>IF(tbl_raw[[#This Row],[Order_Status]]="Returned",1,0)</f>
        <v>1</v>
      </c>
      <c r="V486" s="18">
        <f>IF(tbl_raw[[#This Row],[Payment_Method]]="COD",1,0)</f>
        <v>0</v>
      </c>
      <c r="W486" s="21">
        <f>MIN(1,(tbl_raw[[#This Row],[Discount_Pct]]*1.4)+(tbl_raw[[#This Row],[COD_Flag]]*0.35))</f>
        <v>0.19600000000000001</v>
      </c>
    </row>
    <row r="487" spans="1:23" ht="22.8" x14ac:dyDescent="0.3">
      <c r="A487" s="22" t="s">
        <v>1338</v>
      </c>
      <c r="B487" s="23" t="s">
        <v>1231</v>
      </c>
      <c r="C487" s="23" t="s">
        <v>132</v>
      </c>
      <c r="D487" s="23" t="s">
        <v>44</v>
      </c>
      <c r="E487" s="23" t="s">
        <v>279</v>
      </c>
      <c r="F487" s="23" t="s">
        <v>1339</v>
      </c>
      <c r="G487" s="23" t="s">
        <v>81</v>
      </c>
      <c r="H487" s="23" t="s">
        <v>30</v>
      </c>
      <c r="I487" s="23">
        <v>20</v>
      </c>
      <c r="J487" s="24">
        <v>7408</v>
      </c>
      <c r="K487" s="24">
        <v>5037</v>
      </c>
      <c r="L487" s="25">
        <v>0.32</v>
      </c>
      <c r="M487" s="24">
        <v>3703</v>
      </c>
      <c r="N487" s="24">
        <f>(tbl_raw[[#This Row],[Selling_Price]]-tbl_raw[[#This Row],[Cost_Price]])*tbl_raw[[#This Row],[Units_Sold]]</f>
        <v>26680</v>
      </c>
      <c r="O487" s="25">
        <f>IFERROR((tbl_raw[[#This Row],[Selling_Price]]-tbl_raw[[#This Row],[Cost_Price]]) / tbl_raw[[#This Row],[Selling_Price]],0)</f>
        <v>0.26484018264840181</v>
      </c>
      <c r="P487" s="24">
        <v>176</v>
      </c>
      <c r="Q487" s="24">
        <f>tbl_raw[[#This Row],[Gross_Profit]]-(tbl_raw[[#This Row],[Shipping_Cost]]*tbl_raw[[#This Row],[Units_Sold]])</f>
        <v>23160</v>
      </c>
      <c r="R487" s="25">
        <f>IFERROR(tbl_raw[[#This Row],[Net_Profit]]/(tbl_raw[[#This Row],[Selling_Price]]*tbl_raw[[#This Row],[Units_Sold]]),0)</f>
        <v>0.22989874925550924</v>
      </c>
      <c r="S487" s="23" t="s">
        <v>40</v>
      </c>
      <c r="T487" s="23" t="s">
        <v>32</v>
      </c>
      <c r="U487" s="23">
        <f>IF(tbl_raw[[#This Row],[Order_Status]]="Returned",1,0)</f>
        <v>0</v>
      </c>
      <c r="V487" s="23">
        <f>IF(tbl_raw[[#This Row],[Payment_Method]]="COD",1,0)</f>
        <v>1</v>
      </c>
      <c r="W487" s="26">
        <f>MIN(1,(tbl_raw[[#This Row],[Discount_Pct]]*1.4)+(tbl_raw[[#This Row],[COD_Flag]]*0.35))</f>
        <v>0.79799999999999993</v>
      </c>
    </row>
    <row r="488" spans="1:23" ht="22.8" x14ac:dyDescent="0.3">
      <c r="A488" s="17" t="s">
        <v>1340</v>
      </c>
      <c r="B488" s="18" t="s">
        <v>316</v>
      </c>
      <c r="C488" s="18" t="s">
        <v>89</v>
      </c>
      <c r="D488" s="18" t="s">
        <v>164</v>
      </c>
      <c r="E488" s="18" t="s">
        <v>251</v>
      </c>
      <c r="F488" s="18" t="s">
        <v>1341</v>
      </c>
      <c r="G488" s="18" t="s">
        <v>56</v>
      </c>
      <c r="H488" s="18" t="s">
        <v>57</v>
      </c>
      <c r="I488" s="18">
        <v>6</v>
      </c>
      <c r="J488" s="19">
        <v>1800</v>
      </c>
      <c r="K488" s="19">
        <v>1224</v>
      </c>
      <c r="L488" s="20">
        <v>0.32</v>
      </c>
      <c r="M488" s="19">
        <v>1139</v>
      </c>
      <c r="N488" s="19">
        <f>(tbl_raw[[#This Row],[Selling_Price]]-tbl_raw[[#This Row],[Cost_Price]])*tbl_raw[[#This Row],[Units_Sold]]</f>
        <v>510</v>
      </c>
      <c r="O488" s="20">
        <f>IFERROR((tbl_raw[[#This Row],[Selling_Price]]-tbl_raw[[#This Row],[Cost_Price]]) / tbl_raw[[#This Row],[Selling_Price]],0)</f>
        <v>6.9444444444444448E-2</v>
      </c>
      <c r="P488" s="19">
        <v>177</v>
      </c>
      <c r="Q488" s="19">
        <f>tbl_raw[[#This Row],[Gross_Profit]]-(tbl_raw[[#This Row],[Shipping_Cost]]*tbl_raw[[#This Row],[Units_Sold]])</f>
        <v>-552</v>
      </c>
      <c r="R488" s="20">
        <f>IFERROR(tbl_raw[[#This Row],[Net_Profit]]/(tbl_raw[[#This Row],[Selling_Price]]*tbl_raw[[#This Row],[Units_Sold]]),0)</f>
        <v>-7.5163398692810454E-2</v>
      </c>
      <c r="S488" s="18" t="s">
        <v>40</v>
      </c>
      <c r="T488" s="18" t="s">
        <v>32</v>
      </c>
      <c r="U488" s="18">
        <f>IF(tbl_raw[[#This Row],[Order_Status]]="Returned",1,0)</f>
        <v>0</v>
      </c>
      <c r="V488" s="18">
        <f>IF(tbl_raw[[#This Row],[Payment_Method]]="COD",1,0)</f>
        <v>1</v>
      </c>
      <c r="W488" s="21">
        <f>MIN(1,(tbl_raw[[#This Row],[Discount_Pct]]*1.4)+(tbl_raw[[#This Row],[COD_Flag]]*0.35))</f>
        <v>0.79799999999999993</v>
      </c>
    </row>
    <row r="489" spans="1:23" ht="22.8" x14ac:dyDescent="0.3">
      <c r="A489" s="22" t="s">
        <v>1342</v>
      </c>
      <c r="B489" s="23" t="s">
        <v>1265</v>
      </c>
      <c r="C489" s="23" t="s">
        <v>43</v>
      </c>
      <c r="D489" s="23" t="s">
        <v>53</v>
      </c>
      <c r="E489" s="23" t="s">
        <v>149</v>
      </c>
      <c r="F489" s="23" t="s">
        <v>1343</v>
      </c>
      <c r="G489" s="23" t="s">
        <v>47</v>
      </c>
      <c r="H489" s="23" t="s">
        <v>48</v>
      </c>
      <c r="I489" s="23">
        <v>16</v>
      </c>
      <c r="J489" s="24">
        <v>6194</v>
      </c>
      <c r="K489" s="24">
        <v>3531</v>
      </c>
      <c r="L489" s="25">
        <v>0.43</v>
      </c>
      <c r="M489" s="24">
        <v>4489</v>
      </c>
      <c r="N489" s="24">
        <f>(tbl_raw[[#This Row],[Selling_Price]]-tbl_raw[[#This Row],[Cost_Price]])*tbl_raw[[#This Row],[Units_Sold]]</f>
        <v>-15328</v>
      </c>
      <c r="O489" s="25">
        <f>IFERROR((tbl_raw[[#This Row],[Selling_Price]]-tbl_raw[[#This Row],[Cost_Price]]) / tbl_raw[[#This Row],[Selling_Price]],0)</f>
        <v>-0.27131124327386008</v>
      </c>
      <c r="P489" s="24">
        <v>53</v>
      </c>
      <c r="Q489" s="24">
        <f>tbl_raw[[#This Row],[Gross_Profit]]-(tbl_raw[[#This Row],[Shipping_Cost]]*tbl_raw[[#This Row],[Units_Sold]])</f>
        <v>-16176</v>
      </c>
      <c r="R489" s="25">
        <f>IFERROR(tbl_raw[[#This Row],[Net_Profit]]/(tbl_raw[[#This Row],[Selling_Price]]*tbl_raw[[#This Row],[Units_Sold]]),0)</f>
        <v>-0.28632115548003401</v>
      </c>
      <c r="S489" s="23" t="s">
        <v>65</v>
      </c>
      <c r="T489" s="23" t="s">
        <v>32</v>
      </c>
      <c r="U489" s="23">
        <f>IF(tbl_raw[[#This Row],[Order_Status]]="Returned",1,0)</f>
        <v>0</v>
      </c>
      <c r="V489" s="23">
        <f>IF(tbl_raw[[#This Row],[Payment_Method]]="COD",1,0)</f>
        <v>0</v>
      </c>
      <c r="W489" s="26">
        <f>MIN(1,(tbl_raw[[#This Row],[Discount_Pct]]*1.4)+(tbl_raw[[#This Row],[COD_Flag]]*0.35))</f>
        <v>0.60199999999999998</v>
      </c>
    </row>
    <row r="490" spans="1:23" ht="22.8" x14ac:dyDescent="0.3">
      <c r="A490" s="17" t="s">
        <v>1344</v>
      </c>
      <c r="B490" s="18" t="s">
        <v>1345</v>
      </c>
      <c r="C490" s="18" t="s">
        <v>156</v>
      </c>
      <c r="D490" s="18" t="s">
        <v>62</v>
      </c>
      <c r="E490" s="18" t="s">
        <v>63</v>
      </c>
      <c r="F490" s="18" t="s">
        <v>1346</v>
      </c>
      <c r="G490" s="18" t="s">
        <v>102</v>
      </c>
      <c r="H490" s="18" t="s">
        <v>39</v>
      </c>
      <c r="I490" s="18">
        <v>5</v>
      </c>
      <c r="J490" s="19">
        <v>6437</v>
      </c>
      <c r="K490" s="19">
        <v>4313</v>
      </c>
      <c r="L490" s="20">
        <v>0.33</v>
      </c>
      <c r="M490" s="19">
        <v>4653</v>
      </c>
      <c r="N490" s="19">
        <f>(tbl_raw[[#This Row],[Selling_Price]]-tbl_raw[[#This Row],[Cost_Price]])*tbl_raw[[#This Row],[Units_Sold]]</f>
        <v>-1700</v>
      </c>
      <c r="O490" s="20">
        <f>IFERROR((tbl_raw[[#This Row],[Selling_Price]]-tbl_raw[[#This Row],[Cost_Price]]) / tbl_raw[[#This Row],[Selling_Price]],0)</f>
        <v>-7.883143983306283E-2</v>
      </c>
      <c r="P490" s="19">
        <v>81</v>
      </c>
      <c r="Q490" s="19">
        <f>tbl_raw[[#This Row],[Gross_Profit]]-(tbl_raw[[#This Row],[Shipping_Cost]]*tbl_raw[[#This Row],[Units_Sold]])</f>
        <v>-2105</v>
      </c>
      <c r="R490" s="20">
        <f>IFERROR(tbl_raw[[#This Row],[Net_Profit]]/(tbl_raw[[#This Row],[Selling_Price]]*tbl_raw[[#This Row],[Units_Sold]]),0)</f>
        <v>-9.7611871087410151E-2</v>
      </c>
      <c r="S490" s="18" t="s">
        <v>58</v>
      </c>
      <c r="T490" s="18" t="s">
        <v>49</v>
      </c>
      <c r="U490" s="18">
        <f>IF(tbl_raw[[#This Row],[Order_Status]]="Returned",1,0)</f>
        <v>0</v>
      </c>
      <c r="V490" s="18">
        <f>IF(tbl_raw[[#This Row],[Payment_Method]]="COD",1,0)</f>
        <v>0</v>
      </c>
      <c r="W490" s="21">
        <f>MIN(1,(tbl_raw[[#This Row],[Discount_Pct]]*1.4)+(tbl_raw[[#This Row],[COD_Flag]]*0.35))</f>
        <v>0.46199999999999997</v>
      </c>
    </row>
    <row r="491" spans="1:23" ht="22.8" x14ac:dyDescent="0.3">
      <c r="A491" s="22" t="s">
        <v>1347</v>
      </c>
      <c r="B491" s="23" t="s">
        <v>462</v>
      </c>
      <c r="C491" s="23" t="s">
        <v>43</v>
      </c>
      <c r="D491" s="23" t="s">
        <v>175</v>
      </c>
      <c r="E491" s="23" t="s">
        <v>190</v>
      </c>
      <c r="F491" s="23" t="s">
        <v>1348</v>
      </c>
      <c r="G491" s="23" t="s">
        <v>47</v>
      </c>
      <c r="H491" s="23" t="s">
        <v>48</v>
      </c>
      <c r="I491" s="23">
        <v>20</v>
      </c>
      <c r="J491" s="24">
        <v>6759</v>
      </c>
      <c r="K491" s="24">
        <v>5407</v>
      </c>
      <c r="L491" s="25">
        <v>0.2</v>
      </c>
      <c r="M491" s="24">
        <v>2922</v>
      </c>
      <c r="N491" s="24">
        <f>(tbl_raw[[#This Row],[Selling_Price]]-tbl_raw[[#This Row],[Cost_Price]])*tbl_raw[[#This Row],[Units_Sold]]</f>
        <v>49700</v>
      </c>
      <c r="O491" s="25">
        <f>IFERROR((tbl_raw[[#This Row],[Selling_Price]]-tbl_raw[[#This Row],[Cost_Price]]) / tbl_raw[[#This Row],[Selling_Price]],0)</f>
        <v>0.45958942112076939</v>
      </c>
      <c r="P491" s="24">
        <v>38</v>
      </c>
      <c r="Q491" s="24">
        <f>tbl_raw[[#This Row],[Gross_Profit]]-(tbl_raw[[#This Row],[Shipping_Cost]]*tbl_raw[[#This Row],[Units_Sold]])</f>
        <v>48940</v>
      </c>
      <c r="R491" s="25">
        <f>IFERROR(tbl_raw[[#This Row],[Net_Profit]]/(tbl_raw[[#This Row],[Selling_Price]]*tbl_raw[[#This Row],[Units_Sold]]),0)</f>
        <v>0.45256149435916404</v>
      </c>
      <c r="S491" s="23" t="s">
        <v>40</v>
      </c>
      <c r="T491" s="23" t="s">
        <v>32</v>
      </c>
      <c r="U491" s="23">
        <f>IF(tbl_raw[[#This Row],[Order_Status]]="Returned",1,0)</f>
        <v>0</v>
      </c>
      <c r="V491" s="23">
        <f>IF(tbl_raw[[#This Row],[Payment_Method]]="COD",1,0)</f>
        <v>1</v>
      </c>
      <c r="W491" s="26">
        <f>MIN(1,(tbl_raw[[#This Row],[Discount_Pct]]*1.4)+(tbl_raw[[#This Row],[COD_Flag]]*0.35))</f>
        <v>0.62999999999999989</v>
      </c>
    </row>
    <row r="492" spans="1:23" ht="22.8" x14ac:dyDescent="0.3">
      <c r="A492" s="17" t="s">
        <v>1349</v>
      </c>
      <c r="B492" s="18" t="s">
        <v>1333</v>
      </c>
      <c r="C492" s="18" t="s">
        <v>99</v>
      </c>
      <c r="D492" s="18" t="s">
        <v>26</v>
      </c>
      <c r="E492" s="18" t="s">
        <v>125</v>
      </c>
      <c r="F492" s="18" t="s">
        <v>1350</v>
      </c>
      <c r="G492" s="18" t="s">
        <v>75</v>
      </c>
      <c r="H492" s="18" t="s">
        <v>48</v>
      </c>
      <c r="I492" s="18">
        <v>3</v>
      </c>
      <c r="J492" s="19">
        <v>7812</v>
      </c>
      <c r="K492" s="19">
        <v>6406</v>
      </c>
      <c r="L492" s="20">
        <v>0.18</v>
      </c>
      <c r="M492" s="19">
        <v>4466</v>
      </c>
      <c r="N492" s="19">
        <f>(tbl_raw[[#This Row],[Selling_Price]]-tbl_raw[[#This Row],[Cost_Price]])*tbl_raw[[#This Row],[Units_Sold]]</f>
        <v>5820</v>
      </c>
      <c r="O492" s="20">
        <f>IFERROR((tbl_raw[[#This Row],[Selling_Price]]-tbl_raw[[#This Row],[Cost_Price]]) / tbl_raw[[#This Row],[Selling_Price]],0)</f>
        <v>0.30284108648142366</v>
      </c>
      <c r="P492" s="19">
        <v>120</v>
      </c>
      <c r="Q492" s="19">
        <f>tbl_raw[[#This Row],[Gross_Profit]]-(tbl_raw[[#This Row],[Shipping_Cost]]*tbl_raw[[#This Row],[Units_Sold]])</f>
        <v>5460</v>
      </c>
      <c r="R492" s="20">
        <f>IFERROR(tbl_raw[[#This Row],[Net_Profit]]/(tbl_raw[[#This Row],[Selling_Price]]*tbl_raw[[#This Row],[Units_Sold]]),0)</f>
        <v>0.28410864814236653</v>
      </c>
      <c r="S492" s="18" t="s">
        <v>65</v>
      </c>
      <c r="T492" s="18" t="s">
        <v>49</v>
      </c>
      <c r="U492" s="18">
        <f>IF(tbl_raw[[#This Row],[Order_Status]]="Returned",1,0)</f>
        <v>0</v>
      </c>
      <c r="V492" s="18">
        <f>IF(tbl_raw[[#This Row],[Payment_Method]]="COD",1,0)</f>
        <v>0</v>
      </c>
      <c r="W492" s="21">
        <f>MIN(1,(tbl_raw[[#This Row],[Discount_Pct]]*1.4)+(tbl_raw[[#This Row],[COD_Flag]]*0.35))</f>
        <v>0.252</v>
      </c>
    </row>
    <row r="493" spans="1:23" ht="22.8" x14ac:dyDescent="0.3">
      <c r="A493" s="22" t="s">
        <v>1351</v>
      </c>
      <c r="B493" s="23" t="s">
        <v>643</v>
      </c>
      <c r="C493" s="23" t="s">
        <v>89</v>
      </c>
      <c r="D493" s="23" t="s">
        <v>164</v>
      </c>
      <c r="E493" s="23" t="s">
        <v>251</v>
      </c>
      <c r="F493" s="23" t="s">
        <v>1352</v>
      </c>
      <c r="G493" s="23" t="s">
        <v>47</v>
      </c>
      <c r="H493" s="23" t="s">
        <v>48</v>
      </c>
      <c r="I493" s="23">
        <v>12</v>
      </c>
      <c r="J493" s="24">
        <v>295</v>
      </c>
      <c r="K493" s="24">
        <v>248</v>
      </c>
      <c r="L493" s="25">
        <v>0.16</v>
      </c>
      <c r="M493" s="24">
        <v>150</v>
      </c>
      <c r="N493" s="24">
        <f>(tbl_raw[[#This Row],[Selling_Price]]-tbl_raw[[#This Row],[Cost_Price]])*tbl_raw[[#This Row],[Units_Sold]]</f>
        <v>1176</v>
      </c>
      <c r="O493" s="25">
        <f>IFERROR((tbl_raw[[#This Row],[Selling_Price]]-tbl_raw[[#This Row],[Cost_Price]]) / tbl_raw[[#This Row],[Selling_Price]],0)</f>
        <v>0.39516129032258063</v>
      </c>
      <c r="P493" s="24">
        <v>97</v>
      </c>
      <c r="Q493" s="24">
        <f>tbl_raw[[#This Row],[Gross_Profit]]-(tbl_raw[[#This Row],[Shipping_Cost]]*tbl_raw[[#This Row],[Units_Sold]])</f>
        <v>12</v>
      </c>
      <c r="R493" s="25">
        <f>IFERROR(tbl_raw[[#This Row],[Net_Profit]]/(tbl_raw[[#This Row],[Selling_Price]]*tbl_raw[[#This Row],[Units_Sold]]),0)</f>
        <v>4.0322580645161289E-3</v>
      </c>
      <c r="S493" s="23" t="s">
        <v>65</v>
      </c>
      <c r="T493" s="23" t="s">
        <v>32</v>
      </c>
      <c r="U493" s="23">
        <f>IF(tbl_raw[[#This Row],[Order_Status]]="Returned",1,0)</f>
        <v>0</v>
      </c>
      <c r="V493" s="23">
        <f>IF(tbl_raw[[#This Row],[Payment_Method]]="COD",1,0)</f>
        <v>0</v>
      </c>
      <c r="W493" s="26">
        <f>MIN(1,(tbl_raw[[#This Row],[Discount_Pct]]*1.4)+(tbl_raw[[#This Row],[COD_Flag]]*0.35))</f>
        <v>0.22399999999999998</v>
      </c>
    </row>
    <row r="494" spans="1:23" ht="22.8" x14ac:dyDescent="0.3">
      <c r="A494" s="17" t="s">
        <v>1353</v>
      </c>
      <c r="B494" s="18" t="s">
        <v>384</v>
      </c>
      <c r="C494" s="18" t="s">
        <v>117</v>
      </c>
      <c r="D494" s="18" t="s">
        <v>78</v>
      </c>
      <c r="E494" s="18" t="s">
        <v>534</v>
      </c>
      <c r="F494" s="18" t="s">
        <v>1354</v>
      </c>
      <c r="G494" s="18" t="s">
        <v>81</v>
      </c>
      <c r="H494" s="18" t="s">
        <v>30</v>
      </c>
      <c r="I494" s="18">
        <v>14</v>
      </c>
      <c r="J494" s="19">
        <v>5883</v>
      </c>
      <c r="K494" s="19">
        <v>4765</v>
      </c>
      <c r="L494" s="20">
        <v>0.19</v>
      </c>
      <c r="M494" s="19">
        <v>4074</v>
      </c>
      <c r="N494" s="19">
        <f>(tbl_raw[[#This Row],[Selling_Price]]-tbl_raw[[#This Row],[Cost_Price]])*tbl_raw[[#This Row],[Units_Sold]]</f>
        <v>9674</v>
      </c>
      <c r="O494" s="20">
        <f>IFERROR((tbl_raw[[#This Row],[Selling_Price]]-tbl_raw[[#This Row],[Cost_Price]]) / tbl_raw[[#This Row],[Selling_Price]],0)</f>
        <v>0.14501573976915005</v>
      </c>
      <c r="P494" s="19">
        <v>120</v>
      </c>
      <c r="Q494" s="19">
        <f>tbl_raw[[#This Row],[Gross_Profit]]-(tbl_raw[[#This Row],[Shipping_Cost]]*tbl_raw[[#This Row],[Units_Sold]])</f>
        <v>7994</v>
      </c>
      <c r="R494" s="20">
        <f>IFERROR(tbl_raw[[#This Row],[Net_Profit]]/(tbl_raw[[#This Row],[Selling_Price]]*tbl_raw[[#This Row],[Units_Sold]]),0)</f>
        <v>0.11983210912906611</v>
      </c>
      <c r="S494" s="18" t="s">
        <v>40</v>
      </c>
      <c r="T494" s="18" t="s">
        <v>32</v>
      </c>
      <c r="U494" s="18">
        <f>IF(tbl_raw[[#This Row],[Order_Status]]="Returned",1,0)</f>
        <v>0</v>
      </c>
      <c r="V494" s="18">
        <f>IF(tbl_raw[[#This Row],[Payment_Method]]="COD",1,0)</f>
        <v>1</v>
      </c>
      <c r="W494" s="21">
        <f>MIN(1,(tbl_raw[[#This Row],[Discount_Pct]]*1.4)+(tbl_raw[[#This Row],[COD_Flag]]*0.35))</f>
        <v>0.61599999999999988</v>
      </c>
    </row>
    <row r="495" spans="1:23" ht="22.8" x14ac:dyDescent="0.3">
      <c r="A495" s="22" t="s">
        <v>1355</v>
      </c>
      <c r="B495" s="23" t="s">
        <v>1095</v>
      </c>
      <c r="C495" s="23" t="s">
        <v>105</v>
      </c>
      <c r="D495" s="23" t="s">
        <v>175</v>
      </c>
      <c r="E495" s="23" t="s">
        <v>176</v>
      </c>
      <c r="F495" s="23" t="s">
        <v>1356</v>
      </c>
      <c r="G495" s="23" t="s">
        <v>47</v>
      </c>
      <c r="H495" s="23" t="s">
        <v>48</v>
      </c>
      <c r="I495" s="23">
        <v>3</v>
      </c>
      <c r="J495" s="24">
        <v>252</v>
      </c>
      <c r="K495" s="24">
        <v>179</v>
      </c>
      <c r="L495" s="25">
        <v>0.28999999999999998</v>
      </c>
      <c r="M495" s="24">
        <v>125</v>
      </c>
      <c r="N495" s="24">
        <f>(tbl_raw[[#This Row],[Selling_Price]]-tbl_raw[[#This Row],[Cost_Price]])*tbl_raw[[#This Row],[Units_Sold]]</f>
        <v>162</v>
      </c>
      <c r="O495" s="25">
        <f>IFERROR((tbl_raw[[#This Row],[Selling_Price]]-tbl_raw[[#This Row],[Cost_Price]]) / tbl_raw[[#This Row],[Selling_Price]],0)</f>
        <v>0.3016759776536313</v>
      </c>
      <c r="P495" s="24">
        <v>56</v>
      </c>
      <c r="Q495" s="24">
        <f>tbl_raw[[#This Row],[Gross_Profit]]-(tbl_raw[[#This Row],[Shipping_Cost]]*tbl_raw[[#This Row],[Units_Sold]])</f>
        <v>-6</v>
      </c>
      <c r="R495" s="25">
        <f>IFERROR(tbl_raw[[#This Row],[Net_Profit]]/(tbl_raw[[#This Row],[Selling_Price]]*tbl_raw[[#This Row],[Units_Sold]]),0)</f>
        <v>-1.11731843575419E-2</v>
      </c>
      <c r="S495" s="23" t="s">
        <v>31</v>
      </c>
      <c r="T495" s="23" t="s">
        <v>86</v>
      </c>
      <c r="U495" s="23">
        <f>IF(tbl_raw[[#This Row],[Order_Status]]="Returned",1,0)</f>
        <v>1</v>
      </c>
      <c r="V495" s="23">
        <f>IF(tbl_raw[[#This Row],[Payment_Method]]="COD",1,0)</f>
        <v>0</v>
      </c>
      <c r="W495" s="26">
        <f>MIN(1,(tbl_raw[[#This Row],[Discount_Pct]]*1.4)+(tbl_raw[[#This Row],[COD_Flag]]*0.35))</f>
        <v>0.40599999999999997</v>
      </c>
    </row>
    <row r="496" spans="1:23" ht="22.8" x14ac:dyDescent="0.3">
      <c r="A496" s="17" t="s">
        <v>1357</v>
      </c>
      <c r="B496" s="18" t="s">
        <v>42</v>
      </c>
      <c r="C496" s="18" t="s">
        <v>43</v>
      </c>
      <c r="D496" s="18" t="s">
        <v>164</v>
      </c>
      <c r="E496" s="18" t="s">
        <v>251</v>
      </c>
      <c r="F496" s="18" t="s">
        <v>1358</v>
      </c>
      <c r="G496" s="18" t="s">
        <v>38</v>
      </c>
      <c r="H496" s="18" t="s">
        <v>39</v>
      </c>
      <c r="I496" s="18">
        <v>16</v>
      </c>
      <c r="J496" s="19">
        <v>529</v>
      </c>
      <c r="K496" s="19">
        <v>333</v>
      </c>
      <c r="L496" s="20">
        <v>0.37</v>
      </c>
      <c r="M496" s="19">
        <v>366</v>
      </c>
      <c r="N496" s="19">
        <f>(tbl_raw[[#This Row],[Selling_Price]]-tbl_raw[[#This Row],[Cost_Price]])*tbl_raw[[#This Row],[Units_Sold]]</f>
        <v>-528</v>
      </c>
      <c r="O496" s="20">
        <f>IFERROR((tbl_raw[[#This Row],[Selling_Price]]-tbl_raw[[#This Row],[Cost_Price]]) / tbl_raw[[#This Row],[Selling_Price]],0)</f>
        <v>-9.90990990990991E-2</v>
      </c>
      <c r="P496" s="19">
        <v>76</v>
      </c>
      <c r="Q496" s="19">
        <f>tbl_raw[[#This Row],[Gross_Profit]]-(tbl_raw[[#This Row],[Shipping_Cost]]*tbl_raw[[#This Row],[Units_Sold]])</f>
        <v>-1744</v>
      </c>
      <c r="R496" s="20">
        <f>IFERROR(tbl_raw[[#This Row],[Net_Profit]]/(tbl_raw[[#This Row],[Selling_Price]]*tbl_raw[[#This Row],[Units_Sold]]),0)</f>
        <v>-0.32732732732732733</v>
      </c>
      <c r="S496" s="18" t="s">
        <v>65</v>
      </c>
      <c r="T496" s="18" t="s">
        <v>32</v>
      </c>
      <c r="U496" s="18">
        <f>IF(tbl_raw[[#This Row],[Order_Status]]="Returned",1,0)</f>
        <v>0</v>
      </c>
      <c r="V496" s="18">
        <f>IF(tbl_raw[[#This Row],[Payment_Method]]="COD",1,0)</f>
        <v>0</v>
      </c>
      <c r="W496" s="21">
        <f>MIN(1,(tbl_raw[[#This Row],[Discount_Pct]]*1.4)+(tbl_raw[[#This Row],[COD_Flag]]*0.35))</f>
        <v>0.51800000000000002</v>
      </c>
    </row>
    <row r="497" spans="1:23" ht="22.8" x14ac:dyDescent="0.3">
      <c r="A497" s="22" t="s">
        <v>1359</v>
      </c>
      <c r="B497" s="23" t="s">
        <v>1231</v>
      </c>
      <c r="C497" s="23" t="s">
        <v>132</v>
      </c>
      <c r="D497" s="23" t="s">
        <v>53</v>
      </c>
      <c r="E497" s="23" t="s">
        <v>160</v>
      </c>
      <c r="F497" s="23" t="s">
        <v>1360</v>
      </c>
      <c r="G497" s="23" t="s">
        <v>75</v>
      </c>
      <c r="H497" s="23" t="s">
        <v>48</v>
      </c>
      <c r="I497" s="23">
        <v>4</v>
      </c>
      <c r="J497" s="24">
        <v>5300</v>
      </c>
      <c r="K497" s="24">
        <v>3180</v>
      </c>
      <c r="L497" s="25">
        <v>0.4</v>
      </c>
      <c r="M497" s="24">
        <v>2894</v>
      </c>
      <c r="N497" s="24">
        <f>(tbl_raw[[#This Row],[Selling_Price]]-tbl_raw[[#This Row],[Cost_Price]])*tbl_raw[[#This Row],[Units_Sold]]</f>
        <v>1144</v>
      </c>
      <c r="O497" s="25">
        <f>IFERROR((tbl_raw[[#This Row],[Selling_Price]]-tbl_raw[[#This Row],[Cost_Price]]) / tbl_raw[[#This Row],[Selling_Price]],0)</f>
        <v>8.9937106918238988E-2</v>
      </c>
      <c r="P497" s="24">
        <v>104</v>
      </c>
      <c r="Q497" s="24">
        <f>tbl_raw[[#This Row],[Gross_Profit]]-(tbl_raw[[#This Row],[Shipping_Cost]]*tbl_raw[[#This Row],[Units_Sold]])</f>
        <v>728</v>
      </c>
      <c r="R497" s="25">
        <f>IFERROR(tbl_raw[[#This Row],[Net_Profit]]/(tbl_raw[[#This Row],[Selling_Price]]*tbl_raw[[#This Row],[Units_Sold]]),0)</f>
        <v>5.7232704402515724E-2</v>
      </c>
      <c r="S497" s="23" t="s">
        <v>40</v>
      </c>
      <c r="T497" s="23" t="s">
        <v>59</v>
      </c>
      <c r="U497" s="23">
        <f>IF(tbl_raw[[#This Row],[Order_Status]]="Returned",1,0)</f>
        <v>0</v>
      </c>
      <c r="V497" s="23">
        <f>IF(tbl_raw[[#This Row],[Payment_Method]]="COD",1,0)</f>
        <v>1</v>
      </c>
      <c r="W497" s="26">
        <f>MIN(1,(tbl_raw[[#This Row],[Discount_Pct]]*1.4)+(tbl_raw[[#This Row],[COD_Flag]]*0.35))</f>
        <v>0.90999999999999992</v>
      </c>
    </row>
    <row r="498" spans="1:23" ht="22.8" x14ac:dyDescent="0.3">
      <c r="A498" s="17" t="s">
        <v>1361</v>
      </c>
      <c r="B498" s="18" t="s">
        <v>278</v>
      </c>
      <c r="C498" s="18" t="s">
        <v>117</v>
      </c>
      <c r="D498" s="18" t="s">
        <v>44</v>
      </c>
      <c r="E498" s="18" t="s">
        <v>338</v>
      </c>
      <c r="F498" s="18" t="s">
        <v>1362</v>
      </c>
      <c r="G498" s="18" t="s">
        <v>102</v>
      </c>
      <c r="H498" s="18" t="s">
        <v>39</v>
      </c>
      <c r="I498" s="18">
        <v>14</v>
      </c>
      <c r="J498" s="19">
        <v>6973</v>
      </c>
      <c r="K498" s="19">
        <v>5021</v>
      </c>
      <c r="L498" s="20">
        <v>0.28000000000000003</v>
      </c>
      <c r="M498" s="19">
        <v>3951</v>
      </c>
      <c r="N498" s="19">
        <f>(tbl_raw[[#This Row],[Selling_Price]]-tbl_raw[[#This Row],[Cost_Price]])*tbl_raw[[#This Row],[Units_Sold]]</f>
        <v>14980</v>
      </c>
      <c r="O498" s="20">
        <f>IFERROR((tbl_raw[[#This Row],[Selling_Price]]-tbl_raw[[#This Row],[Cost_Price]]) / tbl_raw[[#This Row],[Selling_Price]],0)</f>
        <v>0.21310495917147979</v>
      </c>
      <c r="P498" s="19">
        <v>134</v>
      </c>
      <c r="Q498" s="19">
        <f>tbl_raw[[#This Row],[Gross_Profit]]-(tbl_raw[[#This Row],[Shipping_Cost]]*tbl_raw[[#This Row],[Units_Sold]])</f>
        <v>13104</v>
      </c>
      <c r="R498" s="20">
        <f>IFERROR(tbl_raw[[#This Row],[Net_Profit]]/(tbl_raw[[#This Row],[Selling_Price]]*tbl_raw[[#This Row],[Units_Sold]]),0)</f>
        <v>0.18641704839673373</v>
      </c>
      <c r="S498" s="18" t="s">
        <v>58</v>
      </c>
      <c r="T498" s="18" t="s">
        <v>32</v>
      </c>
      <c r="U498" s="18">
        <f>IF(tbl_raw[[#This Row],[Order_Status]]="Returned",1,0)</f>
        <v>0</v>
      </c>
      <c r="V498" s="18">
        <f>IF(tbl_raw[[#This Row],[Payment_Method]]="COD",1,0)</f>
        <v>0</v>
      </c>
      <c r="W498" s="21">
        <f>MIN(1,(tbl_raw[[#This Row],[Discount_Pct]]*1.4)+(tbl_raw[[#This Row],[COD_Flag]]*0.35))</f>
        <v>0.39200000000000002</v>
      </c>
    </row>
    <row r="499" spans="1:23" ht="22.8" x14ac:dyDescent="0.3">
      <c r="A499" s="22" t="s">
        <v>1363</v>
      </c>
      <c r="B499" s="23" t="s">
        <v>952</v>
      </c>
      <c r="C499" s="23" t="s">
        <v>132</v>
      </c>
      <c r="D499" s="23" t="s">
        <v>53</v>
      </c>
      <c r="E499" s="23" t="s">
        <v>145</v>
      </c>
      <c r="F499" s="23" t="s">
        <v>1364</v>
      </c>
      <c r="G499" s="23" t="s">
        <v>139</v>
      </c>
      <c r="H499" s="23" t="s">
        <v>48</v>
      </c>
      <c r="I499" s="23">
        <v>5</v>
      </c>
      <c r="J499" s="24">
        <v>2694</v>
      </c>
      <c r="K499" s="24">
        <v>1616</v>
      </c>
      <c r="L499" s="25">
        <v>0.4</v>
      </c>
      <c r="M499" s="24">
        <v>1205</v>
      </c>
      <c r="N499" s="24">
        <f>(tbl_raw[[#This Row],[Selling_Price]]-tbl_raw[[#This Row],[Cost_Price]])*tbl_raw[[#This Row],[Units_Sold]]</f>
        <v>2055</v>
      </c>
      <c r="O499" s="25">
        <f>IFERROR((tbl_raw[[#This Row],[Selling_Price]]-tbl_raw[[#This Row],[Cost_Price]]) / tbl_raw[[#This Row],[Selling_Price]],0)</f>
        <v>0.25433168316831684</v>
      </c>
      <c r="P499" s="24">
        <v>54</v>
      </c>
      <c r="Q499" s="24">
        <f>tbl_raw[[#This Row],[Gross_Profit]]-(tbl_raw[[#This Row],[Shipping_Cost]]*tbl_raw[[#This Row],[Units_Sold]])</f>
        <v>1785</v>
      </c>
      <c r="R499" s="25">
        <f>IFERROR(tbl_raw[[#This Row],[Net_Profit]]/(tbl_raw[[#This Row],[Selling_Price]]*tbl_raw[[#This Row],[Units_Sold]]),0)</f>
        <v>0.22091584158415842</v>
      </c>
      <c r="S499" s="23" t="s">
        <v>107</v>
      </c>
      <c r="T499" s="23" t="s">
        <v>32</v>
      </c>
      <c r="U499" s="23">
        <f>IF(tbl_raw[[#This Row],[Order_Status]]="Returned",1,0)</f>
        <v>0</v>
      </c>
      <c r="V499" s="23">
        <f>IF(tbl_raw[[#This Row],[Payment_Method]]="COD",1,0)</f>
        <v>0</v>
      </c>
      <c r="W499" s="26">
        <f>MIN(1,(tbl_raw[[#This Row],[Discount_Pct]]*1.4)+(tbl_raw[[#This Row],[COD_Flag]]*0.35))</f>
        <v>0.55999999999999994</v>
      </c>
    </row>
    <row r="500" spans="1:23" ht="22.8" x14ac:dyDescent="0.3">
      <c r="A500" s="17" t="s">
        <v>1365</v>
      </c>
      <c r="B500" s="18" t="s">
        <v>594</v>
      </c>
      <c r="C500" s="18" t="s">
        <v>89</v>
      </c>
      <c r="D500" s="18" t="s">
        <v>53</v>
      </c>
      <c r="E500" s="18" t="s">
        <v>160</v>
      </c>
      <c r="F500" s="18" t="s">
        <v>1366</v>
      </c>
      <c r="G500" s="18" t="s">
        <v>120</v>
      </c>
      <c r="H500" s="18" t="s">
        <v>39</v>
      </c>
      <c r="I500" s="18">
        <v>17</v>
      </c>
      <c r="J500" s="19">
        <v>1712</v>
      </c>
      <c r="K500" s="19">
        <v>1233</v>
      </c>
      <c r="L500" s="20">
        <v>0.28000000000000003</v>
      </c>
      <c r="M500" s="19">
        <v>1143</v>
      </c>
      <c r="N500" s="19">
        <f>(tbl_raw[[#This Row],[Selling_Price]]-tbl_raw[[#This Row],[Cost_Price]])*tbl_raw[[#This Row],[Units_Sold]]</f>
        <v>1530</v>
      </c>
      <c r="O500" s="20">
        <f>IFERROR((tbl_raw[[#This Row],[Selling_Price]]-tbl_raw[[#This Row],[Cost_Price]]) / tbl_raw[[#This Row],[Selling_Price]],0)</f>
        <v>7.2992700729927001E-2</v>
      </c>
      <c r="P500" s="19">
        <v>120</v>
      </c>
      <c r="Q500" s="19">
        <f>tbl_raw[[#This Row],[Gross_Profit]]-(tbl_raw[[#This Row],[Shipping_Cost]]*tbl_raw[[#This Row],[Units_Sold]])</f>
        <v>-510</v>
      </c>
      <c r="R500" s="20">
        <f>IFERROR(tbl_raw[[#This Row],[Net_Profit]]/(tbl_raw[[#This Row],[Selling_Price]]*tbl_raw[[#This Row],[Units_Sold]]),0)</f>
        <v>-2.4330900243309004E-2</v>
      </c>
      <c r="S500" s="18" t="s">
        <v>40</v>
      </c>
      <c r="T500" s="18" t="s">
        <v>49</v>
      </c>
      <c r="U500" s="18">
        <f>IF(tbl_raw[[#This Row],[Order_Status]]="Returned",1,0)</f>
        <v>0</v>
      </c>
      <c r="V500" s="18">
        <f>IF(tbl_raw[[#This Row],[Payment_Method]]="COD",1,0)</f>
        <v>1</v>
      </c>
      <c r="W500" s="21">
        <f>MIN(1,(tbl_raw[[#This Row],[Discount_Pct]]*1.4)+(tbl_raw[[#This Row],[COD_Flag]]*0.35))</f>
        <v>0.74199999999999999</v>
      </c>
    </row>
    <row r="501" spans="1:23" ht="22.8" x14ac:dyDescent="0.3">
      <c r="A501" s="22" t="s">
        <v>1367</v>
      </c>
      <c r="B501" s="23" t="s">
        <v>1368</v>
      </c>
      <c r="C501" s="23" t="s">
        <v>25</v>
      </c>
      <c r="D501" s="23" t="s">
        <v>53</v>
      </c>
      <c r="E501" s="23" t="s">
        <v>160</v>
      </c>
      <c r="F501" s="23" t="s">
        <v>1369</v>
      </c>
      <c r="G501" s="23" t="s">
        <v>56</v>
      </c>
      <c r="H501" s="23" t="s">
        <v>57</v>
      </c>
      <c r="I501" s="23">
        <v>4</v>
      </c>
      <c r="J501" s="24">
        <v>4368</v>
      </c>
      <c r="K501" s="24">
        <v>3669</v>
      </c>
      <c r="L501" s="25">
        <v>0.16</v>
      </c>
      <c r="M501" s="24">
        <v>1967</v>
      </c>
      <c r="N501" s="24">
        <f>(tbl_raw[[#This Row],[Selling_Price]]-tbl_raw[[#This Row],[Cost_Price]])*tbl_raw[[#This Row],[Units_Sold]]</f>
        <v>6808</v>
      </c>
      <c r="O501" s="25">
        <f>IFERROR((tbl_raw[[#This Row],[Selling_Price]]-tbl_raw[[#This Row],[Cost_Price]]) / tbl_raw[[#This Row],[Selling_Price]],0)</f>
        <v>0.46388661760697736</v>
      </c>
      <c r="P501" s="24">
        <v>51</v>
      </c>
      <c r="Q501" s="24">
        <f>tbl_raw[[#This Row],[Gross_Profit]]-(tbl_raw[[#This Row],[Shipping_Cost]]*tbl_raw[[#This Row],[Units_Sold]])</f>
        <v>6604</v>
      </c>
      <c r="R501" s="25">
        <f>IFERROR(tbl_raw[[#This Row],[Net_Profit]]/(tbl_raw[[#This Row],[Selling_Price]]*tbl_raw[[#This Row],[Units_Sold]]),0)</f>
        <v>0.44998637230853095</v>
      </c>
      <c r="S501" s="23" t="s">
        <v>107</v>
      </c>
      <c r="T501" s="23" t="s">
        <v>32</v>
      </c>
      <c r="U501" s="23">
        <f>IF(tbl_raw[[#This Row],[Order_Status]]="Returned",1,0)</f>
        <v>0</v>
      </c>
      <c r="V501" s="23">
        <f>IF(tbl_raw[[#This Row],[Payment_Method]]="COD",1,0)</f>
        <v>0</v>
      </c>
      <c r="W501" s="26">
        <f>MIN(1,(tbl_raw[[#This Row],[Discount_Pct]]*1.4)+(tbl_raw[[#This Row],[COD_Flag]]*0.35))</f>
        <v>0.22399999999999998</v>
      </c>
    </row>
    <row r="502" spans="1:23" ht="22.8" x14ac:dyDescent="0.3">
      <c r="A502" s="17" t="s">
        <v>1370</v>
      </c>
      <c r="B502" s="18" t="s">
        <v>224</v>
      </c>
      <c r="C502" s="18" t="s">
        <v>89</v>
      </c>
      <c r="D502" s="18" t="s">
        <v>175</v>
      </c>
      <c r="E502" s="18" t="s">
        <v>225</v>
      </c>
      <c r="F502" s="18" t="s">
        <v>1371</v>
      </c>
      <c r="G502" s="18" t="s">
        <v>38</v>
      </c>
      <c r="H502" s="18" t="s">
        <v>39</v>
      </c>
      <c r="I502" s="18">
        <v>8</v>
      </c>
      <c r="J502" s="19">
        <v>6686</v>
      </c>
      <c r="K502" s="19">
        <v>4279</v>
      </c>
      <c r="L502" s="20">
        <v>0.36</v>
      </c>
      <c r="M502" s="19">
        <v>3982</v>
      </c>
      <c r="N502" s="19">
        <f>(tbl_raw[[#This Row],[Selling_Price]]-tbl_raw[[#This Row],[Cost_Price]])*tbl_raw[[#This Row],[Units_Sold]]</f>
        <v>2376</v>
      </c>
      <c r="O502" s="20">
        <f>IFERROR((tbl_raw[[#This Row],[Selling_Price]]-tbl_raw[[#This Row],[Cost_Price]]) / tbl_raw[[#This Row],[Selling_Price]],0)</f>
        <v>6.9408740359897178E-2</v>
      </c>
      <c r="P502" s="19">
        <v>133</v>
      </c>
      <c r="Q502" s="19">
        <f>tbl_raw[[#This Row],[Gross_Profit]]-(tbl_raw[[#This Row],[Shipping_Cost]]*tbl_raw[[#This Row],[Units_Sold]])</f>
        <v>1312</v>
      </c>
      <c r="R502" s="20">
        <f>IFERROR(tbl_raw[[#This Row],[Net_Profit]]/(tbl_raw[[#This Row],[Selling_Price]]*tbl_raw[[#This Row],[Units_Sold]]),0)</f>
        <v>3.8326711848562747E-2</v>
      </c>
      <c r="S502" s="18" t="s">
        <v>65</v>
      </c>
      <c r="T502" s="18" t="s">
        <v>32</v>
      </c>
      <c r="U502" s="18">
        <f>IF(tbl_raw[[#This Row],[Order_Status]]="Returned",1,0)</f>
        <v>0</v>
      </c>
      <c r="V502" s="18">
        <f>IF(tbl_raw[[#This Row],[Payment_Method]]="COD",1,0)</f>
        <v>0</v>
      </c>
      <c r="W502" s="21">
        <f>MIN(1,(tbl_raw[[#This Row],[Discount_Pct]]*1.4)+(tbl_raw[[#This Row],[COD_Flag]]*0.35))</f>
        <v>0.504</v>
      </c>
    </row>
    <row r="503" spans="1:23" ht="22.8" x14ac:dyDescent="0.3">
      <c r="A503" s="22" t="s">
        <v>1372</v>
      </c>
      <c r="B503" s="23" t="s">
        <v>421</v>
      </c>
      <c r="C503" s="23" t="s">
        <v>156</v>
      </c>
      <c r="D503" s="23" t="s">
        <v>175</v>
      </c>
      <c r="E503" s="23" t="s">
        <v>149</v>
      </c>
      <c r="F503" s="23" t="s">
        <v>1373</v>
      </c>
      <c r="G503" s="23" t="s">
        <v>120</v>
      </c>
      <c r="H503" s="23" t="s">
        <v>39</v>
      </c>
      <c r="I503" s="23">
        <v>4</v>
      </c>
      <c r="J503" s="24">
        <v>6587</v>
      </c>
      <c r="K503" s="24">
        <v>3820</v>
      </c>
      <c r="L503" s="25">
        <v>0.42</v>
      </c>
      <c r="M503" s="24">
        <v>3740</v>
      </c>
      <c r="N503" s="24">
        <f>(tbl_raw[[#This Row],[Selling_Price]]-tbl_raw[[#This Row],[Cost_Price]])*tbl_raw[[#This Row],[Units_Sold]]</f>
        <v>320</v>
      </c>
      <c r="O503" s="25">
        <f>IFERROR((tbl_raw[[#This Row],[Selling_Price]]-tbl_raw[[#This Row],[Cost_Price]]) / tbl_raw[[#This Row],[Selling_Price]],0)</f>
        <v>2.0942408376963352E-2</v>
      </c>
      <c r="P503" s="24">
        <v>77</v>
      </c>
      <c r="Q503" s="24">
        <f>tbl_raw[[#This Row],[Gross_Profit]]-(tbl_raw[[#This Row],[Shipping_Cost]]*tbl_raw[[#This Row],[Units_Sold]])</f>
        <v>12</v>
      </c>
      <c r="R503" s="25">
        <f>IFERROR(tbl_raw[[#This Row],[Net_Profit]]/(tbl_raw[[#This Row],[Selling_Price]]*tbl_raw[[#This Row],[Units_Sold]]),0)</f>
        <v>7.8534031413612568E-4</v>
      </c>
      <c r="S503" s="23" t="s">
        <v>107</v>
      </c>
      <c r="T503" s="23" t="s">
        <v>32</v>
      </c>
      <c r="U503" s="23">
        <f>IF(tbl_raw[[#This Row],[Order_Status]]="Returned",1,0)</f>
        <v>0</v>
      </c>
      <c r="V503" s="23">
        <f>IF(tbl_raw[[#This Row],[Payment_Method]]="COD",1,0)</f>
        <v>0</v>
      </c>
      <c r="W503" s="26">
        <f>MIN(1,(tbl_raw[[#This Row],[Discount_Pct]]*1.4)+(tbl_raw[[#This Row],[COD_Flag]]*0.35))</f>
        <v>0.58799999999999997</v>
      </c>
    </row>
    <row r="504" spans="1:23" ht="22.8" x14ac:dyDescent="0.3">
      <c r="A504" s="17" t="s">
        <v>1374</v>
      </c>
      <c r="B504" s="18" t="s">
        <v>1375</v>
      </c>
      <c r="C504" s="18" t="s">
        <v>199</v>
      </c>
      <c r="D504" s="18" t="s">
        <v>44</v>
      </c>
      <c r="E504" s="18" t="s">
        <v>73</v>
      </c>
      <c r="F504" s="18" t="s">
        <v>1376</v>
      </c>
      <c r="G504" s="18" t="s">
        <v>143</v>
      </c>
      <c r="H504" s="18" t="s">
        <v>30</v>
      </c>
      <c r="I504" s="18">
        <v>1</v>
      </c>
      <c r="J504" s="19">
        <v>6007</v>
      </c>
      <c r="K504" s="19">
        <v>5707</v>
      </c>
      <c r="L504" s="20">
        <v>0.05</v>
      </c>
      <c r="M504" s="19">
        <v>2673</v>
      </c>
      <c r="N504" s="19">
        <f>(tbl_raw[[#This Row],[Selling_Price]]-tbl_raw[[#This Row],[Cost_Price]])*tbl_raw[[#This Row],[Units_Sold]]</f>
        <v>3034</v>
      </c>
      <c r="O504" s="20">
        <f>IFERROR((tbl_raw[[#This Row],[Selling_Price]]-tbl_raw[[#This Row],[Cost_Price]]) / tbl_raw[[#This Row],[Selling_Price]],0)</f>
        <v>0.53162782547748377</v>
      </c>
      <c r="P504" s="19">
        <v>134</v>
      </c>
      <c r="Q504" s="19">
        <f>tbl_raw[[#This Row],[Gross_Profit]]-(tbl_raw[[#This Row],[Shipping_Cost]]*tbl_raw[[#This Row],[Units_Sold]])</f>
        <v>2900</v>
      </c>
      <c r="R504" s="20">
        <f>IFERROR(tbl_raw[[#This Row],[Net_Profit]]/(tbl_raw[[#This Row],[Selling_Price]]*tbl_raw[[#This Row],[Units_Sold]]),0)</f>
        <v>0.50814788855791138</v>
      </c>
      <c r="S504" s="18" t="s">
        <v>40</v>
      </c>
      <c r="T504" s="18" t="s">
        <v>32</v>
      </c>
      <c r="U504" s="18">
        <f>IF(tbl_raw[[#This Row],[Order_Status]]="Returned",1,0)</f>
        <v>0</v>
      </c>
      <c r="V504" s="18">
        <f>IF(tbl_raw[[#This Row],[Payment_Method]]="COD",1,0)</f>
        <v>1</v>
      </c>
      <c r="W504" s="21">
        <f>MIN(1,(tbl_raw[[#This Row],[Discount_Pct]]*1.4)+(tbl_raw[[#This Row],[COD_Flag]]*0.35))</f>
        <v>0.42</v>
      </c>
    </row>
    <row r="505" spans="1:23" ht="22.8" x14ac:dyDescent="0.3">
      <c r="A505" s="22" t="s">
        <v>1377</v>
      </c>
      <c r="B505" s="23" t="s">
        <v>497</v>
      </c>
      <c r="C505" s="23" t="s">
        <v>72</v>
      </c>
      <c r="D505" s="23" t="s">
        <v>175</v>
      </c>
      <c r="E505" s="23" t="s">
        <v>354</v>
      </c>
      <c r="F505" s="23" t="s">
        <v>1378</v>
      </c>
      <c r="G505" s="23" t="s">
        <v>75</v>
      </c>
      <c r="H505" s="23" t="s">
        <v>48</v>
      </c>
      <c r="I505" s="23">
        <v>14</v>
      </c>
      <c r="J505" s="24">
        <v>532</v>
      </c>
      <c r="K505" s="24">
        <v>505</v>
      </c>
      <c r="L505" s="25">
        <v>0.05</v>
      </c>
      <c r="M505" s="24">
        <v>360</v>
      </c>
      <c r="N505" s="24">
        <f>(tbl_raw[[#This Row],[Selling_Price]]-tbl_raw[[#This Row],[Cost_Price]])*tbl_raw[[#This Row],[Units_Sold]]</f>
        <v>2030</v>
      </c>
      <c r="O505" s="25">
        <f>IFERROR((tbl_raw[[#This Row],[Selling_Price]]-tbl_raw[[#This Row],[Cost_Price]]) / tbl_raw[[#This Row],[Selling_Price]],0)</f>
        <v>0.28712871287128711</v>
      </c>
      <c r="P505" s="24">
        <v>107</v>
      </c>
      <c r="Q505" s="24">
        <f>tbl_raw[[#This Row],[Gross_Profit]]-(tbl_raw[[#This Row],[Shipping_Cost]]*tbl_raw[[#This Row],[Units_Sold]])</f>
        <v>532</v>
      </c>
      <c r="R505" s="25">
        <f>IFERROR(tbl_raw[[#This Row],[Net_Profit]]/(tbl_raw[[#This Row],[Selling_Price]]*tbl_raw[[#This Row],[Units_Sold]]),0)</f>
        <v>7.5247524752475245E-2</v>
      </c>
      <c r="S505" s="23" t="s">
        <v>58</v>
      </c>
      <c r="T505" s="23" t="s">
        <v>49</v>
      </c>
      <c r="U505" s="23">
        <f>IF(tbl_raw[[#This Row],[Order_Status]]="Returned",1,0)</f>
        <v>0</v>
      </c>
      <c r="V505" s="23">
        <f>IF(tbl_raw[[#This Row],[Payment_Method]]="COD",1,0)</f>
        <v>0</v>
      </c>
      <c r="W505" s="26">
        <f>MIN(1,(tbl_raw[[#This Row],[Discount_Pct]]*1.4)+(tbl_raw[[#This Row],[COD_Flag]]*0.35))</f>
        <v>6.9999999999999993E-2</v>
      </c>
    </row>
    <row r="506" spans="1:23" ht="22.8" x14ac:dyDescent="0.3">
      <c r="A506" s="17" t="s">
        <v>1379</v>
      </c>
      <c r="B506" s="18" t="s">
        <v>1125</v>
      </c>
      <c r="C506" s="18" t="s">
        <v>132</v>
      </c>
      <c r="D506" s="18" t="s">
        <v>53</v>
      </c>
      <c r="E506" s="18" t="s">
        <v>149</v>
      </c>
      <c r="F506" s="18" t="s">
        <v>1380</v>
      </c>
      <c r="G506" s="18" t="s">
        <v>120</v>
      </c>
      <c r="H506" s="18" t="s">
        <v>39</v>
      </c>
      <c r="I506" s="18">
        <v>4</v>
      </c>
      <c r="J506" s="19">
        <v>7377</v>
      </c>
      <c r="K506" s="19">
        <v>6713</v>
      </c>
      <c r="L506" s="20">
        <v>0.09</v>
      </c>
      <c r="M506" s="19">
        <v>5278</v>
      </c>
      <c r="N506" s="19">
        <f>(tbl_raw[[#This Row],[Selling_Price]]-tbl_raw[[#This Row],[Cost_Price]])*tbl_raw[[#This Row],[Units_Sold]]</f>
        <v>5740</v>
      </c>
      <c r="O506" s="20">
        <f>IFERROR((tbl_raw[[#This Row],[Selling_Price]]-tbl_raw[[#This Row],[Cost_Price]]) / tbl_raw[[#This Row],[Selling_Price]],0)</f>
        <v>0.21376433785192908</v>
      </c>
      <c r="P506" s="19">
        <v>58</v>
      </c>
      <c r="Q506" s="19">
        <f>tbl_raw[[#This Row],[Gross_Profit]]-(tbl_raw[[#This Row],[Shipping_Cost]]*tbl_raw[[#This Row],[Units_Sold]])</f>
        <v>5508</v>
      </c>
      <c r="R506" s="20">
        <f>IFERROR(tbl_raw[[#This Row],[Net_Profit]]/(tbl_raw[[#This Row],[Selling_Price]]*tbl_raw[[#This Row],[Units_Sold]]),0)</f>
        <v>0.20512438552063161</v>
      </c>
      <c r="S506" s="18" t="s">
        <v>107</v>
      </c>
      <c r="T506" s="18" t="s">
        <v>32</v>
      </c>
      <c r="U506" s="18">
        <f>IF(tbl_raw[[#This Row],[Order_Status]]="Returned",1,0)</f>
        <v>0</v>
      </c>
      <c r="V506" s="18">
        <f>IF(tbl_raw[[#This Row],[Payment_Method]]="COD",1,0)</f>
        <v>0</v>
      </c>
      <c r="W506" s="21">
        <f>MIN(1,(tbl_raw[[#This Row],[Discount_Pct]]*1.4)+(tbl_raw[[#This Row],[COD_Flag]]*0.35))</f>
        <v>0.126</v>
      </c>
    </row>
    <row r="507" spans="1:23" ht="22.8" x14ac:dyDescent="0.3">
      <c r="A507" s="22" t="s">
        <v>1381</v>
      </c>
      <c r="B507" s="23" t="s">
        <v>917</v>
      </c>
      <c r="C507" s="23" t="s">
        <v>156</v>
      </c>
      <c r="D507" s="23" t="s">
        <v>44</v>
      </c>
      <c r="E507" s="23" t="s">
        <v>279</v>
      </c>
      <c r="F507" s="23" t="s">
        <v>1382</v>
      </c>
      <c r="G507" s="23" t="s">
        <v>38</v>
      </c>
      <c r="H507" s="23" t="s">
        <v>39</v>
      </c>
      <c r="I507" s="23">
        <v>20</v>
      </c>
      <c r="J507" s="24">
        <v>2086</v>
      </c>
      <c r="K507" s="24">
        <v>1544</v>
      </c>
      <c r="L507" s="25">
        <v>0.26</v>
      </c>
      <c r="M507" s="24">
        <v>907</v>
      </c>
      <c r="N507" s="24">
        <f>(tbl_raw[[#This Row],[Selling_Price]]-tbl_raw[[#This Row],[Cost_Price]])*tbl_raw[[#This Row],[Units_Sold]]</f>
        <v>12740</v>
      </c>
      <c r="O507" s="25">
        <f>IFERROR((tbl_raw[[#This Row],[Selling_Price]]-tbl_raw[[#This Row],[Cost_Price]]) / tbl_raw[[#This Row],[Selling_Price]],0)</f>
        <v>0.41256476683937826</v>
      </c>
      <c r="P507" s="24">
        <v>117</v>
      </c>
      <c r="Q507" s="24">
        <f>tbl_raw[[#This Row],[Gross_Profit]]-(tbl_raw[[#This Row],[Shipping_Cost]]*tbl_raw[[#This Row],[Units_Sold]])</f>
        <v>10400</v>
      </c>
      <c r="R507" s="25">
        <f>IFERROR(tbl_raw[[#This Row],[Net_Profit]]/(tbl_raw[[#This Row],[Selling_Price]]*tbl_raw[[#This Row],[Units_Sold]]),0)</f>
        <v>0.33678756476683935</v>
      </c>
      <c r="S507" s="23" t="s">
        <v>58</v>
      </c>
      <c r="T507" s="23" t="s">
        <v>32</v>
      </c>
      <c r="U507" s="23">
        <f>IF(tbl_raw[[#This Row],[Order_Status]]="Returned",1,0)</f>
        <v>0</v>
      </c>
      <c r="V507" s="23">
        <f>IF(tbl_raw[[#This Row],[Payment_Method]]="COD",1,0)</f>
        <v>0</v>
      </c>
      <c r="W507" s="26">
        <f>MIN(1,(tbl_raw[[#This Row],[Discount_Pct]]*1.4)+(tbl_raw[[#This Row],[COD_Flag]]*0.35))</f>
        <v>0.36399999999999999</v>
      </c>
    </row>
    <row r="508" spans="1:23" ht="22.8" x14ac:dyDescent="0.3">
      <c r="A508" s="17" t="s">
        <v>1383</v>
      </c>
      <c r="B508" s="18" t="s">
        <v>478</v>
      </c>
      <c r="C508" s="18" t="s">
        <v>99</v>
      </c>
      <c r="D508" s="18" t="s">
        <v>26</v>
      </c>
      <c r="E508" s="18" t="s">
        <v>125</v>
      </c>
      <c r="F508" s="18" t="s">
        <v>1384</v>
      </c>
      <c r="G508" s="18" t="s">
        <v>38</v>
      </c>
      <c r="H508" s="18" t="s">
        <v>39</v>
      </c>
      <c r="I508" s="18">
        <v>16</v>
      </c>
      <c r="J508" s="19">
        <v>3058</v>
      </c>
      <c r="K508" s="19">
        <v>2232</v>
      </c>
      <c r="L508" s="20">
        <v>0.27</v>
      </c>
      <c r="M508" s="19">
        <v>1694</v>
      </c>
      <c r="N508" s="19">
        <f>(tbl_raw[[#This Row],[Selling_Price]]-tbl_raw[[#This Row],[Cost_Price]])*tbl_raw[[#This Row],[Units_Sold]]</f>
        <v>8608</v>
      </c>
      <c r="O508" s="20">
        <f>IFERROR((tbl_raw[[#This Row],[Selling_Price]]-tbl_raw[[#This Row],[Cost_Price]]) / tbl_raw[[#This Row],[Selling_Price]],0)</f>
        <v>0.24103942652329749</v>
      </c>
      <c r="P508" s="19">
        <v>174</v>
      </c>
      <c r="Q508" s="19">
        <f>tbl_raw[[#This Row],[Gross_Profit]]-(tbl_raw[[#This Row],[Shipping_Cost]]*tbl_raw[[#This Row],[Units_Sold]])</f>
        <v>5824</v>
      </c>
      <c r="R508" s="20">
        <f>IFERROR(tbl_raw[[#This Row],[Net_Profit]]/(tbl_raw[[#This Row],[Selling_Price]]*tbl_raw[[#This Row],[Units_Sold]]),0)</f>
        <v>0.16308243727598568</v>
      </c>
      <c r="S508" s="18" t="s">
        <v>40</v>
      </c>
      <c r="T508" s="18" t="s">
        <v>49</v>
      </c>
      <c r="U508" s="18">
        <f>IF(tbl_raw[[#This Row],[Order_Status]]="Returned",1,0)</f>
        <v>0</v>
      </c>
      <c r="V508" s="18">
        <f>IF(tbl_raw[[#This Row],[Payment_Method]]="COD",1,0)</f>
        <v>1</v>
      </c>
      <c r="W508" s="21">
        <f>MIN(1,(tbl_raw[[#This Row],[Discount_Pct]]*1.4)+(tbl_raw[[#This Row],[COD_Flag]]*0.35))</f>
        <v>0.72799999999999998</v>
      </c>
    </row>
    <row r="509" spans="1:23" ht="22.8" x14ac:dyDescent="0.3">
      <c r="A509" s="22" t="s">
        <v>1385</v>
      </c>
      <c r="B509" s="23" t="s">
        <v>686</v>
      </c>
      <c r="C509" s="23" t="s">
        <v>52</v>
      </c>
      <c r="D509" s="23" t="s">
        <v>94</v>
      </c>
      <c r="E509" s="23" t="s">
        <v>310</v>
      </c>
      <c r="F509" s="23" t="s">
        <v>1386</v>
      </c>
      <c r="G509" s="23" t="s">
        <v>56</v>
      </c>
      <c r="H509" s="23" t="s">
        <v>57</v>
      </c>
      <c r="I509" s="23">
        <v>4</v>
      </c>
      <c r="J509" s="24">
        <v>3834</v>
      </c>
      <c r="K509" s="24">
        <v>2952</v>
      </c>
      <c r="L509" s="25">
        <v>0.23</v>
      </c>
      <c r="M509" s="24">
        <v>2199</v>
      </c>
      <c r="N509" s="24">
        <f>(tbl_raw[[#This Row],[Selling_Price]]-tbl_raw[[#This Row],[Cost_Price]])*tbl_raw[[#This Row],[Units_Sold]]</f>
        <v>3012</v>
      </c>
      <c r="O509" s="25">
        <f>IFERROR((tbl_raw[[#This Row],[Selling_Price]]-tbl_raw[[#This Row],[Cost_Price]]) / tbl_raw[[#This Row],[Selling_Price]],0)</f>
        <v>0.25508130081300812</v>
      </c>
      <c r="P509" s="24">
        <v>84</v>
      </c>
      <c r="Q509" s="24">
        <f>tbl_raw[[#This Row],[Gross_Profit]]-(tbl_raw[[#This Row],[Shipping_Cost]]*tbl_raw[[#This Row],[Units_Sold]])</f>
        <v>2676</v>
      </c>
      <c r="R509" s="25">
        <f>IFERROR(tbl_raw[[#This Row],[Net_Profit]]/(tbl_raw[[#This Row],[Selling_Price]]*tbl_raw[[#This Row],[Units_Sold]]),0)</f>
        <v>0.2266260162601626</v>
      </c>
      <c r="S509" s="23" t="s">
        <v>107</v>
      </c>
      <c r="T509" s="23" t="s">
        <v>32</v>
      </c>
      <c r="U509" s="23">
        <f>IF(tbl_raw[[#This Row],[Order_Status]]="Returned",1,0)</f>
        <v>0</v>
      </c>
      <c r="V509" s="23">
        <f>IF(tbl_raw[[#This Row],[Payment_Method]]="COD",1,0)</f>
        <v>0</v>
      </c>
      <c r="W509" s="26">
        <f>MIN(1,(tbl_raw[[#This Row],[Discount_Pct]]*1.4)+(tbl_raw[[#This Row],[COD_Flag]]*0.35))</f>
        <v>0.32200000000000001</v>
      </c>
    </row>
    <row r="510" spans="1:23" ht="22.8" x14ac:dyDescent="0.3">
      <c r="A510" s="17" t="s">
        <v>1387</v>
      </c>
      <c r="B510" s="18" t="s">
        <v>855</v>
      </c>
      <c r="C510" s="18" t="s">
        <v>89</v>
      </c>
      <c r="D510" s="18" t="s">
        <v>175</v>
      </c>
      <c r="E510" s="18" t="s">
        <v>149</v>
      </c>
      <c r="F510" s="18" t="s">
        <v>1388</v>
      </c>
      <c r="G510" s="18" t="s">
        <v>75</v>
      </c>
      <c r="H510" s="18" t="s">
        <v>48</v>
      </c>
      <c r="I510" s="18">
        <v>20</v>
      </c>
      <c r="J510" s="19">
        <v>5942</v>
      </c>
      <c r="K510" s="19">
        <v>4100</v>
      </c>
      <c r="L510" s="20">
        <v>0.31</v>
      </c>
      <c r="M510" s="19">
        <v>4126</v>
      </c>
      <c r="N510" s="19">
        <f>(tbl_raw[[#This Row],[Selling_Price]]-tbl_raw[[#This Row],[Cost_Price]])*tbl_raw[[#This Row],[Units_Sold]]</f>
        <v>-520</v>
      </c>
      <c r="O510" s="20">
        <f>IFERROR((tbl_raw[[#This Row],[Selling_Price]]-tbl_raw[[#This Row],[Cost_Price]]) / tbl_raw[[#This Row],[Selling_Price]],0)</f>
        <v>-6.3414634146341468E-3</v>
      </c>
      <c r="P510" s="19">
        <v>64</v>
      </c>
      <c r="Q510" s="19">
        <f>tbl_raw[[#This Row],[Gross_Profit]]-(tbl_raw[[#This Row],[Shipping_Cost]]*tbl_raw[[#This Row],[Units_Sold]])</f>
        <v>-1800</v>
      </c>
      <c r="R510" s="20">
        <f>IFERROR(tbl_raw[[#This Row],[Net_Profit]]/(tbl_raw[[#This Row],[Selling_Price]]*tbl_raw[[#This Row],[Units_Sold]]),0)</f>
        <v>-2.1951219512195121E-2</v>
      </c>
      <c r="S510" s="18" t="s">
        <v>31</v>
      </c>
      <c r="T510" s="18" t="s">
        <v>59</v>
      </c>
      <c r="U510" s="18">
        <f>IF(tbl_raw[[#This Row],[Order_Status]]="Returned",1,0)</f>
        <v>0</v>
      </c>
      <c r="V510" s="18">
        <f>IF(tbl_raw[[#This Row],[Payment_Method]]="COD",1,0)</f>
        <v>0</v>
      </c>
      <c r="W510" s="21">
        <f>MIN(1,(tbl_raw[[#This Row],[Discount_Pct]]*1.4)+(tbl_raw[[#This Row],[COD_Flag]]*0.35))</f>
        <v>0.434</v>
      </c>
    </row>
    <row r="511" spans="1:23" ht="22.8" x14ac:dyDescent="0.3">
      <c r="A511" s="22" t="s">
        <v>1389</v>
      </c>
      <c r="B511" s="23" t="s">
        <v>163</v>
      </c>
      <c r="C511" s="23" t="s">
        <v>35</v>
      </c>
      <c r="D511" s="23" t="s">
        <v>175</v>
      </c>
      <c r="E511" s="23" t="s">
        <v>149</v>
      </c>
      <c r="F511" s="23" t="s">
        <v>1390</v>
      </c>
      <c r="G511" s="23" t="s">
        <v>56</v>
      </c>
      <c r="H511" s="23" t="s">
        <v>57</v>
      </c>
      <c r="I511" s="23">
        <v>6</v>
      </c>
      <c r="J511" s="24">
        <v>300</v>
      </c>
      <c r="K511" s="24">
        <v>210</v>
      </c>
      <c r="L511" s="25">
        <v>0.3</v>
      </c>
      <c r="M511" s="24">
        <v>191</v>
      </c>
      <c r="N511" s="24">
        <f>(tbl_raw[[#This Row],[Selling_Price]]-tbl_raw[[#This Row],[Cost_Price]])*tbl_raw[[#This Row],[Units_Sold]]</f>
        <v>114</v>
      </c>
      <c r="O511" s="25">
        <f>IFERROR((tbl_raw[[#This Row],[Selling_Price]]-tbl_raw[[#This Row],[Cost_Price]]) / tbl_raw[[#This Row],[Selling_Price]],0)</f>
        <v>9.0476190476190474E-2</v>
      </c>
      <c r="P511" s="24">
        <v>89</v>
      </c>
      <c r="Q511" s="24">
        <f>tbl_raw[[#This Row],[Gross_Profit]]-(tbl_raw[[#This Row],[Shipping_Cost]]*tbl_raw[[#This Row],[Units_Sold]])</f>
        <v>-420</v>
      </c>
      <c r="R511" s="25">
        <f>IFERROR(tbl_raw[[#This Row],[Net_Profit]]/(tbl_raw[[#This Row],[Selling_Price]]*tbl_raw[[#This Row],[Units_Sold]]),0)</f>
        <v>-0.33333333333333331</v>
      </c>
      <c r="S511" s="23" t="s">
        <v>65</v>
      </c>
      <c r="T511" s="23" t="s">
        <v>32</v>
      </c>
      <c r="U511" s="23">
        <f>IF(tbl_raw[[#This Row],[Order_Status]]="Returned",1,0)</f>
        <v>0</v>
      </c>
      <c r="V511" s="23">
        <f>IF(tbl_raw[[#This Row],[Payment_Method]]="COD",1,0)</f>
        <v>0</v>
      </c>
      <c r="W511" s="26">
        <f>MIN(1,(tbl_raw[[#This Row],[Discount_Pct]]*1.4)+(tbl_raw[[#This Row],[COD_Flag]]*0.35))</f>
        <v>0.42</v>
      </c>
    </row>
    <row r="512" spans="1:23" ht="22.8" x14ac:dyDescent="0.3">
      <c r="A512" s="17" t="s">
        <v>1391</v>
      </c>
      <c r="B512" s="18" t="s">
        <v>1392</v>
      </c>
      <c r="C512" s="18" t="s">
        <v>43</v>
      </c>
      <c r="D512" s="18" t="s">
        <v>78</v>
      </c>
      <c r="E512" s="18" t="s">
        <v>84</v>
      </c>
      <c r="F512" s="18" t="s">
        <v>1393</v>
      </c>
      <c r="G512" s="18" t="s">
        <v>81</v>
      </c>
      <c r="H512" s="18" t="s">
        <v>30</v>
      </c>
      <c r="I512" s="18">
        <v>3</v>
      </c>
      <c r="J512" s="19">
        <v>3037</v>
      </c>
      <c r="K512" s="19">
        <v>2764</v>
      </c>
      <c r="L512" s="20">
        <v>0.09</v>
      </c>
      <c r="M512" s="19">
        <v>1428</v>
      </c>
      <c r="N512" s="19">
        <f>(tbl_raw[[#This Row],[Selling_Price]]-tbl_raw[[#This Row],[Cost_Price]])*tbl_raw[[#This Row],[Units_Sold]]</f>
        <v>4008</v>
      </c>
      <c r="O512" s="20">
        <f>IFERROR((tbl_raw[[#This Row],[Selling_Price]]-tbl_raw[[#This Row],[Cost_Price]]) / tbl_raw[[#This Row],[Selling_Price]],0)</f>
        <v>0.4833574529667149</v>
      </c>
      <c r="P512" s="19">
        <v>157</v>
      </c>
      <c r="Q512" s="19">
        <f>tbl_raw[[#This Row],[Gross_Profit]]-(tbl_raw[[#This Row],[Shipping_Cost]]*tbl_raw[[#This Row],[Units_Sold]])</f>
        <v>3537</v>
      </c>
      <c r="R512" s="20">
        <f>IFERROR(tbl_raw[[#This Row],[Net_Profit]]/(tbl_raw[[#This Row],[Selling_Price]]*tbl_raw[[#This Row],[Units_Sold]]),0)</f>
        <v>0.42655571635311146</v>
      </c>
      <c r="S512" s="18" t="s">
        <v>31</v>
      </c>
      <c r="T512" s="18" t="s">
        <v>59</v>
      </c>
      <c r="U512" s="18">
        <f>IF(tbl_raw[[#This Row],[Order_Status]]="Returned",1,0)</f>
        <v>0</v>
      </c>
      <c r="V512" s="18">
        <f>IF(tbl_raw[[#This Row],[Payment_Method]]="COD",1,0)</f>
        <v>0</v>
      </c>
      <c r="W512" s="21">
        <f>MIN(1,(tbl_raw[[#This Row],[Discount_Pct]]*1.4)+(tbl_raw[[#This Row],[COD_Flag]]*0.35))</f>
        <v>0.126</v>
      </c>
    </row>
    <row r="513" spans="1:23" ht="22.8" x14ac:dyDescent="0.3">
      <c r="A513" s="22" t="s">
        <v>1394</v>
      </c>
      <c r="B513" s="23" t="s">
        <v>527</v>
      </c>
      <c r="C513" s="23" t="s">
        <v>156</v>
      </c>
      <c r="D513" s="23" t="s">
        <v>53</v>
      </c>
      <c r="E513" s="23" t="s">
        <v>54</v>
      </c>
      <c r="F513" s="23" t="s">
        <v>1395</v>
      </c>
      <c r="G513" s="23" t="s">
        <v>143</v>
      </c>
      <c r="H513" s="23" t="s">
        <v>30</v>
      </c>
      <c r="I513" s="23">
        <v>13</v>
      </c>
      <c r="J513" s="24">
        <v>2978</v>
      </c>
      <c r="K513" s="24">
        <v>2085</v>
      </c>
      <c r="L513" s="25">
        <v>0.3</v>
      </c>
      <c r="M513" s="24">
        <v>2182</v>
      </c>
      <c r="N513" s="24">
        <f>(tbl_raw[[#This Row],[Selling_Price]]-tbl_raw[[#This Row],[Cost_Price]])*tbl_raw[[#This Row],[Units_Sold]]</f>
        <v>-1261</v>
      </c>
      <c r="O513" s="25">
        <f>IFERROR((tbl_raw[[#This Row],[Selling_Price]]-tbl_raw[[#This Row],[Cost_Price]]) / tbl_raw[[#This Row],[Selling_Price]],0)</f>
        <v>-4.6522781774580337E-2</v>
      </c>
      <c r="P513" s="24">
        <v>178</v>
      </c>
      <c r="Q513" s="24">
        <f>tbl_raw[[#This Row],[Gross_Profit]]-(tbl_raw[[#This Row],[Shipping_Cost]]*tbl_raw[[#This Row],[Units_Sold]])</f>
        <v>-3575</v>
      </c>
      <c r="R513" s="25">
        <f>IFERROR(tbl_raw[[#This Row],[Net_Profit]]/(tbl_raw[[#This Row],[Selling_Price]]*tbl_raw[[#This Row],[Units_Sold]]),0)</f>
        <v>-0.13189448441247004</v>
      </c>
      <c r="S513" s="23" t="s">
        <v>65</v>
      </c>
      <c r="T513" s="23" t="s">
        <v>86</v>
      </c>
      <c r="U513" s="23">
        <f>IF(tbl_raw[[#This Row],[Order_Status]]="Returned",1,0)</f>
        <v>1</v>
      </c>
      <c r="V513" s="23">
        <f>IF(tbl_raw[[#This Row],[Payment_Method]]="COD",1,0)</f>
        <v>0</v>
      </c>
      <c r="W513" s="26">
        <f>MIN(1,(tbl_raw[[#This Row],[Discount_Pct]]*1.4)+(tbl_raw[[#This Row],[COD_Flag]]*0.35))</f>
        <v>0.42</v>
      </c>
    </row>
    <row r="514" spans="1:23" ht="22.8" x14ac:dyDescent="0.3">
      <c r="A514" s="17" t="s">
        <v>1396</v>
      </c>
      <c r="B514" s="18" t="s">
        <v>701</v>
      </c>
      <c r="C514" s="18" t="s">
        <v>72</v>
      </c>
      <c r="D514" s="18" t="s">
        <v>53</v>
      </c>
      <c r="E514" s="18" t="s">
        <v>90</v>
      </c>
      <c r="F514" s="18" t="s">
        <v>1397</v>
      </c>
      <c r="G514" s="18" t="s">
        <v>29</v>
      </c>
      <c r="H514" s="18" t="s">
        <v>30</v>
      </c>
      <c r="I514" s="18">
        <v>5</v>
      </c>
      <c r="J514" s="19">
        <v>432</v>
      </c>
      <c r="K514" s="19">
        <v>289</v>
      </c>
      <c r="L514" s="20">
        <v>0.33</v>
      </c>
      <c r="M514" s="19">
        <v>298</v>
      </c>
      <c r="N514" s="19">
        <f>(tbl_raw[[#This Row],[Selling_Price]]-tbl_raw[[#This Row],[Cost_Price]])*tbl_raw[[#This Row],[Units_Sold]]</f>
        <v>-45</v>
      </c>
      <c r="O514" s="20">
        <f>IFERROR((tbl_raw[[#This Row],[Selling_Price]]-tbl_raw[[#This Row],[Cost_Price]]) / tbl_raw[[#This Row],[Selling_Price]],0)</f>
        <v>-3.1141868512110725E-2</v>
      </c>
      <c r="P514" s="19">
        <v>105</v>
      </c>
      <c r="Q514" s="19">
        <f>tbl_raw[[#This Row],[Gross_Profit]]-(tbl_raw[[#This Row],[Shipping_Cost]]*tbl_raw[[#This Row],[Units_Sold]])</f>
        <v>-570</v>
      </c>
      <c r="R514" s="20">
        <f>IFERROR(tbl_raw[[#This Row],[Net_Profit]]/(tbl_raw[[#This Row],[Selling_Price]]*tbl_raw[[#This Row],[Units_Sold]]),0)</f>
        <v>-0.3944636678200692</v>
      </c>
      <c r="S514" s="18" t="s">
        <v>58</v>
      </c>
      <c r="T514" s="18" t="s">
        <v>32</v>
      </c>
      <c r="U514" s="18">
        <f>IF(tbl_raw[[#This Row],[Order_Status]]="Returned",1,0)</f>
        <v>0</v>
      </c>
      <c r="V514" s="18">
        <f>IF(tbl_raw[[#This Row],[Payment_Method]]="COD",1,0)</f>
        <v>0</v>
      </c>
      <c r="W514" s="21">
        <f>MIN(1,(tbl_raw[[#This Row],[Discount_Pct]]*1.4)+(tbl_raw[[#This Row],[COD_Flag]]*0.35))</f>
        <v>0.46199999999999997</v>
      </c>
    </row>
    <row r="515" spans="1:23" ht="22.8" x14ac:dyDescent="0.3">
      <c r="A515" s="22" t="s">
        <v>1398</v>
      </c>
      <c r="B515" s="23" t="s">
        <v>839</v>
      </c>
      <c r="C515" s="23" t="s">
        <v>25</v>
      </c>
      <c r="D515" s="23" t="s">
        <v>164</v>
      </c>
      <c r="E515" s="23" t="s">
        <v>413</v>
      </c>
      <c r="F515" s="23" t="s">
        <v>1399</v>
      </c>
      <c r="G515" s="23" t="s">
        <v>102</v>
      </c>
      <c r="H515" s="23" t="s">
        <v>39</v>
      </c>
      <c r="I515" s="23">
        <v>4</v>
      </c>
      <c r="J515" s="24">
        <v>6129</v>
      </c>
      <c r="K515" s="24">
        <v>4290</v>
      </c>
      <c r="L515" s="25">
        <v>0.3</v>
      </c>
      <c r="M515" s="24">
        <v>3567</v>
      </c>
      <c r="N515" s="24">
        <f>(tbl_raw[[#This Row],[Selling_Price]]-tbl_raw[[#This Row],[Cost_Price]])*tbl_raw[[#This Row],[Units_Sold]]</f>
        <v>2892</v>
      </c>
      <c r="O515" s="25">
        <f>IFERROR((tbl_raw[[#This Row],[Selling_Price]]-tbl_raw[[#This Row],[Cost_Price]]) / tbl_raw[[#This Row],[Selling_Price]],0)</f>
        <v>0.16853146853146853</v>
      </c>
      <c r="P515" s="24">
        <v>104</v>
      </c>
      <c r="Q515" s="24">
        <f>tbl_raw[[#This Row],[Gross_Profit]]-(tbl_raw[[#This Row],[Shipping_Cost]]*tbl_raw[[#This Row],[Units_Sold]])</f>
        <v>2476</v>
      </c>
      <c r="R515" s="25">
        <f>IFERROR(tbl_raw[[#This Row],[Net_Profit]]/(tbl_raw[[#This Row],[Selling_Price]]*tbl_raw[[#This Row],[Units_Sold]]),0)</f>
        <v>0.14428904428904429</v>
      </c>
      <c r="S515" s="23" t="s">
        <v>31</v>
      </c>
      <c r="T515" s="23" t="s">
        <v>32</v>
      </c>
      <c r="U515" s="23">
        <f>IF(tbl_raw[[#This Row],[Order_Status]]="Returned",1,0)</f>
        <v>0</v>
      </c>
      <c r="V515" s="23">
        <f>IF(tbl_raw[[#This Row],[Payment_Method]]="COD",1,0)</f>
        <v>0</v>
      </c>
      <c r="W515" s="26">
        <f>MIN(1,(tbl_raw[[#This Row],[Discount_Pct]]*1.4)+(tbl_raw[[#This Row],[COD_Flag]]*0.35))</f>
        <v>0.42</v>
      </c>
    </row>
    <row r="516" spans="1:23" ht="22.8" x14ac:dyDescent="0.3">
      <c r="A516" s="17" t="s">
        <v>1400</v>
      </c>
      <c r="B516" s="18" t="s">
        <v>381</v>
      </c>
      <c r="C516" s="18" t="s">
        <v>117</v>
      </c>
      <c r="D516" s="18" t="s">
        <v>53</v>
      </c>
      <c r="E516" s="18" t="s">
        <v>54</v>
      </c>
      <c r="F516" s="18" t="s">
        <v>1401</v>
      </c>
      <c r="G516" s="18" t="s">
        <v>38</v>
      </c>
      <c r="H516" s="18" t="s">
        <v>39</v>
      </c>
      <c r="I516" s="18">
        <v>18</v>
      </c>
      <c r="J516" s="19">
        <v>338</v>
      </c>
      <c r="K516" s="19">
        <v>223</v>
      </c>
      <c r="L516" s="20">
        <v>0.34</v>
      </c>
      <c r="M516" s="19">
        <v>252</v>
      </c>
      <c r="N516" s="19">
        <f>(tbl_raw[[#This Row],[Selling_Price]]-tbl_raw[[#This Row],[Cost_Price]])*tbl_raw[[#This Row],[Units_Sold]]</f>
        <v>-522</v>
      </c>
      <c r="O516" s="20">
        <f>IFERROR((tbl_raw[[#This Row],[Selling_Price]]-tbl_raw[[#This Row],[Cost_Price]]) / tbl_raw[[#This Row],[Selling_Price]],0)</f>
        <v>-0.13004484304932734</v>
      </c>
      <c r="P516" s="19">
        <v>162</v>
      </c>
      <c r="Q516" s="19">
        <f>tbl_raw[[#This Row],[Gross_Profit]]-(tbl_raw[[#This Row],[Shipping_Cost]]*tbl_raw[[#This Row],[Units_Sold]])</f>
        <v>-3438</v>
      </c>
      <c r="R516" s="20">
        <f>IFERROR(tbl_raw[[#This Row],[Net_Profit]]/(tbl_raw[[#This Row],[Selling_Price]]*tbl_raw[[#This Row],[Units_Sold]]),0)</f>
        <v>-0.8565022421524664</v>
      </c>
      <c r="S516" s="18" t="s">
        <v>58</v>
      </c>
      <c r="T516" s="18" t="s">
        <v>32</v>
      </c>
      <c r="U516" s="18">
        <f>IF(tbl_raw[[#This Row],[Order_Status]]="Returned",1,0)</f>
        <v>0</v>
      </c>
      <c r="V516" s="18">
        <f>IF(tbl_raw[[#This Row],[Payment_Method]]="COD",1,0)</f>
        <v>0</v>
      </c>
      <c r="W516" s="21">
        <f>MIN(1,(tbl_raw[[#This Row],[Discount_Pct]]*1.4)+(tbl_raw[[#This Row],[COD_Flag]]*0.35))</f>
        <v>0.47599999999999998</v>
      </c>
    </row>
    <row r="517" spans="1:23" ht="22.8" x14ac:dyDescent="0.3">
      <c r="A517" s="22" t="s">
        <v>1402</v>
      </c>
      <c r="B517" s="23" t="s">
        <v>375</v>
      </c>
      <c r="C517" s="23" t="s">
        <v>52</v>
      </c>
      <c r="D517" s="23" t="s">
        <v>62</v>
      </c>
      <c r="E517" s="23" t="s">
        <v>110</v>
      </c>
      <c r="F517" s="23" t="s">
        <v>1403</v>
      </c>
      <c r="G517" s="23" t="s">
        <v>81</v>
      </c>
      <c r="H517" s="23" t="s">
        <v>30</v>
      </c>
      <c r="I517" s="23">
        <v>18</v>
      </c>
      <c r="J517" s="24">
        <v>5343</v>
      </c>
      <c r="K517" s="24">
        <v>3473</v>
      </c>
      <c r="L517" s="25">
        <v>0.35</v>
      </c>
      <c r="M517" s="24">
        <v>3792</v>
      </c>
      <c r="N517" s="24">
        <f>(tbl_raw[[#This Row],[Selling_Price]]-tbl_raw[[#This Row],[Cost_Price]])*tbl_raw[[#This Row],[Units_Sold]]</f>
        <v>-5742</v>
      </c>
      <c r="O517" s="25">
        <f>IFERROR((tbl_raw[[#This Row],[Selling_Price]]-tbl_raw[[#This Row],[Cost_Price]]) / tbl_raw[[#This Row],[Selling_Price]],0)</f>
        <v>-9.1851425280737115E-2</v>
      </c>
      <c r="P517" s="24">
        <v>55</v>
      </c>
      <c r="Q517" s="24">
        <f>tbl_raw[[#This Row],[Gross_Profit]]-(tbl_raw[[#This Row],[Shipping_Cost]]*tbl_raw[[#This Row],[Units_Sold]])</f>
        <v>-6732</v>
      </c>
      <c r="R517" s="25">
        <f>IFERROR(tbl_raw[[#This Row],[Net_Profit]]/(tbl_raw[[#This Row],[Selling_Price]]*tbl_raw[[#This Row],[Units_Sold]]),0)</f>
        <v>-0.10768787791534697</v>
      </c>
      <c r="S517" s="23" t="s">
        <v>31</v>
      </c>
      <c r="T517" s="23" t="s">
        <v>32</v>
      </c>
      <c r="U517" s="23">
        <f>IF(tbl_raw[[#This Row],[Order_Status]]="Returned",1,0)</f>
        <v>0</v>
      </c>
      <c r="V517" s="23">
        <f>IF(tbl_raw[[#This Row],[Payment_Method]]="COD",1,0)</f>
        <v>0</v>
      </c>
      <c r="W517" s="26">
        <f>MIN(1,(tbl_raw[[#This Row],[Discount_Pct]]*1.4)+(tbl_raw[[#This Row],[COD_Flag]]*0.35))</f>
        <v>0.48999999999999994</v>
      </c>
    </row>
    <row r="518" spans="1:23" ht="22.8" x14ac:dyDescent="0.3">
      <c r="A518" s="17" t="s">
        <v>1404</v>
      </c>
      <c r="B518" s="18" t="s">
        <v>500</v>
      </c>
      <c r="C518" s="18" t="s">
        <v>117</v>
      </c>
      <c r="D518" s="18" t="s">
        <v>175</v>
      </c>
      <c r="E518" s="18" t="s">
        <v>176</v>
      </c>
      <c r="F518" s="18" t="s">
        <v>1405</v>
      </c>
      <c r="G518" s="18" t="s">
        <v>75</v>
      </c>
      <c r="H518" s="18" t="s">
        <v>48</v>
      </c>
      <c r="I518" s="18">
        <v>18</v>
      </c>
      <c r="J518" s="19">
        <v>5546</v>
      </c>
      <c r="K518" s="19">
        <v>4104</v>
      </c>
      <c r="L518" s="20">
        <v>0.26</v>
      </c>
      <c r="M518" s="19">
        <v>3142</v>
      </c>
      <c r="N518" s="19">
        <f>(tbl_raw[[#This Row],[Selling_Price]]-tbl_raw[[#This Row],[Cost_Price]])*tbl_raw[[#This Row],[Units_Sold]]</f>
        <v>17316</v>
      </c>
      <c r="O518" s="20">
        <f>IFERROR((tbl_raw[[#This Row],[Selling_Price]]-tbl_raw[[#This Row],[Cost_Price]]) / tbl_raw[[#This Row],[Selling_Price]],0)</f>
        <v>0.23440545808966862</v>
      </c>
      <c r="P518" s="19">
        <v>158</v>
      </c>
      <c r="Q518" s="19">
        <f>tbl_raw[[#This Row],[Gross_Profit]]-(tbl_raw[[#This Row],[Shipping_Cost]]*tbl_raw[[#This Row],[Units_Sold]])</f>
        <v>14472</v>
      </c>
      <c r="R518" s="20">
        <f>IFERROR(tbl_raw[[#This Row],[Net_Profit]]/(tbl_raw[[#This Row],[Selling_Price]]*tbl_raw[[#This Row],[Units_Sold]]),0)</f>
        <v>0.195906432748538</v>
      </c>
      <c r="S518" s="18" t="s">
        <v>65</v>
      </c>
      <c r="T518" s="18" t="s">
        <v>32</v>
      </c>
      <c r="U518" s="18">
        <f>IF(tbl_raw[[#This Row],[Order_Status]]="Returned",1,0)</f>
        <v>0</v>
      </c>
      <c r="V518" s="18">
        <f>IF(tbl_raw[[#This Row],[Payment_Method]]="COD",1,0)</f>
        <v>0</v>
      </c>
      <c r="W518" s="21">
        <f>MIN(1,(tbl_raw[[#This Row],[Discount_Pct]]*1.4)+(tbl_raw[[#This Row],[COD_Flag]]*0.35))</f>
        <v>0.36399999999999999</v>
      </c>
    </row>
    <row r="519" spans="1:23" ht="22.8" x14ac:dyDescent="0.3">
      <c r="A519" s="22" t="s">
        <v>1406</v>
      </c>
      <c r="B519" s="23" t="s">
        <v>210</v>
      </c>
      <c r="C519" s="23" t="s">
        <v>199</v>
      </c>
      <c r="D519" s="23" t="s">
        <v>44</v>
      </c>
      <c r="E519" s="23" t="s">
        <v>279</v>
      </c>
      <c r="F519" s="23" t="s">
        <v>1407</v>
      </c>
      <c r="G519" s="23" t="s">
        <v>139</v>
      </c>
      <c r="H519" s="23" t="s">
        <v>48</v>
      </c>
      <c r="I519" s="23">
        <v>1</v>
      </c>
      <c r="J519" s="24">
        <v>4806</v>
      </c>
      <c r="K519" s="24">
        <v>4518</v>
      </c>
      <c r="L519" s="25">
        <v>0.06</v>
      </c>
      <c r="M519" s="24">
        <v>2539</v>
      </c>
      <c r="N519" s="24">
        <f>(tbl_raw[[#This Row],[Selling_Price]]-tbl_raw[[#This Row],[Cost_Price]])*tbl_raw[[#This Row],[Units_Sold]]</f>
        <v>1979</v>
      </c>
      <c r="O519" s="25">
        <f>IFERROR((tbl_raw[[#This Row],[Selling_Price]]-tbl_raw[[#This Row],[Cost_Price]]) / tbl_raw[[#This Row],[Selling_Price]],0)</f>
        <v>0.43802567507746792</v>
      </c>
      <c r="P519" s="24">
        <v>151</v>
      </c>
      <c r="Q519" s="24">
        <f>tbl_raw[[#This Row],[Gross_Profit]]-(tbl_raw[[#This Row],[Shipping_Cost]]*tbl_raw[[#This Row],[Units_Sold]])</f>
        <v>1828</v>
      </c>
      <c r="R519" s="25">
        <f>IFERROR(tbl_raw[[#This Row],[Net_Profit]]/(tbl_raw[[#This Row],[Selling_Price]]*tbl_raw[[#This Row],[Units_Sold]]),0)</f>
        <v>0.40460380699424525</v>
      </c>
      <c r="S519" s="23" t="s">
        <v>65</v>
      </c>
      <c r="T519" s="23" t="s">
        <v>49</v>
      </c>
      <c r="U519" s="23">
        <f>IF(tbl_raw[[#This Row],[Order_Status]]="Returned",1,0)</f>
        <v>0</v>
      </c>
      <c r="V519" s="23">
        <f>IF(tbl_raw[[#This Row],[Payment_Method]]="COD",1,0)</f>
        <v>0</v>
      </c>
      <c r="W519" s="26">
        <f>MIN(1,(tbl_raw[[#This Row],[Discount_Pct]]*1.4)+(tbl_raw[[#This Row],[COD_Flag]]*0.35))</f>
        <v>8.3999999999999991E-2</v>
      </c>
    </row>
    <row r="520" spans="1:23" ht="22.8" x14ac:dyDescent="0.3">
      <c r="A520" s="17" t="s">
        <v>1408</v>
      </c>
      <c r="B520" s="18" t="s">
        <v>643</v>
      </c>
      <c r="C520" s="18" t="s">
        <v>89</v>
      </c>
      <c r="D520" s="18" t="s">
        <v>175</v>
      </c>
      <c r="E520" s="18" t="s">
        <v>149</v>
      </c>
      <c r="F520" s="18" t="s">
        <v>1409</v>
      </c>
      <c r="G520" s="18" t="s">
        <v>56</v>
      </c>
      <c r="H520" s="18" t="s">
        <v>57</v>
      </c>
      <c r="I520" s="18">
        <v>14</v>
      </c>
      <c r="J520" s="19">
        <v>2940</v>
      </c>
      <c r="K520" s="19">
        <v>2058</v>
      </c>
      <c r="L520" s="20">
        <v>0.3</v>
      </c>
      <c r="M520" s="19">
        <v>1431</v>
      </c>
      <c r="N520" s="19">
        <f>(tbl_raw[[#This Row],[Selling_Price]]-tbl_raw[[#This Row],[Cost_Price]])*tbl_raw[[#This Row],[Units_Sold]]</f>
        <v>8778</v>
      </c>
      <c r="O520" s="20">
        <f>IFERROR((tbl_raw[[#This Row],[Selling_Price]]-tbl_raw[[#This Row],[Cost_Price]]) / tbl_raw[[#This Row],[Selling_Price]],0)</f>
        <v>0.30466472303206998</v>
      </c>
      <c r="P520" s="19">
        <v>127</v>
      </c>
      <c r="Q520" s="19">
        <f>tbl_raw[[#This Row],[Gross_Profit]]-(tbl_raw[[#This Row],[Shipping_Cost]]*tbl_raw[[#This Row],[Units_Sold]])</f>
        <v>7000</v>
      </c>
      <c r="R520" s="20">
        <f>IFERROR(tbl_raw[[#This Row],[Net_Profit]]/(tbl_raw[[#This Row],[Selling_Price]]*tbl_raw[[#This Row],[Units_Sold]]),0)</f>
        <v>0.24295432458697766</v>
      </c>
      <c r="S520" s="18" t="s">
        <v>65</v>
      </c>
      <c r="T520" s="18" t="s">
        <v>32</v>
      </c>
      <c r="U520" s="18">
        <f>IF(tbl_raw[[#This Row],[Order_Status]]="Returned",1,0)</f>
        <v>0</v>
      </c>
      <c r="V520" s="18">
        <f>IF(tbl_raw[[#This Row],[Payment_Method]]="COD",1,0)</f>
        <v>0</v>
      </c>
      <c r="W520" s="21">
        <f>MIN(1,(tbl_raw[[#This Row],[Discount_Pct]]*1.4)+(tbl_raw[[#This Row],[COD_Flag]]*0.35))</f>
        <v>0.42</v>
      </c>
    </row>
    <row r="521" spans="1:23" ht="22.8" x14ac:dyDescent="0.3">
      <c r="A521" s="22" t="s">
        <v>1410</v>
      </c>
      <c r="B521" s="23" t="s">
        <v>1411</v>
      </c>
      <c r="C521" s="23" t="s">
        <v>99</v>
      </c>
      <c r="D521" s="23" t="s">
        <v>44</v>
      </c>
      <c r="E521" s="23" t="s">
        <v>73</v>
      </c>
      <c r="F521" s="23" t="s">
        <v>1412</v>
      </c>
      <c r="G521" s="23" t="s">
        <v>38</v>
      </c>
      <c r="H521" s="23" t="s">
        <v>39</v>
      </c>
      <c r="I521" s="23">
        <v>11</v>
      </c>
      <c r="J521" s="24">
        <v>492</v>
      </c>
      <c r="K521" s="24">
        <v>344</v>
      </c>
      <c r="L521" s="25">
        <v>0.3</v>
      </c>
      <c r="M521" s="24">
        <v>270</v>
      </c>
      <c r="N521" s="24">
        <f>(tbl_raw[[#This Row],[Selling_Price]]-tbl_raw[[#This Row],[Cost_Price]])*tbl_raw[[#This Row],[Units_Sold]]</f>
        <v>814</v>
      </c>
      <c r="O521" s="25">
        <f>IFERROR((tbl_raw[[#This Row],[Selling_Price]]-tbl_raw[[#This Row],[Cost_Price]]) / tbl_raw[[#This Row],[Selling_Price]],0)</f>
        <v>0.21511627906976744</v>
      </c>
      <c r="P521" s="24">
        <v>107</v>
      </c>
      <c r="Q521" s="24">
        <f>tbl_raw[[#This Row],[Gross_Profit]]-(tbl_raw[[#This Row],[Shipping_Cost]]*tbl_raw[[#This Row],[Units_Sold]])</f>
        <v>-363</v>
      </c>
      <c r="R521" s="25">
        <f>IFERROR(tbl_raw[[#This Row],[Net_Profit]]/(tbl_raw[[#This Row],[Selling_Price]]*tbl_raw[[#This Row],[Units_Sold]]),0)</f>
        <v>-9.5930232558139539E-2</v>
      </c>
      <c r="S521" s="23" t="s">
        <v>31</v>
      </c>
      <c r="T521" s="23" t="s">
        <v>32</v>
      </c>
      <c r="U521" s="23">
        <f>IF(tbl_raw[[#This Row],[Order_Status]]="Returned",1,0)</f>
        <v>0</v>
      </c>
      <c r="V521" s="23">
        <f>IF(tbl_raw[[#This Row],[Payment_Method]]="COD",1,0)</f>
        <v>0</v>
      </c>
      <c r="W521" s="26">
        <f>MIN(1,(tbl_raw[[#This Row],[Discount_Pct]]*1.4)+(tbl_raw[[#This Row],[COD_Flag]]*0.35))</f>
        <v>0.42</v>
      </c>
    </row>
    <row r="522" spans="1:23" ht="22.8" x14ac:dyDescent="0.3">
      <c r="A522" s="17" t="s">
        <v>1413</v>
      </c>
      <c r="B522" s="18" t="s">
        <v>435</v>
      </c>
      <c r="C522" s="18" t="s">
        <v>199</v>
      </c>
      <c r="D522" s="18" t="s">
        <v>44</v>
      </c>
      <c r="E522" s="18" t="s">
        <v>275</v>
      </c>
      <c r="F522" s="18" t="s">
        <v>1414</v>
      </c>
      <c r="G522" s="18" t="s">
        <v>47</v>
      </c>
      <c r="H522" s="18" t="s">
        <v>48</v>
      </c>
      <c r="I522" s="18">
        <v>11</v>
      </c>
      <c r="J522" s="19">
        <v>4666</v>
      </c>
      <c r="K522" s="19">
        <v>2986</v>
      </c>
      <c r="L522" s="20">
        <v>0.36</v>
      </c>
      <c r="M522" s="19">
        <v>2030</v>
      </c>
      <c r="N522" s="19">
        <f>(tbl_raw[[#This Row],[Selling_Price]]-tbl_raw[[#This Row],[Cost_Price]])*tbl_raw[[#This Row],[Units_Sold]]</f>
        <v>10516</v>
      </c>
      <c r="O522" s="20">
        <f>IFERROR((tbl_raw[[#This Row],[Selling_Price]]-tbl_raw[[#This Row],[Cost_Price]]) / tbl_raw[[#This Row],[Selling_Price]],0)</f>
        <v>0.3201607501674481</v>
      </c>
      <c r="P522" s="19">
        <v>131</v>
      </c>
      <c r="Q522" s="19">
        <f>tbl_raw[[#This Row],[Gross_Profit]]-(tbl_raw[[#This Row],[Shipping_Cost]]*tbl_raw[[#This Row],[Units_Sold]])</f>
        <v>9075</v>
      </c>
      <c r="R522" s="20">
        <f>IFERROR(tbl_raw[[#This Row],[Net_Profit]]/(tbl_raw[[#This Row],[Selling_Price]]*tbl_raw[[#This Row],[Units_Sold]]),0)</f>
        <v>0.27628935030140656</v>
      </c>
      <c r="S522" s="18" t="s">
        <v>107</v>
      </c>
      <c r="T522" s="18" t="s">
        <v>86</v>
      </c>
      <c r="U522" s="18">
        <f>IF(tbl_raw[[#This Row],[Order_Status]]="Returned",1,0)</f>
        <v>1</v>
      </c>
      <c r="V522" s="18">
        <f>IF(tbl_raw[[#This Row],[Payment_Method]]="COD",1,0)</f>
        <v>0</v>
      </c>
      <c r="W522" s="21">
        <f>MIN(1,(tbl_raw[[#This Row],[Discount_Pct]]*1.4)+(tbl_raw[[#This Row],[COD_Flag]]*0.35))</f>
        <v>0.504</v>
      </c>
    </row>
    <row r="523" spans="1:23" ht="22.8" x14ac:dyDescent="0.3">
      <c r="A523" s="22" t="s">
        <v>1415</v>
      </c>
      <c r="B523" s="23" t="s">
        <v>839</v>
      </c>
      <c r="C523" s="23" t="s">
        <v>25</v>
      </c>
      <c r="D523" s="23" t="s">
        <v>164</v>
      </c>
      <c r="E523" s="23" t="s">
        <v>345</v>
      </c>
      <c r="F523" s="23" t="s">
        <v>1416</v>
      </c>
      <c r="G523" s="23" t="s">
        <v>56</v>
      </c>
      <c r="H523" s="23" t="s">
        <v>57</v>
      </c>
      <c r="I523" s="23">
        <v>14</v>
      </c>
      <c r="J523" s="24">
        <v>1774</v>
      </c>
      <c r="K523" s="24">
        <v>1260</v>
      </c>
      <c r="L523" s="25">
        <v>0.28999999999999998</v>
      </c>
      <c r="M523" s="24">
        <v>1314</v>
      </c>
      <c r="N523" s="24">
        <f>(tbl_raw[[#This Row],[Selling_Price]]-tbl_raw[[#This Row],[Cost_Price]])*tbl_raw[[#This Row],[Units_Sold]]</f>
        <v>-756</v>
      </c>
      <c r="O523" s="25">
        <f>IFERROR((tbl_raw[[#This Row],[Selling_Price]]-tbl_raw[[#This Row],[Cost_Price]]) / tbl_raw[[#This Row],[Selling_Price]],0)</f>
        <v>-4.2857142857142858E-2</v>
      </c>
      <c r="P523" s="24">
        <v>41</v>
      </c>
      <c r="Q523" s="24">
        <f>tbl_raw[[#This Row],[Gross_Profit]]-(tbl_raw[[#This Row],[Shipping_Cost]]*tbl_raw[[#This Row],[Units_Sold]])</f>
        <v>-1330</v>
      </c>
      <c r="R523" s="25">
        <f>IFERROR(tbl_raw[[#This Row],[Net_Profit]]/(tbl_raw[[#This Row],[Selling_Price]]*tbl_raw[[#This Row],[Units_Sold]]),0)</f>
        <v>-7.5396825396825393E-2</v>
      </c>
      <c r="S523" s="23" t="s">
        <v>65</v>
      </c>
      <c r="T523" s="23" t="s">
        <v>32</v>
      </c>
      <c r="U523" s="23">
        <f>IF(tbl_raw[[#This Row],[Order_Status]]="Returned",1,0)</f>
        <v>0</v>
      </c>
      <c r="V523" s="23">
        <f>IF(tbl_raw[[#This Row],[Payment_Method]]="COD",1,0)</f>
        <v>0</v>
      </c>
      <c r="W523" s="26">
        <f>MIN(1,(tbl_raw[[#This Row],[Discount_Pct]]*1.4)+(tbl_raw[[#This Row],[COD_Flag]]*0.35))</f>
        <v>0.40599999999999997</v>
      </c>
    </row>
    <row r="524" spans="1:23" ht="22.8" x14ac:dyDescent="0.3">
      <c r="A524" s="17" t="s">
        <v>1417</v>
      </c>
      <c r="B524" s="18" t="s">
        <v>540</v>
      </c>
      <c r="C524" s="18" t="s">
        <v>99</v>
      </c>
      <c r="D524" s="18" t="s">
        <v>78</v>
      </c>
      <c r="E524" s="18" t="s">
        <v>118</v>
      </c>
      <c r="F524" s="18" t="s">
        <v>1418</v>
      </c>
      <c r="G524" s="18" t="s">
        <v>120</v>
      </c>
      <c r="H524" s="18" t="s">
        <v>39</v>
      </c>
      <c r="I524" s="18">
        <v>19</v>
      </c>
      <c r="J524" s="19">
        <v>939</v>
      </c>
      <c r="K524" s="19">
        <v>798</v>
      </c>
      <c r="L524" s="20">
        <v>0.15</v>
      </c>
      <c r="M524" s="19">
        <v>398</v>
      </c>
      <c r="N524" s="19">
        <f>(tbl_raw[[#This Row],[Selling_Price]]-tbl_raw[[#This Row],[Cost_Price]])*tbl_raw[[#This Row],[Units_Sold]]</f>
        <v>7600</v>
      </c>
      <c r="O524" s="20">
        <f>IFERROR((tbl_raw[[#This Row],[Selling_Price]]-tbl_raw[[#This Row],[Cost_Price]]) / tbl_raw[[#This Row],[Selling_Price]],0)</f>
        <v>0.50125313283208017</v>
      </c>
      <c r="P524" s="19">
        <v>150</v>
      </c>
      <c r="Q524" s="19">
        <f>tbl_raw[[#This Row],[Gross_Profit]]-(tbl_raw[[#This Row],[Shipping_Cost]]*tbl_raw[[#This Row],[Units_Sold]])</f>
        <v>4750</v>
      </c>
      <c r="R524" s="20">
        <f>IFERROR(tbl_raw[[#This Row],[Net_Profit]]/(tbl_raw[[#This Row],[Selling_Price]]*tbl_raw[[#This Row],[Units_Sold]]),0)</f>
        <v>0.31328320802005011</v>
      </c>
      <c r="S524" s="18" t="s">
        <v>31</v>
      </c>
      <c r="T524" s="18" t="s">
        <v>32</v>
      </c>
      <c r="U524" s="18">
        <f>IF(tbl_raw[[#This Row],[Order_Status]]="Returned",1,0)</f>
        <v>0</v>
      </c>
      <c r="V524" s="18">
        <f>IF(tbl_raw[[#This Row],[Payment_Method]]="COD",1,0)</f>
        <v>0</v>
      </c>
      <c r="W524" s="21">
        <f>MIN(1,(tbl_raw[[#This Row],[Discount_Pct]]*1.4)+(tbl_raw[[#This Row],[COD_Flag]]*0.35))</f>
        <v>0.21</v>
      </c>
    </row>
    <row r="525" spans="1:23" ht="22.8" x14ac:dyDescent="0.3">
      <c r="A525" s="22" t="s">
        <v>1419</v>
      </c>
      <c r="B525" s="23" t="s">
        <v>1420</v>
      </c>
      <c r="C525" s="23" t="s">
        <v>72</v>
      </c>
      <c r="D525" s="23" t="s">
        <v>53</v>
      </c>
      <c r="E525" s="23" t="s">
        <v>54</v>
      </c>
      <c r="F525" s="23" t="s">
        <v>1421</v>
      </c>
      <c r="G525" s="23" t="s">
        <v>143</v>
      </c>
      <c r="H525" s="23" t="s">
        <v>30</v>
      </c>
      <c r="I525" s="23">
        <v>14</v>
      </c>
      <c r="J525" s="24">
        <v>5375</v>
      </c>
      <c r="K525" s="24">
        <v>4622</v>
      </c>
      <c r="L525" s="25">
        <v>0.14000000000000001</v>
      </c>
      <c r="M525" s="24">
        <v>2929</v>
      </c>
      <c r="N525" s="24">
        <f>(tbl_raw[[#This Row],[Selling_Price]]-tbl_raw[[#This Row],[Cost_Price]])*tbl_raw[[#This Row],[Units_Sold]]</f>
        <v>23702</v>
      </c>
      <c r="O525" s="25">
        <f>IFERROR((tbl_raw[[#This Row],[Selling_Price]]-tbl_raw[[#This Row],[Cost_Price]]) / tbl_raw[[#This Row],[Selling_Price]],0)</f>
        <v>0.36629164863695368</v>
      </c>
      <c r="P525" s="24">
        <v>68</v>
      </c>
      <c r="Q525" s="24">
        <f>tbl_raw[[#This Row],[Gross_Profit]]-(tbl_raw[[#This Row],[Shipping_Cost]]*tbl_raw[[#This Row],[Units_Sold]])</f>
        <v>22750</v>
      </c>
      <c r="R525" s="25">
        <f>IFERROR(tbl_raw[[#This Row],[Net_Profit]]/(tbl_raw[[#This Row],[Selling_Price]]*tbl_raw[[#This Row],[Units_Sold]]),0)</f>
        <v>0.35157940285590655</v>
      </c>
      <c r="S525" s="23" t="s">
        <v>65</v>
      </c>
      <c r="T525" s="23" t="s">
        <v>86</v>
      </c>
      <c r="U525" s="23">
        <f>IF(tbl_raw[[#This Row],[Order_Status]]="Returned",1,0)</f>
        <v>1</v>
      </c>
      <c r="V525" s="23">
        <f>IF(tbl_raw[[#This Row],[Payment_Method]]="COD",1,0)</f>
        <v>0</v>
      </c>
      <c r="W525" s="26">
        <f>MIN(1,(tbl_raw[[#This Row],[Discount_Pct]]*1.4)+(tbl_raw[[#This Row],[COD_Flag]]*0.35))</f>
        <v>0.19600000000000001</v>
      </c>
    </row>
    <row r="526" spans="1:23" ht="22.8" x14ac:dyDescent="0.3">
      <c r="A526" s="17" t="s">
        <v>1422</v>
      </c>
      <c r="B526" s="18" t="s">
        <v>1130</v>
      </c>
      <c r="C526" s="18" t="s">
        <v>43</v>
      </c>
      <c r="D526" s="18" t="s">
        <v>164</v>
      </c>
      <c r="E526" s="18" t="s">
        <v>345</v>
      </c>
      <c r="F526" s="18" t="s">
        <v>1423</v>
      </c>
      <c r="G526" s="18" t="s">
        <v>29</v>
      </c>
      <c r="H526" s="18" t="s">
        <v>30</v>
      </c>
      <c r="I526" s="18">
        <v>15</v>
      </c>
      <c r="J526" s="19">
        <v>2290</v>
      </c>
      <c r="K526" s="19">
        <v>1626</v>
      </c>
      <c r="L526" s="20">
        <v>0.28999999999999998</v>
      </c>
      <c r="M526" s="19">
        <v>1564</v>
      </c>
      <c r="N526" s="19">
        <f>(tbl_raw[[#This Row],[Selling_Price]]-tbl_raw[[#This Row],[Cost_Price]])*tbl_raw[[#This Row],[Units_Sold]]</f>
        <v>930</v>
      </c>
      <c r="O526" s="20">
        <f>IFERROR((tbl_raw[[#This Row],[Selling_Price]]-tbl_raw[[#This Row],[Cost_Price]]) / tbl_raw[[#This Row],[Selling_Price]],0)</f>
        <v>3.8130381303813035E-2</v>
      </c>
      <c r="P526" s="19">
        <v>158</v>
      </c>
      <c r="Q526" s="19">
        <f>tbl_raw[[#This Row],[Gross_Profit]]-(tbl_raw[[#This Row],[Shipping_Cost]]*tbl_raw[[#This Row],[Units_Sold]])</f>
        <v>-1440</v>
      </c>
      <c r="R526" s="20">
        <f>IFERROR(tbl_raw[[#This Row],[Net_Profit]]/(tbl_raw[[#This Row],[Selling_Price]]*tbl_raw[[#This Row],[Units_Sold]]),0)</f>
        <v>-5.9040590405904057E-2</v>
      </c>
      <c r="S526" s="18" t="s">
        <v>31</v>
      </c>
      <c r="T526" s="18" t="s">
        <v>32</v>
      </c>
      <c r="U526" s="18">
        <f>IF(tbl_raw[[#This Row],[Order_Status]]="Returned",1,0)</f>
        <v>0</v>
      </c>
      <c r="V526" s="18">
        <f>IF(tbl_raw[[#This Row],[Payment_Method]]="COD",1,0)</f>
        <v>0</v>
      </c>
      <c r="W526" s="21">
        <f>MIN(1,(tbl_raw[[#This Row],[Discount_Pct]]*1.4)+(tbl_raw[[#This Row],[COD_Flag]]*0.35))</f>
        <v>0.40599999999999997</v>
      </c>
    </row>
    <row r="527" spans="1:23" ht="22.8" x14ac:dyDescent="0.3">
      <c r="A527" s="22" t="s">
        <v>1424</v>
      </c>
      <c r="B527" s="23" t="s">
        <v>179</v>
      </c>
      <c r="C527" s="23" t="s">
        <v>132</v>
      </c>
      <c r="D527" s="23" t="s">
        <v>94</v>
      </c>
      <c r="E527" s="23" t="s">
        <v>180</v>
      </c>
      <c r="F527" s="23" t="s">
        <v>1425</v>
      </c>
      <c r="G527" s="23" t="s">
        <v>81</v>
      </c>
      <c r="H527" s="23" t="s">
        <v>30</v>
      </c>
      <c r="I527" s="23">
        <v>8</v>
      </c>
      <c r="J527" s="24">
        <v>1374</v>
      </c>
      <c r="K527" s="24">
        <v>948</v>
      </c>
      <c r="L527" s="25">
        <v>0.31</v>
      </c>
      <c r="M527" s="24">
        <v>694</v>
      </c>
      <c r="N527" s="24">
        <f>(tbl_raw[[#This Row],[Selling_Price]]-tbl_raw[[#This Row],[Cost_Price]])*tbl_raw[[#This Row],[Units_Sold]]</f>
        <v>2032</v>
      </c>
      <c r="O527" s="25">
        <f>IFERROR((tbl_raw[[#This Row],[Selling_Price]]-tbl_raw[[#This Row],[Cost_Price]]) / tbl_raw[[#This Row],[Selling_Price]],0)</f>
        <v>0.2679324894514768</v>
      </c>
      <c r="P527" s="24">
        <v>95</v>
      </c>
      <c r="Q527" s="24">
        <f>tbl_raw[[#This Row],[Gross_Profit]]-(tbl_raw[[#This Row],[Shipping_Cost]]*tbl_raw[[#This Row],[Units_Sold]])</f>
        <v>1272</v>
      </c>
      <c r="R527" s="25">
        <f>IFERROR(tbl_raw[[#This Row],[Net_Profit]]/(tbl_raw[[#This Row],[Selling_Price]]*tbl_raw[[#This Row],[Units_Sold]]),0)</f>
        <v>0.16772151898734178</v>
      </c>
      <c r="S527" s="23" t="s">
        <v>107</v>
      </c>
      <c r="T527" s="23" t="s">
        <v>49</v>
      </c>
      <c r="U527" s="23">
        <f>IF(tbl_raw[[#This Row],[Order_Status]]="Returned",1,0)</f>
        <v>0</v>
      </c>
      <c r="V527" s="23">
        <f>IF(tbl_raw[[#This Row],[Payment_Method]]="COD",1,0)</f>
        <v>0</v>
      </c>
      <c r="W527" s="26">
        <f>MIN(1,(tbl_raw[[#This Row],[Discount_Pct]]*1.4)+(tbl_raw[[#This Row],[COD_Flag]]*0.35))</f>
        <v>0.434</v>
      </c>
    </row>
    <row r="528" spans="1:23" ht="22.8" x14ac:dyDescent="0.3">
      <c r="A528" s="17" t="s">
        <v>1426</v>
      </c>
      <c r="B528" s="18" t="s">
        <v>405</v>
      </c>
      <c r="C528" s="18" t="s">
        <v>25</v>
      </c>
      <c r="D528" s="18" t="s">
        <v>78</v>
      </c>
      <c r="E528" s="18" t="s">
        <v>79</v>
      </c>
      <c r="F528" s="18" t="s">
        <v>1427</v>
      </c>
      <c r="G528" s="18" t="s">
        <v>143</v>
      </c>
      <c r="H528" s="18" t="s">
        <v>30</v>
      </c>
      <c r="I528" s="18">
        <v>6</v>
      </c>
      <c r="J528" s="19">
        <v>2200</v>
      </c>
      <c r="K528" s="19">
        <v>1606</v>
      </c>
      <c r="L528" s="20">
        <v>0.27</v>
      </c>
      <c r="M528" s="19">
        <v>1193</v>
      </c>
      <c r="N528" s="19">
        <f>(tbl_raw[[#This Row],[Selling_Price]]-tbl_raw[[#This Row],[Cost_Price]])*tbl_raw[[#This Row],[Units_Sold]]</f>
        <v>2478</v>
      </c>
      <c r="O528" s="20">
        <f>IFERROR((tbl_raw[[#This Row],[Selling_Price]]-tbl_raw[[#This Row],[Cost_Price]]) / tbl_raw[[#This Row],[Selling_Price]],0)</f>
        <v>0.25716064757160645</v>
      </c>
      <c r="P528" s="19">
        <v>47</v>
      </c>
      <c r="Q528" s="19">
        <f>tbl_raw[[#This Row],[Gross_Profit]]-(tbl_raw[[#This Row],[Shipping_Cost]]*tbl_raw[[#This Row],[Units_Sold]])</f>
        <v>2196</v>
      </c>
      <c r="R528" s="20">
        <f>IFERROR(tbl_raw[[#This Row],[Net_Profit]]/(tbl_raw[[#This Row],[Selling_Price]]*tbl_raw[[#This Row],[Units_Sold]]),0)</f>
        <v>0.22789539227895392</v>
      </c>
      <c r="S528" s="18" t="s">
        <v>40</v>
      </c>
      <c r="T528" s="18" t="s">
        <v>59</v>
      </c>
      <c r="U528" s="18">
        <f>IF(tbl_raw[[#This Row],[Order_Status]]="Returned",1,0)</f>
        <v>0</v>
      </c>
      <c r="V528" s="18">
        <f>IF(tbl_raw[[#This Row],[Payment_Method]]="COD",1,0)</f>
        <v>1</v>
      </c>
      <c r="W528" s="21">
        <f>MIN(1,(tbl_raw[[#This Row],[Discount_Pct]]*1.4)+(tbl_raw[[#This Row],[COD_Flag]]*0.35))</f>
        <v>0.72799999999999998</v>
      </c>
    </row>
    <row r="529" spans="1:23" ht="22.8" x14ac:dyDescent="0.3">
      <c r="A529" s="22" t="s">
        <v>1428</v>
      </c>
      <c r="B529" s="23" t="s">
        <v>357</v>
      </c>
      <c r="C529" s="23" t="s">
        <v>99</v>
      </c>
      <c r="D529" s="23" t="s">
        <v>62</v>
      </c>
      <c r="E529" s="23" t="s">
        <v>133</v>
      </c>
      <c r="F529" s="23" t="s">
        <v>1429</v>
      </c>
      <c r="G529" s="23" t="s">
        <v>47</v>
      </c>
      <c r="H529" s="23" t="s">
        <v>48</v>
      </c>
      <c r="I529" s="23">
        <v>2</v>
      </c>
      <c r="J529" s="24">
        <v>1776</v>
      </c>
      <c r="K529" s="24">
        <v>1563</v>
      </c>
      <c r="L529" s="25">
        <v>0.12</v>
      </c>
      <c r="M529" s="24">
        <v>729</v>
      </c>
      <c r="N529" s="24">
        <f>(tbl_raw[[#This Row],[Selling_Price]]-tbl_raw[[#This Row],[Cost_Price]])*tbl_raw[[#This Row],[Units_Sold]]</f>
        <v>1668</v>
      </c>
      <c r="O529" s="25">
        <f>IFERROR((tbl_raw[[#This Row],[Selling_Price]]-tbl_raw[[#This Row],[Cost_Price]]) / tbl_raw[[#This Row],[Selling_Price]],0)</f>
        <v>0.53358925143953939</v>
      </c>
      <c r="P529" s="24">
        <v>148</v>
      </c>
      <c r="Q529" s="24">
        <f>tbl_raw[[#This Row],[Gross_Profit]]-(tbl_raw[[#This Row],[Shipping_Cost]]*tbl_raw[[#This Row],[Units_Sold]])</f>
        <v>1372</v>
      </c>
      <c r="R529" s="25">
        <f>IFERROR(tbl_raw[[#This Row],[Net_Profit]]/(tbl_raw[[#This Row],[Selling_Price]]*tbl_raw[[#This Row],[Units_Sold]]),0)</f>
        <v>0.43889955214331416</v>
      </c>
      <c r="S529" s="23" t="s">
        <v>107</v>
      </c>
      <c r="T529" s="23" t="s">
        <v>32</v>
      </c>
      <c r="U529" s="23">
        <f>IF(tbl_raw[[#This Row],[Order_Status]]="Returned",1,0)</f>
        <v>0</v>
      </c>
      <c r="V529" s="23">
        <f>IF(tbl_raw[[#This Row],[Payment_Method]]="COD",1,0)</f>
        <v>0</v>
      </c>
      <c r="W529" s="26">
        <f>MIN(1,(tbl_raw[[#This Row],[Discount_Pct]]*1.4)+(tbl_raw[[#This Row],[COD_Flag]]*0.35))</f>
        <v>0.16799999999999998</v>
      </c>
    </row>
    <row r="530" spans="1:23" ht="22.8" x14ac:dyDescent="0.3">
      <c r="A530" s="17" t="s">
        <v>1430</v>
      </c>
      <c r="B530" s="18" t="s">
        <v>555</v>
      </c>
      <c r="C530" s="18" t="s">
        <v>132</v>
      </c>
      <c r="D530" s="18" t="s">
        <v>62</v>
      </c>
      <c r="E530" s="18" t="s">
        <v>110</v>
      </c>
      <c r="F530" s="18" t="s">
        <v>1431</v>
      </c>
      <c r="G530" s="18" t="s">
        <v>120</v>
      </c>
      <c r="H530" s="18" t="s">
        <v>39</v>
      </c>
      <c r="I530" s="18">
        <v>11</v>
      </c>
      <c r="J530" s="19">
        <v>4892</v>
      </c>
      <c r="K530" s="19">
        <v>2984</v>
      </c>
      <c r="L530" s="20">
        <v>0.39</v>
      </c>
      <c r="M530" s="19">
        <v>3499</v>
      </c>
      <c r="N530" s="19">
        <f>(tbl_raw[[#This Row],[Selling_Price]]-tbl_raw[[#This Row],[Cost_Price]])*tbl_raw[[#This Row],[Units_Sold]]</f>
        <v>-5665</v>
      </c>
      <c r="O530" s="20">
        <f>IFERROR((tbl_raw[[#This Row],[Selling_Price]]-tbl_raw[[#This Row],[Cost_Price]]) / tbl_raw[[#This Row],[Selling_Price]],0)</f>
        <v>-0.17258713136729223</v>
      </c>
      <c r="P530" s="19">
        <v>91</v>
      </c>
      <c r="Q530" s="19">
        <f>tbl_raw[[#This Row],[Gross_Profit]]-(tbl_raw[[#This Row],[Shipping_Cost]]*tbl_raw[[#This Row],[Units_Sold]])</f>
        <v>-6666</v>
      </c>
      <c r="R530" s="20">
        <f>IFERROR(tbl_raw[[#This Row],[Net_Profit]]/(tbl_raw[[#This Row],[Selling_Price]]*tbl_raw[[#This Row],[Units_Sold]]),0)</f>
        <v>-0.20308310991957104</v>
      </c>
      <c r="S530" s="18" t="s">
        <v>107</v>
      </c>
      <c r="T530" s="18" t="s">
        <v>49</v>
      </c>
      <c r="U530" s="18">
        <f>IF(tbl_raw[[#This Row],[Order_Status]]="Returned",1,0)</f>
        <v>0</v>
      </c>
      <c r="V530" s="18">
        <f>IF(tbl_raw[[#This Row],[Payment_Method]]="COD",1,0)</f>
        <v>0</v>
      </c>
      <c r="W530" s="21">
        <f>MIN(1,(tbl_raw[[#This Row],[Discount_Pct]]*1.4)+(tbl_raw[[#This Row],[COD_Flag]]*0.35))</f>
        <v>0.54599999999999993</v>
      </c>
    </row>
    <row r="531" spans="1:23" ht="22.8" x14ac:dyDescent="0.3">
      <c r="A531" s="22" t="s">
        <v>1432</v>
      </c>
      <c r="B531" s="23" t="s">
        <v>1433</v>
      </c>
      <c r="C531" s="23" t="s">
        <v>52</v>
      </c>
      <c r="D531" s="23" t="s">
        <v>164</v>
      </c>
      <c r="E531" s="23" t="s">
        <v>165</v>
      </c>
      <c r="F531" s="23" t="s">
        <v>1434</v>
      </c>
      <c r="G531" s="23" t="s">
        <v>102</v>
      </c>
      <c r="H531" s="23" t="s">
        <v>39</v>
      </c>
      <c r="I531" s="23">
        <v>17</v>
      </c>
      <c r="J531" s="24">
        <v>7477</v>
      </c>
      <c r="K531" s="24">
        <v>5757</v>
      </c>
      <c r="L531" s="25">
        <v>0.23</v>
      </c>
      <c r="M531" s="24">
        <v>5160</v>
      </c>
      <c r="N531" s="24">
        <f>(tbl_raw[[#This Row],[Selling_Price]]-tbl_raw[[#This Row],[Cost_Price]])*tbl_raw[[#This Row],[Units_Sold]]</f>
        <v>10149</v>
      </c>
      <c r="O531" s="25">
        <f>IFERROR((tbl_raw[[#This Row],[Selling_Price]]-tbl_raw[[#This Row],[Cost_Price]]) / tbl_raw[[#This Row],[Selling_Price]],0)</f>
        <v>0.10369984366857739</v>
      </c>
      <c r="P531" s="24">
        <v>172</v>
      </c>
      <c r="Q531" s="24">
        <f>tbl_raw[[#This Row],[Gross_Profit]]-(tbl_raw[[#This Row],[Shipping_Cost]]*tbl_raw[[#This Row],[Units_Sold]])</f>
        <v>7225</v>
      </c>
      <c r="R531" s="25">
        <f>IFERROR(tbl_raw[[#This Row],[Net_Profit]]/(tbl_raw[[#This Row],[Selling_Price]]*tbl_raw[[#This Row],[Units_Sold]]),0)</f>
        <v>7.3823171790863298E-2</v>
      </c>
      <c r="S531" s="23" t="s">
        <v>65</v>
      </c>
      <c r="T531" s="23" t="s">
        <v>49</v>
      </c>
      <c r="U531" s="23">
        <f>IF(tbl_raw[[#This Row],[Order_Status]]="Returned",1,0)</f>
        <v>0</v>
      </c>
      <c r="V531" s="23">
        <f>IF(tbl_raw[[#This Row],[Payment_Method]]="COD",1,0)</f>
        <v>0</v>
      </c>
      <c r="W531" s="26">
        <f>MIN(1,(tbl_raw[[#This Row],[Discount_Pct]]*1.4)+(tbl_raw[[#This Row],[COD_Flag]]*0.35))</f>
        <v>0.32200000000000001</v>
      </c>
    </row>
    <row r="532" spans="1:23" ht="22.8" x14ac:dyDescent="0.3">
      <c r="A532" s="17" t="s">
        <v>1435</v>
      </c>
      <c r="B532" s="18" t="s">
        <v>503</v>
      </c>
      <c r="C532" s="18" t="s">
        <v>35</v>
      </c>
      <c r="D532" s="18" t="s">
        <v>175</v>
      </c>
      <c r="E532" s="18" t="s">
        <v>190</v>
      </c>
      <c r="F532" s="18" t="s">
        <v>1436</v>
      </c>
      <c r="G532" s="18" t="s">
        <v>102</v>
      </c>
      <c r="H532" s="18" t="s">
        <v>39</v>
      </c>
      <c r="I532" s="18">
        <v>13</v>
      </c>
      <c r="J532" s="19">
        <v>6486</v>
      </c>
      <c r="K532" s="19">
        <v>4346</v>
      </c>
      <c r="L532" s="20">
        <v>0.33</v>
      </c>
      <c r="M532" s="19">
        <v>4718</v>
      </c>
      <c r="N532" s="19">
        <f>(tbl_raw[[#This Row],[Selling_Price]]-tbl_raw[[#This Row],[Cost_Price]])*tbl_raw[[#This Row],[Units_Sold]]</f>
        <v>-4836</v>
      </c>
      <c r="O532" s="20">
        <f>IFERROR((tbl_raw[[#This Row],[Selling_Price]]-tbl_raw[[#This Row],[Cost_Price]]) / tbl_raw[[#This Row],[Selling_Price]],0)</f>
        <v>-8.5595950299125631E-2</v>
      </c>
      <c r="P532" s="19">
        <v>63</v>
      </c>
      <c r="Q532" s="19">
        <f>tbl_raw[[#This Row],[Gross_Profit]]-(tbl_raw[[#This Row],[Shipping_Cost]]*tbl_raw[[#This Row],[Units_Sold]])</f>
        <v>-5655</v>
      </c>
      <c r="R532" s="20">
        <f>IFERROR(tbl_raw[[#This Row],[Net_Profit]]/(tbl_raw[[#This Row],[Selling_Price]]*tbl_raw[[#This Row],[Units_Sold]]),0)</f>
        <v>-0.10009203865623562</v>
      </c>
      <c r="S532" s="18" t="s">
        <v>58</v>
      </c>
      <c r="T532" s="18" t="s">
        <v>49</v>
      </c>
      <c r="U532" s="18">
        <f>IF(tbl_raw[[#This Row],[Order_Status]]="Returned",1,0)</f>
        <v>0</v>
      </c>
      <c r="V532" s="18">
        <f>IF(tbl_raw[[#This Row],[Payment_Method]]="COD",1,0)</f>
        <v>0</v>
      </c>
      <c r="W532" s="21">
        <f>MIN(1,(tbl_raw[[#This Row],[Discount_Pct]]*1.4)+(tbl_raw[[#This Row],[COD_Flag]]*0.35))</f>
        <v>0.46199999999999997</v>
      </c>
    </row>
    <row r="533" spans="1:23" ht="22.8" x14ac:dyDescent="0.3">
      <c r="A533" s="22" t="s">
        <v>1437</v>
      </c>
      <c r="B533" s="23" t="s">
        <v>1438</v>
      </c>
      <c r="C533" s="23" t="s">
        <v>117</v>
      </c>
      <c r="D533" s="23" t="s">
        <v>53</v>
      </c>
      <c r="E533" s="23" t="s">
        <v>54</v>
      </c>
      <c r="F533" s="23" t="s">
        <v>1439</v>
      </c>
      <c r="G533" s="23" t="s">
        <v>75</v>
      </c>
      <c r="H533" s="23" t="s">
        <v>48</v>
      </c>
      <c r="I533" s="23">
        <v>18</v>
      </c>
      <c r="J533" s="24">
        <v>3123</v>
      </c>
      <c r="K533" s="24">
        <v>1780</v>
      </c>
      <c r="L533" s="25">
        <v>0.43</v>
      </c>
      <c r="M533" s="24">
        <v>1595</v>
      </c>
      <c r="N533" s="24">
        <f>(tbl_raw[[#This Row],[Selling_Price]]-tbl_raw[[#This Row],[Cost_Price]])*tbl_raw[[#This Row],[Units_Sold]]</f>
        <v>3330</v>
      </c>
      <c r="O533" s="25">
        <f>IFERROR((tbl_raw[[#This Row],[Selling_Price]]-tbl_raw[[#This Row],[Cost_Price]]) / tbl_raw[[#This Row],[Selling_Price]],0)</f>
        <v>0.10393258426966293</v>
      </c>
      <c r="P533" s="24">
        <v>94</v>
      </c>
      <c r="Q533" s="24">
        <f>tbl_raw[[#This Row],[Gross_Profit]]-(tbl_raw[[#This Row],[Shipping_Cost]]*tbl_raw[[#This Row],[Units_Sold]])</f>
        <v>1638</v>
      </c>
      <c r="R533" s="25">
        <f>IFERROR(tbl_raw[[#This Row],[Net_Profit]]/(tbl_raw[[#This Row],[Selling_Price]]*tbl_raw[[#This Row],[Units_Sold]]),0)</f>
        <v>5.1123595505617979E-2</v>
      </c>
      <c r="S533" s="23" t="s">
        <v>40</v>
      </c>
      <c r="T533" s="23" t="s">
        <v>49</v>
      </c>
      <c r="U533" s="23">
        <f>IF(tbl_raw[[#This Row],[Order_Status]]="Returned",1,0)</f>
        <v>0</v>
      </c>
      <c r="V533" s="23">
        <f>IF(tbl_raw[[#This Row],[Payment_Method]]="COD",1,0)</f>
        <v>1</v>
      </c>
      <c r="W533" s="26">
        <f>MIN(1,(tbl_raw[[#This Row],[Discount_Pct]]*1.4)+(tbl_raw[[#This Row],[COD_Flag]]*0.35))</f>
        <v>0.95199999999999996</v>
      </c>
    </row>
    <row r="534" spans="1:23" ht="22.8" x14ac:dyDescent="0.3">
      <c r="A534" s="17" t="s">
        <v>1440</v>
      </c>
      <c r="B534" s="18" t="s">
        <v>646</v>
      </c>
      <c r="C534" s="18" t="s">
        <v>43</v>
      </c>
      <c r="D534" s="18" t="s">
        <v>62</v>
      </c>
      <c r="E534" s="18" t="s">
        <v>63</v>
      </c>
      <c r="F534" s="18" t="s">
        <v>1441</v>
      </c>
      <c r="G534" s="18" t="s">
        <v>143</v>
      </c>
      <c r="H534" s="18" t="s">
        <v>30</v>
      </c>
      <c r="I534" s="18">
        <v>1</v>
      </c>
      <c r="J534" s="19">
        <v>5234</v>
      </c>
      <c r="K534" s="19">
        <v>3088</v>
      </c>
      <c r="L534" s="20">
        <v>0.41</v>
      </c>
      <c r="M534" s="19">
        <v>2157</v>
      </c>
      <c r="N534" s="19">
        <f>(tbl_raw[[#This Row],[Selling_Price]]-tbl_raw[[#This Row],[Cost_Price]])*tbl_raw[[#This Row],[Units_Sold]]</f>
        <v>931</v>
      </c>
      <c r="O534" s="20">
        <f>IFERROR((tbl_raw[[#This Row],[Selling_Price]]-tbl_raw[[#This Row],[Cost_Price]]) / tbl_raw[[#This Row],[Selling_Price]],0)</f>
        <v>0.3014896373056995</v>
      </c>
      <c r="P534" s="19">
        <v>141</v>
      </c>
      <c r="Q534" s="19">
        <f>tbl_raw[[#This Row],[Gross_Profit]]-(tbl_raw[[#This Row],[Shipping_Cost]]*tbl_raw[[#This Row],[Units_Sold]])</f>
        <v>790</v>
      </c>
      <c r="R534" s="20">
        <f>IFERROR(tbl_raw[[#This Row],[Net_Profit]]/(tbl_raw[[#This Row],[Selling_Price]]*tbl_raw[[#This Row],[Units_Sold]]),0)</f>
        <v>0.25582901554404147</v>
      </c>
      <c r="S534" s="18" t="s">
        <v>58</v>
      </c>
      <c r="T534" s="18" t="s">
        <v>86</v>
      </c>
      <c r="U534" s="18">
        <f>IF(tbl_raw[[#This Row],[Order_Status]]="Returned",1,0)</f>
        <v>1</v>
      </c>
      <c r="V534" s="18">
        <f>IF(tbl_raw[[#This Row],[Payment_Method]]="COD",1,0)</f>
        <v>0</v>
      </c>
      <c r="W534" s="21">
        <f>MIN(1,(tbl_raw[[#This Row],[Discount_Pct]]*1.4)+(tbl_raw[[#This Row],[COD_Flag]]*0.35))</f>
        <v>0.57399999999999995</v>
      </c>
    </row>
    <row r="535" spans="1:23" ht="22.8" x14ac:dyDescent="0.3">
      <c r="A535" s="22" t="s">
        <v>1442</v>
      </c>
      <c r="B535" s="23" t="s">
        <v>141</v>
      </c>
      <c r="C535" s="23" t="s">
        <v>35</v>
      </c>
      <c r="D535" s="23" t="s">
        <v>78</v>
      </c>
      <c r="E535" s="23" t="s">
        <v>79</v>
      </c>
      <c r="F535" s="23" t="s">
        <v>1443</v>
      </c>
      <c r="G535" s="23" t="s">
        <v>56</v>
      </c>
      <c r="H535" s="23" t="s">
        <v>57</v>
      </c>
      <c r="I535" s="23">
        <v>4</v>
      </c>
      <c r="J535" s="24">
        <v>4372</v>
      </c>
      <c r="K535" s="24">
        <v>3891</v>
      </c>
      <c r="L535" s="25">
        <v>0.11</v>
      </c>
      <c r="M535" s="24">
        <v>2426</v>
      </c>
      <c r="N535" s="24">
        <f>(tbl_raw[[#This Row],[Selling_Price]]-tbl_raw[[#This Row],[Cost_Price]])*tbl_raw[[#This Row],[Units_Sold]]</f>
        <v>5860</v>
      </c>
      <c r="O535" s="25">
        <f>IFERROR((tbl_raw[[#This Row],[Selling_Price]]-tbl_raw[[#This Row],[Cost_Price]]) / tbl_raw[[#This Row],[Selling_Price]],0)</f>
        <v>0.37650989462863016</v>
      </c>
      <c r="P535" s="24">
        <v>31</v>
      </c>
      <c r="Q535" s="24">
        <f>tbl_raw[[#This Row],[Gross_Profit]]-(tbl_raw[[#This Row],[Shipping_Cost]]*tbl_raw[[#This Row],[Units_Sold]])</f>
        <v>5736</v>
      </c>
      <c r="R535" s="25">
        <f>IFERROR(tbl_raw[[#This Row],[Net_Profit]]/(tbl_raw[[#This Row],[Selling_Price]]*tbl_raw[[#This Row],[Units_Sold]]),0)</f>
        <v>0.36854279105628374</v>
      </c>
      <c r="S535" s="23" t="s">
        <v>31</v>
      </c>
      <c r="T535" s="23" t="s">
        <v>49</v>
      </c>
      <c r="U535" s="23">
        <f>IF(tbl_raw[[#This Row],[Order_Status]]="Returned",1,0)</f>
        <v>0</v>
      </c>
      <c r="V535" s="23">
        <f>IF(tbl_raw[[#This Row],[Payment_Method]]="COD",1,0)</f>
        <v>0</v>
      </c>
      <c r="W535" s="26">
        <f>MIN(1,(tbl_raw[[#This Row],[Discount_Pct]]*1.4)+(tbl_raw[[#This Row],[COD_Flag]]*0.35))</f>
        <v>0.154</v>
      </c>
    </row>
    <row r="536" spans="1:23" ht="22.8" x14ac:dyDescent="0.3">
      <c r="A536" s="17" t="s">
        <v>1444</v>
      </c>
      <c r="B536" s="18" t="s">
        <v>691</v>
      </c>
      <c r="C536" s="18" t="s">
        <v>99</v>
      </c>
      <c r="D536" s="18" t="s">
        <v>94</v>
      </c>
      <c r="E536" s="18" t="s">
        <v>180</v>
      </c>
      <c r="F536" s="18" t="s">
        <v>1445</v>
      </c>
      <c r="G536" s="18" t="s">
        <v>81</v>
      </c>
      <c r="H536" s="18" t="s">
        <v>30</v>
      </c>
      <c r="I536" s="18">
        <v>15</v>
      </c>
      <c r="J536" s="19">
        <v>5125</v>
      </c>
      <c r="K536" s="19">
        <v>3075</v>
      </c>
      <c r="L536" s="20">
        <v>0.4</v>
      </c>
      <c r="M536" s="19">
        <v>3425</v>
      </c>
      <c r="N536" s="19">
        <f>(tbl_raw[[#This Row],[Selling_Price]]-tbl_raw[[#This Row],[Cost_Price]])*tbl_raw[[#This Row],[Units_Sold]]</f>
        <v>-5250</v>
      </c>
      <c r="O536" s="20">
        <f>IFERROR((tbl_raw[[#This Row],[Selling_Price]]-tbl_raw[[#This Row],[Cost_Price]]) / tbl_raw[[#This Row],[Selling_Price]],0)</f>
        <v>-0.11382113821138211</v>
      </c>
      <c r="P536" s="19">
        <v>91</v>
      </c>
      <c r="Q536" s="19">
        <f>tbl_raw[[#This Row],[Gross_Profit]]-(tbl_raw[[#This Row],[Shipping_Cost]]*tbl_raw[[#This Row],[Units_Sold]])</f>
        <v>-6615</v>
      </c>
      <c r="R536" s="20">
        <f>IFERROR(tbl_raw[[#This Row],[Net_Profit]]/(tbl_raw[[#This Row],[Selling_Price]]*tbl_raw[[#This Row],[Units_Sold]]),0)</f>
        <v>-0.14341463414634145</v>
      </c>
      <c r="S536" s="18" t="s">
        <v>58</v>
      </c>
      <c r="T536" s="18" t="s">
        <v>32</v>
      </c>
      <c r="U536" s="18">
        <f>IF(tbl_raw[[#This Row],[Order_Status]]="Returned",1,0)</f>
        <v>0</v>
      </c>
      <c r="V536" s="18">
        <f>IF(tbl_raw[[#This Row],[Payment_Method]]="COD",1,0)</f>
        <v>0</v>
      </c>
      <c r="W536" s="21">
        <f>MIN(1,(tbl_raw[[#This Row],[Discount_Pct]]*1.4)+(tbl_raw[[#This Row],[COD_Flag]]*0.35))</f>
        <v>0.55999999999999994</v>
      </c>
    </row>
    <row r="537" spans="1:23" ht="22.8" x14ac:dyDescent="0.3">
      <c r="A537" s="22" t="s">
        <v>1446</v>
      </c>
      <c r="B537" s="23" t="s">
        <v>1447</v>
      </c>
      <c r="C537" s="23" t="s">
        <v>117</v>
      </c>
      <c r="D537" s="23" t="s">
        <v>78</v>
      </c>
      <c r="E537" s="23" t="s">
        <v>79</v>
      </c>
      <c r="F537" s="23" t="s">
        <v>1448</v>
      </c>
      <c r="G537" s="23" t="s">
        <v>47</v>
      </c>
      <c r="H537" s="23" t="s">
        <v>48</v>
      </c>
      <c r="I537" s="23">
        <v>4</v>
      </c>
      <c r="J537" s="24">
        <v>6630</v>
      </c>
      <c r="K537" s="24">
        <v>4575</v>
      </c>
      <c r="L537" s="25">
        <v>0.31</v>
      </c>
      <c r="M537" s="24">
        <v>3827</v>
      </c>
      <c r="N537" s="24">
        <f>(tbl_raw[[#This Row],[Selling_Price]]-tbl_raw[[#This Row],[Cost_Price]])*tbl_raw[[#This Row],[Units_Sold]]</f>
        <v>2992</v>
      </c>
      <c r="O537" s="25">
        <f>IFERROR((tbl_raw[[#This Row],[Selling_Price]]-tbl_raw[[#This Row],[Cost_Price]]) / tbl_raw[[#This Row],[Selling_Price]],0)</f>
        <v>0.16349726775956283</v>
      </c>
      <c r="P537" s="24">
        <v>83</v>
      </c>
      <c r="Q537" s="24">
        <f>tbl_raw[[#This Row],[Gross_Profit]]-(tbl_raw[[#This Row],[Shipping_Cost]]*tbl_raw[[#This Row],[Units_Sold]])</f>
        <v>2660</v>
      </c>
      <c r="R537" s="25">
        <f>IFERROR(tbl_raw[[#This Row],[Net_Profit]]/(tbl_raw[[#This Row],[Selling_Price]]*tbl_raw[[#This Row],[Units_Sold]]),0)</f>
        <v>0.14535519125683061</v>
      </c>
      <c r="S537" s="23" t="s">
        <v>65</v>
      </c>
      <c r="T537" s="23" t="s">
        <v>32</v>
      </c>
      <c r="U537" s="23">
        <f>IF(tbl_raw[[#This Row],[Order_Status]]="Returned",1,0)</f>
        <v>0</v>
      </c>
      <c r="V537" s="23">
        <f>IF(tbl_raw[[#This Row],[Payment_Method]]="COD",1,0)</f>
        <v>0</v>
      </c>
      <c r="W537" s="26">
        <f>MIN(1,(tbl_raw[[#This Row],[Discount_Pct]]*1.4)+(tbl_raw[[#This Row],[COD_Flag]]*0.35))</f>
        <v>0.434</v>
      </c>
    </row>
    <row r="538" spans="1:23" ht="22.8" x14ac:dyDescent="0.3">
      <c r="A538" s="17" t="s">
        <v>1449</v>
      </c>
      <c r="B538" s="18" t="s">
        <v>109</v>
      </c>
      <c r="C538" s="18" t="s">
        <v>89</v>
      </c>
      <c r="D538" s="18" t="s">
        <v>26</v>
      </c>
      <c r="E538" s="18" t="s">
        <v>125</v>
      </c>
      <c r="F538" s="18" t="s">
        <v>1450</v>
      </c>
      <c r="G538" s="18" t="s">
        <v>81</v>
      </c>
      <c r="H538" s="18" t="s">
        <v>30</v>
      </c>
      <c r="I538" s="18">
        <v>15</v>
      </c>
      <c r="J538" s="19">
        <v>6370</v>
      </c>
      <c r="K538" s="19">
        <v>5988</v>
      </c>
      <c r="L538" s="20">
        <v>0.06</v>
      </c>
      <c r="M538" s="19">
        <v>3441</v>
      </c>
      <c r="N538" s="19">
        <f>(tbl_raw[[#This Row],[Selling_Price]]-tbl_raw[[#This Row],[Cost_Price]])*tbl_raw[[#This Row],[Units_Sold]]</f>
        <v>38205</v>
      </c>
      <c r="O538" s="20">
        <f>IFERROR((tbl_raw[[#This Row],[Selling_Price]]-tbl_raw[[#This Row],[Cost_Price]]) / tbl_raw[[#This Row],[Selling_Price]],0)</f>
        <v>0.42535070140280562</v>
      </c>
      <c r="P538" s="19">
        <v>124</v>
      </c>
      <c r="Q538" s="19">
        <f>tbl_raw[[#This Row],[Gross_Profit]]-(tbl_raw[[#This Row],[Shipping_Cost]]*tbl_raw[[#This Row],[Units_Sold]])</f>
        <v>36345</v>
      </c>
      <c r="R538" s="20">
        <f>IFERROR(tbl_raw[[#This Row],[Net_Profit]]/(tbl_raw[[#This Row],[Selling_Price]]*tbl_raw[[#This Row],[Units_Sold]]),0)</f>
        <v>0.40464261857047429</v>
      </c>
      <c r="S538" s="18" t="s">
        <v>107</v>
      </c>
      <c r="T538" s="18" t="s">
        <v>32</v>
      </c>
      <c r="U538" s="18">
        <f>IF(tbl_raw[[#This Row],[Order_Status]]="Returned",1,0)</f>
        <v>0</v>
      </c>
      <c r="V538" s="18">
        <f>IF(tbl_raw[[#This Row],[Payment_Method]]="COD",1,0)</f>
        <v>0</v>
      </c>
      <c r="W538" s="21">
        <f>MIN(1,(tbl_raw[[#This Row],[Discount_Pct]]*1.4)+(tbl_raw[[#This Row],[COD_Flag]]*0.35))</f>
        <v>8.3999999999999991E-2</v>
      </c>
    </row>
    <row r="539" spans="1:23" ht="22.8" x14ac:dyDescent="0.3">
      <c r="A539" s="22" t="s">
        <v>1451</v>
      </c>
      <c r="B539" s="23" t="s">
        <v>34</v>
      </c>
      <c r="C539" s="23" t="s">
        <v>35</v>
      </c>
      <c r="D539" s="23" t="s">
        <v>164</v>
      </c>
      <c r="E539" s="23" t="s">
        <v>345</v>
      </c>
      <c r="F539" s="23" t="s">
        <v>1027</v>
      </c>
      <c r="G539" s="23" t="s">
        <v>47</v>
      </c>
      <c r="H539" s="23" t="s">
        <v>48</v>
      </c>
      <c r="I539" s="23">
        <v>11</v>
      </c>
      <c r="J539" s="24">
        <v>3722</v>
      </c>
      <c r="K539" s="24">
        <v>2270</v>
      </c>
      <c r="L539" s="25">
        <v>0.39</v>
      </c>
      <c r="M539" s="24">
        <v>1663</v>
      </c>
      <c r="N539" s="24">
        <f>(tbl_raw[[#This Row],[Selling_Price]]-tbl_raw[[#This Row],[Cost_Price]])*tbl_raw[[#This Row],[Units_Sold]]</f>
        <v>6677</v>
      </c>
      <c r="O539" s="25">
        <f>IFERROR((tbl_raw[[#This Row],[Selling_Price]]-tbl_raw[[#This Row],[Cost_Price]]) / tbl_raw[[#This Row],[Selling_Price]],0)</f>
        <v>0.26740088105726872</v>
      </c>
      <c r="P539" s="24">
        <v>56</v>
      </c>
      <c r="Q539" s="24">
        <f>tbl_raw[[#This Row],[Gross_Profit]]-(tbl_raw[[#This Row],[Shipping_Cost]]*tbl_raw[[#This Row],[Units_Sold]])</f>
        <v>6061</v>
      </c>
      <c r="R539" s="25">
        <f>IFERROR(tbl_raw[[#This Row],[Net_Profit]]/(tbl_raw[[#This Row],[Selling_Price]]*tbl_raw[[#This Row],[Units_Sold]]),0)</f>
        <v>0.24273127753303964</v>
      </c>
      <c r="S539" s="23" t="s">
        <v>65</v>
      </c>
      <c r="T539" s="23" t="s">
        <v>86</v>
      </c>
      <c r="U539" s="23">
        <f>IF(tbl_raw[[#This Row],[Order_Status]]="Returned",1,0)</f>
        <v>1</v>
      </c>
      <c r="V539" s="23">
        <f>IF(tbl_raw[[#This Row],[Payment_Method]]="COD",1,0)</f>
        <v>0</v>
      </c>
      <c r="W539" s="26">
        <f>MIN(1,(tbl_raw[[#This Row],[Discount_Pct]]*1.4)+(tbl_raw[[#This Row],[COD_Flag]]*0.35))</f>
        <v>0.54599999999999993</v>
      </c>
    </row>
    <row r="540" spans="1:23" ht="22.8" x14ac:dyDescent="0.3">
      <c r="A540" s="17" t="s">
        <v>1452</v>
      </c>
      <c r="B540" s="18" t="s">
        <v>1453</v>
      </c>
      <c r="C540" s="18" t="s">
        <v>35</v>
      </c>
      <c r="D540" s="18" t="s">
        <v>78</v>
      </c>
      <c r="E540" s="18" t="s">
        <v>79</v>
      </c>
      <c r="F540" s="18" t="s">
        <v>1454</v>
      </c>
      <c r="G540" s="18" t="s">
        <v>47</v>
      </c>
      <c r="H540" s="18" t="s">
        <v>48</v>
      </c>
      <c r="I540" s="18">
        <v>13</v>
      </c>
      <c r="J540" s="19">
        <v>7569</v>
      </c>
      <c r="K540" s="19">
        <v>4541</v>
      </c>
      <c r="L540" s="20">
        <v>0.4</v>
      </c>
      <c r="M540" s="19">
        <v>3622</v>
      </c>
      <c r="N540" s="19">
        <f>(tbl_raw[[#This Row],[Selling_Price]]-tbl_raw[[#This Row],[Cost_Price]])*tbl_raw[[#This Row],[Units_Sold]]</f>
        <v>11947</v>
      </c>
      <c r="O540" s="20">
        <f>IFERROR((tbl_raw[[#This Row],[Selling_Price]]-tbl_raw[[#This Row],[Cost_Price]]) / tbl_raw[[#This Row],[Selling_Price]],0)</f>
        <v>0.20237833076414888</v>
      </c>
      <c r="P540" s="19">
        <v>172</v>
      </c>
      <c r="Q540" s="19">
        <f>tbl_raw[[#This Row],[Gross_Profit]]-(tbl_raw[[#This Row],[Shipping_Cost]]*tbl_raw[[#This Row],[Units_Sold]])</f>
        <v>9711</v>
      </c>
      <c r="R540" s="20">
        <f>IFERROR(tbl_raw[[#This Row],[Net_Profit]]/(tbl_raw[[#This Row],[Selling_Price]]*tbl_raw[[#This Row],[Units_Sold]]),0)</f>
        <v>0.16450121118696323</v>
      </c>
      <c r="S540" s="18" t="s">
        <v>65</v>
      </c>
      <c r="T540" s="18" t="s">
        <v>32</v>
      </c>
      <c r="U540" s="18">
        <f>IF(tbl_raw[[#This Row],[Order_Status]]="Returned",1,0)</f>
        <v>0</v>
      </c>
      <c r="V540" s="18">
        <f>IF(tbl_raw[[#This Row],[Payment_Method]]="COD",1,0)</f>
        <v>0</v>
      </c>
      <c r="W540" s="21">
        <f>MIN(1,(tbl_raw[[#This Row],[Discount_Pct]]*1.4)+(tbl_raw[[#This Row],[COD_Flag]]*0.35))</f>
        <v>0.55999999999999994</v>
      </c>
    </row>
    <row r="541" spans="1:23" ht="22.8" x14ac:dyDescent="0.3">
      <c r="A541" s="22" t="s">
        <v>1455</v>
      </c>
      <c r="B541" s="23" t="s">
        <v>351</v>
      </c>
      <c r="C541" s="23" t="s">
        <v>72</v>
      </c>
      <c r="D541" s="23" t="s">
        <v>94</v>
      </c>
      <c r="E541" s="23" t="s">
        <v>180</v>
      </c>
      <c r="F541" s="23" t="s">
        <v>1456</v>
      </c>
      <c r="G541" s="23" t="s">
        <v>81</v>
      </c>
      <c r="H541" s="23" t="s">
        <v>30</v>
      </c>
      <c r="I541" s="23">
        <v>2</v>
      </c>
      <c r="J541" s="24">
        <v>3328</v>
      </c>
      <c r="K541" s="24">
        <v>2696</v>
      </c>
      <c r="L541" s="25">
        <v>0.19</v>
      </c>
      <c r="M541" s="24">
        <v>1634</v>
      </c>
      <c r="N541" s="24">
        <f>(tbl_raw[[#This Row],[Selling_Price]]-tbl_raw[[#This Row],[Cost_Price]])*tbl_raw[[#This Row],[Units_Sold]]</f>
        <v>2124</v>
      </c>
      <c r="O541" s="25">
        <f>IFERROR((tbl_raw[[#This Row],[Selling_Price]]-tbl_raw[[#This Row],[Cost_Price]]) / tbl_raw[[#This Row],[Selling_Price]],0)</f>
        <v>0.39391691394658751</v>
      </c>
      <c r="P541" s="24">
        <v>43</v>
      </c>
      <c r="Q541" s="24">
        <f>tbl_raw[[#This Row],[Gross_Profit]]-(tbl_raw[[#This Row],[Shipping_Cost]]*tbl_raw[[#This Row],[Units_Sold]])</f>
        <v>2038</v>
      </c>
      <c r="R541" s="25">
        <f>IFERROR(tbl_raw[[#This Row],[Net_Profit]]/(tbl_raw[[#This Row],[Selling_Price]]*tbl_raw[[#This Row],[Units_Sold]]),0)</f>
        <v>0.3779673590504451</v>
      </c>
      <c r="S541" s="23" t="s">
        <v>107</v>
      </c>
      <c r="T541" s="23" t="s">
        <v>32</v>
      </c>
      <c r="U541" s="23">
        <f>IF(tbl_raw[[#This Row],[Order_Status]]="Returned",1,0)</f>
        <v>0</v>
      </c>
      <c r="V541" s="23">
        <f>IF(tbl_raw[[#This Row],[Payment_Method]]="COD",1,0)</f>
        <v>0</v>
      </c>
      <c r="W541" s="26">
        <f>MIN(1,(tbl_raw[[#This Row],[Discount_Pct]]*1.4)+(tbl_raw[[#This Row],[COD_Flag]]*0.35))</f>
        <v>0.26599999999999996</v>
      </c>
    </row>
    <row r="542" spans="1:23" ht="22.8" x14ac:dyDescent="0.3">
      <c r="A542" s="17" t="s">
        <v>1457</v>
      </c>
      <c r="B542" s="18" t="s">
        <v>912</v>
      </c>
      <c r="C542" s="18" t="s">
        <v>132</v>
      </c>
      <c r="D542" s="18" t="s">
        <v>78</v>
      </c>
      <c r="E542" s="18" t="s">
        <v>534</v>
      </c>
      <c r="F542" s="18" t="s">
        <v>1458</v>
      </c>
      <c r="G542" s="18" t="s">
        <v>75</v>
      </c>
      <c r="H542" s="18" t="s">
        <v>48</v>
      </c>
      <c r="I542" s="18">
        <v>4</v>
      </c>
      <c r="J542" s="19">
        <v>1951</v>
      </c>
      <c r="K542" s="19">
        <v>1775</v>
      </c>
      <c r="L542" s="20">
        <v>0.09</v>
      </c>
      <c r="M542" s="19">
        <v>1426</v>
      </c>
      <c r="N542" s="19">
        <f>(tbl_raw[[#This Row],[Selling_Price]]-tbl_raw[[#This Row],[Cost_Price]])*tbl_raw[[#This Row],[Units_Sold]]</f>
        <v>1396</v>
      </c>
      <c r="O542" s="20">
        <f>IFERROR((tbl_raw[[#This Row],[Selling_Price]]-tbl_raw[[#This Row],[Cost_Price]]) / tbl_raw[[#This Row],[Selling_Price]],0)</f>
        <v>0.19661971830985916</v>
      </c>
      <c r="P542" s="19">
        <v>152</v>
      </c>
      <c r="Q542" s="19">
        <f>tbl_raw[[#This Row],[Gross_Profit]]-(tbl_raw[[#This Row],[Shipping_Cost]]*tbl_raw[[#This Row],[Units_Sold]])</f>
        <v>788</v>
      </c>
      <c r="R542" s="20">
        <f>IFERROR(tbl_raw[[#This Row],[Net_Profit]]/(tbl_raw[[#This Row],[Selling_Price]]*tbl_raw[[#This Row],[Units_Sold]]),0)</f>
        <v>0.11098591549295775</v>
      </c>
      <c r="S542" s="18" t="s">
        <v>107</v>
      </c>
      <c r="T542" s="18" t="s">
        <v>32</v>
      </c>
      <c r="U542" s="18">
        <f>IF(tbl_raw[[#This Row],[Order_Status]]="Returned",1,0)</f>
        <v>0</v>
      </c>
      <c r="V542" s="18">
        <f>IF(tbl_raw[[#This Row],[Payment_Method]]="COD",1,0)</f>
        <v>0</v>
      </c>
      <c r="W542" s="21">
        <f>MIN(1,(tbl_raw[[#This Row],[Discount_Pct]]*1.4)+(tbl_raw[[#This Row],[COD_Flag]]*0.35))</f>
        <v>0.126</v>
      </c>
    </row>
    <row r="543" spans="1:23" ht="22.8" x14ac:dyDescent="0.3">
      <c r="A543" s="22" t="s">
        <v>1459</v>
      </c>
      <c r="B543" s="23" t="s">
        <v>1156</v>
      </c>
      <c r="C543" s="23" t="s">
        <v>43</v>
      </c>
      <c r="D543" s="23" t="s">
        <v>94</v>
      </c>
      <c r="E543" s="23" t="s">
        <v>137</v>
      </c>
      <c r="F543" s="23" t="s">
        <v>1460</v>
      </c>
      <c r="G543" s="23" t="s">
        <v>143</v>
      </c>
      <c r="H543" s="23" t="s">
        <v>30</v>
      </c>
      <c r="I543" s="23">
        <v>7</v>
      </c>
      <c r="J543" s="24">
        <v>3463</v>
      </c>
      <c r="K543" s="24">
        <v>2840</v>
      </c>
      <c r="L543" s="25">
        <v>0.18</v>
      </c>
      <c r="M543" s="24">
        <v>1562</v>
      </c>
      <c r="N543" s="24">
        <f>(tbl_raw[[#This Row],[Selling_Price]]-tbl_raw[[#This Row],[Cost_Price]])*tbl_raw[[#This Row],[Units_Sold]]</f>
        <v>8946</v>
      </c>
      <c r="O543" s="25">
        <f>IFERROR((tbl_raw[[#This Row],[Selling_Price]]-tbl_raw[[#This Row],[Cost_Price]]) / tbl_raw[[#This Row],[Selling_Price]],0)</f>
        <v>0.45</v>
      </c>
      <c r="P543" s="24">
        <v>74</v>
      </c>
      <c r="Q543" s="24">
        <f>tbl_raw[[#This Row],[Gross_Profit]]-(tbl_raw[[#This Row],[Shipping_Cost]]*tbl_raw[[#This Row],[Units_Sold]])</f>
        <v>8428</v>
      </c>
      <c r="R543" s="25">
        <f>IFERROR(tbl_raw[[#This Row],[Net_Profit]]/(tbl_raw[[#This Row],[Selling_Price]]*tbl_raw[[#This Row],[Units_Sold]]),0)</f>
        <v>0.42394366197183098</v>
      </c>
      <c r="S543" s="23" t="s">
        <v>107</v>
      </c>
      <c r="T543" s="23" t="s">
        <v>32</v>
      </c>
      <c r="U543" s="23">
        <f>IF(tbl_raw[[#This Row],[Order_Status]]="Returned",1,0)</f>
        <v>0</v>
      </c>
      <c r="V543" s="23">
        <f>IF(tbl_raw[[#This Row],[Payment_Method]]="COD",1,0)</f>
        <v>0</v>
      </c>
      <c r="W543" s="26">
        <f>MIN(1,(tbl_raw[[#This Row],[Discount_Pct]]*1.4)+(tbl_raw[[#This Row],[COD_Flag]]*0.35))</f>
        <v>0.252</v>
      </c>
    </row>
    <row r="544" spans="1:23" ht="22.8" x14ac:dyDescent="0.3">
      <c r="A544" s="17" t="s">
        <v>1461</v>
      </c>
      <c r="B544" s="18" t="s">
        <v>1462</v>
      </c>
      <c r="C544" s="18" t="s">
        <v>35</v>
      </c>
      <c r="D544" s="18" t="s">
        <v>62</v>
      </c>
      <c r="E544" s="18" t="s">
        <v>110</v>
      </c>
      <c r="F544" s="18" t="s">
        <v>1463</v>
      </c>
      <c r="G544" s="18" t="s">
        <v>75</v>
      </c>
      <c r="H544" s="18" t="s">
        <v>48</v>
      </c>
      <c r="I544" s="18">
        <v>5</v>
      </c>
      <c r="J544" s="19">
        <v>6997</v>
      </c>
      <c r="K544" s="19">
        <v>3918</v>
      </c>
      <c r="L544" s="20">
        <v>0.44</v>
      </c>
      <c r="M544" s="19">
        <v>3772</v>
      </c>
      <c r="N544" s="19">
        <f>(tbl_raw[[#This Row],[Selling_Price]]-tbl_raw[[#This Row],[Cost_Price]])*tbl_raw[[#This Row],[Units_Sold]]</f>
        <v>730</v>
      </c>
      <c r="O544" s="20">
        <f>IFERROR((tbl_raw[[#This Row],[Selling_Price]]-tbl_raw[[#This Row],[Cost_Price]]) / tbl_raw[[#This Row],[Selling_Price]],0)</f>
        <v>3.7263910158244005E-2</v>
      </c>
      <c r="P544" s="19">
        <v>62</v>
      </c>
      <c r="Q544" s="19">
        <f>tbl_raw[[#This Row],[Gross_Profit]]-(tbl_raw[[#This Row],[Shipping_Cost]]*tbl_raw[[#This Row],[Units_Sold]])</f>
        <v>420</v>
      </c>
      <c r="R544" s="20">
        <f>IFERROR(tbl_raw[[#This Row],[Net_Profit]]/(tbl_raw[[#This Row],[Selling_Price]]*tbl_raw[[#This Row],[Units_Sold]]),0)</f>
        <v>2.1439509954058193E-2</v>
      </c>
      <c r="S544" s="18" t="s">
        <v>31</v>
      </c>
      <c r="T544" s="18" t="s">
        <v>32</v>
      </c>
      <c r="U544" s="18">
        <f>IF(tbl_raw[[#This Row],[Order_Status]]="Returned",1,0)</f>
        <v>0</v>
      </c>
      <c r="V544" s="18">
        <f>IF(tbl_raw[[#This Row],[Payment_Method]]="COD",1,0)</f>
        <v>0</v>
      </c>
      <c r="W544" s="21">
        <f>MIN(1,(tbl_raw[[#This Row],[Discount_Pct]]*1.4)+(tbl_raw[[#This Row],[COD_Flag]]*0.35))</f>
        <v>0.61599999999999999</v>
      </c>
    </row>
    <row r="545" spans="1:23" ht="22.8" x14ac:dyDescent="0.3">
      <c r="A545" s="22" t="s">
        <v>1464</v>
      </c>
      <c r="B545" s="23" t="s">
        <v>691</v>
      </c>
      <c r="C545" s="23" t="s">
        <v>99</v>
      </c>
      <c r="D545" s="23" t="s">
        <v>175</v>
      </c>
      <c r="E545" s="23" t="s">
        <v>176</v>
      </c>
      <c r="F545" s="23" t="s">
        <v>1465</v>
      </c>
      <c r="G545" s="23" t="s">
        <v>139</v>
      </c>
      <c r="H545" s="23" t="s">
        <v>48</v>
      </c>
      <c r="I545" s="23">
        <v>11</v>
      </c>
      <c r="J545" s="24">
        <v>7462</v>
      </c>
      <c r="K545" s="24">
        <v>5895</v>
      </c>
      <c r="L545" s="25">
        <v>0.21</v>
      </c>
      <c r="M545" s="24">
        <v>3910</v>
      </c>
      <c r="N545" s="24">
        <f>(tbl_raw[[#This Row],[Selling_Price]]-tbl_raw[[#This Row],[Cost_Price]])*tbl_raw[[#This Row],[Units_Sold]]</f>
        <v>21835</v>
      </c>
      <c r="O545" s="25">
        <f>IFERROR((tbl_raw[[#This Row],[Selling_Price]]-tbl_raw[[#This Row],[Cost_Price]]) / tbl_raw[[#This Row],[Selling_Price]],0)</f>
        <v>0.33672603901611536</v>
      </c>
      <c r="P545" s="24">
        <v>121</v>
      </c>
      <c r="Q545" s="24">
        <f>tbl_raw[[#This Row],[Gross_Profit]]-(tbl_raw[[#This Row],[Shipping_Cost]]*tbl_raw[[#This Row],[Units_Sold]])</f>
        <v>20504</v>
      </c>
      <c r="R545" s="25">
        <f>IFERROR(tbl_raw[[#This Row],[Net_Profit]]/(tbl_raw[[#This Row],[Selling_Price]]*tbl_raw[[#This Row],[Units_Sold]]),0)</f>
        <v>0.31620016963528413</v>
      </c>
      <c r="S545" s="23" t="s">
        <v>65</v>
      </c>
      <c r="T545" s="23" t="s">
        <v>86</v>
      </c>
      <c r="U545" s="23">
        <f>IF(tbl_raw[[#This Row],[Order_Status]]="Returned",1,0)</f>
        <v>1</v>
      </c>
      <c r="V545" s="23">
        <f>IF(tbl_raw[[#This Row],[Payment_Method]]="COD",1,0)</f>
        <v>0</v>
      </c>
      <c r="W545" s="26">
        <f>MIN(1,(tbl_raw[[#This Row],[Discount_Pct]]*1.4)+(tbl_raw[[#This Row],[COD_Flag]]*0.35))</f>
        <v>0.29399999999999998</v>
      </c>
    </row>
    <row r="546" spans="1:23" ht="22.8" x14ac:dyDescent="0.3">
      <c r="A546" s="17" t="s">
        <v>1466</v>
      </c>
      <c r="B546" s="18" t="s">
        <v>543</v>
      </c>
      <c r="C546" s="18" t="s">
        <v>132</v>
      </c>
      <c r="D546" s="18" t="s">
        <v>78</v>
      </c>
      <c r="E546" s="18" t="s">
        <v>79</v>
      </c>
      <c r="F546" s="18" t="s">
        <v>1467</v>
      </c>
      <c r="G546" s="18" t="s">
        <v>56</v>
      </c>
      <c r="H546" s="18" t="s">
        <v>57</v>
      </c>
      <c r="I546" s="18">
        <v>5</v>
      </c>
      <c r="J546" s="19">
        <v>7751</v>
      </c>
      <c r="K546" s="19">
        <v>5813</v>
      </c>
      <c r="L546" s="20">
        <v>0.25</v>
      </c>
      <c r="M546" s="19">
        <v>4675</v>
      </c>
      <c r="N546" s="19">
        <f>(tbl_raw[[#This Row],[Selling_Price]]-tbl_raw[[#This Row],[Cost_Price]])*tbl_raw[[#This Row],[Units_Sold]]</f>
        <v>5690</v>
      </c>
      <c r="O546" s="20">
        <f>IFERROR((tbl_raw[[#This Row],[Selling_Price]]-tbl_raw[[#This Row],[Cost_Price]]) / tbl_raw[[#This Row],[Selling_Price]],0)</f>
        <v>0.19576810596937899</v>
      </c>
      <c r="P546" s="19">
        <v>69</v>
      </c>
      <c r="Q546" s="19">
        <f>tbl_raw[[#This Row],[Gross_Profit]]-(tbl_raw[[#This Row],[Shipping_Cost]]*tbl_raw[[#This Row],[Units_Sold]])</f>
        <v>5345</v>
      </c>
      <c r="R546" s="20">
        <f>IFERROR(tbl_raw[[#This Row],[Net_Profit]]/(tbl_raw[[#This Row],[Selling_Price]]*tbl_raw[[#This Row],[Units_Sold]]),0)</f>
        <v>0.18389815929812489</v>
      </c>
      <c r="S546" s="18" t="s">
        <v>65</v>
      </c>
      <c r="T546" s="18" t="s">
        <v>32</v>
      </c>
      <c r="U546" s="18">
        <f>IF(tbl_raw[[#This Row],[Order_Status]]="Returned",1,0)</f>
        <v>0</v>
      </c>
      <c r="V546" s="18">
        <f>IF(tbl_raw[[#This Row],[Payment_Method]]="COD",1,0)</f>
        <v>0</v>
      </c>
      <c r="W546" s="21">
        <f>MIN(1,(tbl_raw[[#This Row],[Discount_Pct]]*1.4)+(tbl_raw[[#This Row],[COD_Flag]]*0.35))</f>
        <v>0.35</v>
      </c>
    </row>
    <row r="547" spans="1:23" ht="22.8" x14ac:dyDescent="0.3">
      <c r="A547" s="22" t="s">
        <v>1468</v>
      </c>
      <c r="B547" s="23" t="s">
        <v>1268</v>
      </c>
      <c r="C547" s="23" t="s">
        <v>117</v>
      </c>
      <c r="D547" s="23" t="s">
        <v>175</v>
      </c>
      <c r="E547" s="23" t="s">
        <v>190</v>
      </c>
      <c r="F547" s="23" t="s">
        <v>1469</v>
      </c>
      <c r="G547" s="23" t="s">
        <v>38</v>
      </c>
      <c r="H547" s="23" t="s">
        <v>39</v>
      </c>
      <c r="I547" s="23">
        <v>14</v>
      </c>
      <c r="J547" s="24">
        <v>1306</v>
      </c>
      <c r="K547" s="24">
        <v>1241</v>
      </c>
      <c r="L547" s="25">
        <v>0.05</v>
      </c>
      <c r="M547" s="24">
        <v>543</v>
      </c>
      <c r="N547" s="24">
        <f>(tbl_raw[[#This Row],[Selling_Price]]-tbl_raw[[#This Row],[Cost_Price]])*tbl_raw[[#This Row],[Units_Sold]]</f>
        <v>9772</v>
      </c>
      <c r="O547" s="25">
        <f>IFERROR((tbl_raw[[#This Row],[Selling_Price]]-tbl_raw[[#This Row],[Cost_Price]]) / tbl_raw[[#This Row],[Selling_Price]],0)</f>
        <v>0.56244963738920228</v>
      </c>
      <c r="P547" s="24">
        <v>49</v>
      </c>
      <c r="Q547" s="24">
        <f>tbl_raw[[#This Row],[Gross_Profit]]-(tbl_raw[[#This Row],[Shipping_Cost]]*tbl_raw[[#This Row],[Units_Sold]])</f>
        <v>9086</v>
      </c>
      <c r="R547" s="25">
        <f>IFERROR(tbl_raw[[#This Row],[Net_Profit]]/(tbl_raw[[#This Row],[Selling_Price]]*tbl_raw[[#This Row],[Units_Sold]]),0)</f>
        <v>0.52296535052377113</v>
      </c>
      <c r="S547" s="23" t="s">
        <v>107</v>
      </c>
      <c r="T547" s="23" t="s">
        <v>49</v>
      </c>
      <c r="U547" s="23">
        <f>IF(tbl_raw[[#This Row],[Order_Status]]="Returned",1,0)</f>
        <v>0</v>
      </c>
      <c r="V547" s="23">
        <f>IF(tbl_raw[[#This Row],[Payment_Method]]="COD",1,0)</f>
        <v>0</v>
      </c>
      <c r="W547" s="26">
        <f>MIN(1,(tbl_raw[[#This Row],[Discount_Pct]]*1.4)+(tbl_raw[[#This Row],[COD_Flag]]*0.35))</f>
        <v>6.9999999999999993E-2</v>
      </c>
    </row>
    <row r="548" spans="1:23" ht="22.8" x14ac:dyDescent="0.3">
      <c r="A548" s="17" t="s">
        <v>1470</v>
      </c>
      <c r="B548" s="18" t="s">
        <v>244</v>
      </c>
      <c r="C548" s="18" t="s">
        <v>99</v>
      </c>
      <c r="D548" s="18" t="s">
        <v>53</v>
      </c>
      <c r="E548" s="18" t="s">
        <v>54</v>
      </c>
      <c r="F548" s="18" t="s">
        <v>1471</v>
      </c>
      <c r="G548" s="18" t="s">
        <v>47</v>
      </c>
      <c r="H548" s="18" t="s">
        <v>48</v>
      </c>
      <c r="I548" s="18">
        <v>6</v>
      </c>
      <c r="J548" s="19">
        <v>2661</v>
      </c>
      <c r="K548" s="19">
        <v>1464</v>
      </c>
      <c r="L548" s="20">
        <v>0.45</v>
      </c>
      <c r="M548" s="19">
        <v>1776</v>
      </c>
      <c r="N548" s="19">
        <f>(tbl_raw[[#This Row],[Selling_Price]]-tbl_raw[[#This Row],[Cost_Price]])*tbl_raw[[#This Row],[Units_Sold]]</f>
        <v>-1872</v>
      </c>
      <c r="O548" s="20">
        <f>IFERROR((tbl_raw[[#This Row],[Selling_Price]]-tbl_raw[[#This Row],[Cost_Price]]) / tbl_raw[[#This Row],[Selling_Price]],0)</f>
        <v>-0.21311475409836064</v>
      </c>
      <c r="P548" s="19">
        <v>53</v>
      </c>
      <c r="Q548" s="19">
        <f>tbl_raw[[#This Row],[Gross_Profit]]-(tbl_raw[[#This Row],[Shipping_Cost]]*tbl_raw[[#This Row],[Units_Sold]])</f>
        <v>-2190</v>
      </c>
      <c r="R548" s="20">
        <f>IFERROR(tbl_raw[[#This Row],[Net_Profit]]/(tbl_raw[[#This Row],[Selling_Price]]*tbl_raw[[#This Row],[Units_Sold]]),0)</f>
        <v>-0.24931693989071038</v>
      </c>
      <c r="S548" s="18" t="s">
        <v>31</v>
      </c>
      <c r="T548" s="18" t="s">
        <v>32</v>
      </c>
      <c r="U548" s="18">
        <f>IF(tbl_raw[[#This Row],[Order_Status]]="Returned",1,0)</f>
        <v>0</v>
      </c>
      <c r="V548" s="18">
        <f>IF(tbl_raw[[#This Row],[Payment_Method]]="COD",1,0)</f>
        <v>0</v>
      </c>
      <c r="W548" s="21">
        <f>MIN(1,(tbl_raw[[#This Row],[Discount_Pct]]*1.4)+(tbl_raw[[#This Row],[COD_Flag]]*0.35))</f>
        <v>0.63</v>
      </c>
    </row>
    <row r="549" spans="1:23" ht="22.8" x14ac:dyDescent="0.3">
      <c r="A549" s="22" t="s">
        <v>1472</v>
      </c>
      <c r="B549" s="23" t="s">
        <v>67</v>
      </c>
      <c r="C549" s="23" t="s">
        <v>35</v>
      </c>
      <c r="D549" s="23" t="s">
        <v>26</v>
      </c>
      <c r="E549" s="23" t="s">
        <v>168</v>
      </c>
      <c r="F549" s="23" t="s">
        <v>1473</v>
      </c>
      <c r="G549" s="23" t="s">
        <v>81</v>
      </c>
      <c r="H549" s="23" t="s">
        <v>30</v>
      </c>
      <c r="I549" s="23">
        <v>15</v>
      </c>
      <c r="J549" s="24">
        <v>3604</v>
      </c>
      <c r="K549" s="24">
        <v>1982</v>
      </c>
      <c r="L549" s="25">
        <v>0.45</v>
      </c>
      <c r="M549" s="24">
        <v>2611</v>
      </c>
      <c r="N549" s="24">
        <f>(tbl_raw[[#This Row],[Selling_Price]]-tbl_raw[[#This Row],[Cost_Price]])*tbl_raw[[#This Row],[Units_Sold]]</f>
        <v>-9435</v>
      </c>
      <c r="O549" s="25">
        <f>IFERROR((tbl_raw[[#This Row],[Selling_Price]]-tbl_raw[[#This Row],[Cost_Price]]) / tbl_raw[[#This Row],[Selling_Price]],0)</f>
        <v>-0.31735620585267404</v>
      </c>
      <c r="P549" s="24">
        <v>36</v>
      </c>
      <c r="Q549" s="24">
        <f>tbl_raw[[#This Row],[Gross_Profit]]-(tbl_raw[[#This Row],[Shipping_Cost]]*tbl_raw[[#This Row],[Units_Sold]])</f>
        <v>-9975</v>
      </c>
      <c r="R549" s="25">
        <f>IFERROR(tbl_raw[[#This Row],[Net_Profit]]/(tbl_raw[[#This Row],[Selling_Price]]*tbl_raw[[#This Row],[Units_Sold]]),0)</f>
        <v>-0.33551967709384461</v>
      </c>
      <c r="S549" s="23" t="s">
        <v>107</v>
      </c>
      <c r="T549" s="23" t="s">
        <v>32</v>
      </c>
      <c r="U549" s="23">
        <f>IF(tbl_raw[[#This Row],[Order_Status]]="Returned",1,0)</f>
        <v>0</v>
      </c>
      <c r="V549" s="23">
        <f>IF(tbl_raw[[#This Row],[Payment_Method]]="COD",1,0)</f>
        <v>0</v>
      </c>
      <c r="W549" s="26">
        <f>MIN(1,(tbl_raw[[#This Row],[Discount_Pct]]*1.4)+(tbl_raw[[#This Row],[COD_Flag]]*0.35))</f>
        <v>0.63</v>
      </c>
    </row>
    <row r="550" spans="1:23" ht="22.8" x14ac:dyDescent="0.3">
      <c r="A550" s="17" t="s">
        <v>1474</v>
      </c>
      <c r="B550" s="18" t="s">
        <v>1447</v>
      </c>
      <c r="C550" s="18" t="s">
        <v>117</v>
      </c>
      <c r="D550" s="18" t="s">
        <v>175</v>
      </c>
      <c r="E550" s="18" t="s">
        <v>225</v>
      </c>
      <c r="F550" s="18" t="s">
        <v>1475</v>
      </c>
      <c r="G550" s="18" t="s">
        <v>56</v>
      </c>
      <c r="H550" s="18" t="s">
        <v>57</v>
      </c>
      <c r="I550" s="18">
        <v>3</v>
      </c>
      <c r="J550" s="19">
        <v>1789</v>
      </c>
      <c r="K550" s="19">
        <v>1556</v>
      </c>
      <c r="L550" s="20">
        <v>0.13</v>
      </c>
      <c r="M550" s="19">
        <v>1238</v>
      </c>
      <c r="N550" s="19">
        <f>(tbl_raw[[#This Row],[Selling_Price]]-tbl_raw[[#This Row],[Cost_Price]])*tbl_raw[[#This Row],[Units_Sold]]</f>
        <v>954</v>
      </c>
      <c r="O550" s="20">
        <f>IFERROR((tbl_raw[[#This Row],[Selling_Price]]-tbl_raw[[#This Row],[Cost_Price]]) / tbl_raw[[#This Row],[Selling_Price]],0)</f>
        <v>0.20437017994858611</v>
      </c>
      <c r="P550" s="19">
        <v>142</v>
      </c>
      <c r="Q550" s="19">
        <f>tbl_raw[[#This Row],[Gross_Profit]]-(tbl_raw[[#This Row],[Shipping_Cost]]*tbl_raw[[#This Row],[Units_Sold]])</f>
        <v>528</v>
      </c>
      <c r="R550" s="20">
        <f>IFERROR(tbl_raw[[#This Row],[Net_Profit]]/(tbl_raw[[#This Row],[Selling_Price]]*tbl_raw[[#This Row],[Units_Sold]]),0)</f>
        <v>0.11311053984575835</v>
      </c>
      <c r="S550" s="18" t="s">
        <v>107</v>
      </c>
      <c r="T550" s="18" t="s">
        <v>32</v>
      </c>
      <c r="U550" s="18">
        <f>IF(tbl_raw[[#This Row],[Order_Status]]="Returned",1,0)</f>
        <v>0</v>
      </c>
      <c r="V550" s="18">
        <f>IF(tbl_raw[[#This Row],[Payment_Method]]="COD",1,0)</f>
        <v>0</v>
      </c>
      <c r="W550" s="21">
        <f>MIN(1,(tbl_raw[[#This Row],[Discount_Pct]]*1.4)+(tbl_raw[[#This Row],[COD_Flag]]*0.35))</f>
        <v>0.182</v>
      </c>
    </row>
    <row r="551" spans="1:23" ht="22.8" x14ac:dyDescent="0.3">
      <c r="A551" s="22" t="s">
        <v>1476</v>
      </c>
      <c r="B551" s="23" t="s">
        <v>348</v>
      </c>
      <c r="C551" s="23" t="s">
        <v>35</v>
      </c>
      <c r="D551" s="23" t="s">
        <v>26</v>
      </c>
      <c r="E551" s="23" t="s">
        <v>36</v>
      </c>
      <c r="F551" s="23" t="s">
        <v>1477</v>
      </c>
      <c r="G551" s="23" t="s">
        <v>102</v>
      </c>
      <c r="H551" s="23" t="s">
        <v>39</v>
      </c>
      <c r="I551" s="23">
        <v>6</v>
      </c>
      <c r="J551" s="24">
        <v>3448</v>
      </c>
      <c r="K551" s="24">
        <v>3345</v>
      </c>
      <c r="L551" s="25">
        <v>0.03</v>
      </c>
      <c r="M551" s="24">
        <v>2306</v>
      </c>
      <c r="N551" s="24">
        <f>(tbl_raw[[#This Row],[Selling_Price]]-tbl_raw[[#This Row],[Cost_Price]])*tbl_raw[[#This Row],[Units_Sold]]</f>
        <v>6234</v>
      </c>
      <c r="O551" s="25">
        <f>IFERROR((tbl_raw[[#This Row],[Selling_Price]]-tbl_raw[[#This Row],[Cost_Price]]) / tbl_raw[[#This Row],[Selling_Price]],0)</f>
        <v>0.31061285500747382</v>
      </c>
      <c r="P551" s="24">
        <v>132</v>
      </c>
      <c r="Q551" s="24">
        <f>tbl_raw[[#This Row],[Gross_Profit]]-(tbl_raw[[#This Row],[Shipping_Cost]]*tbl_raw[[#This Row],[Units_Sold]])</f>
        <v>5442</v>
      </c>
      <c r="R551" s="25">
        <f>IFERROR(tbl_raw[[#This Row],[Net_Profit]]/(tbl_raw[[#This Row],[Selling_Price]]*tbl_raw[[#This Row],[Units_Sold]]),0)</f>
        <v>0.2711509715994021</v>
      </c>
      <c r="S551" s="23" t="s">
        <v>107</v>
      </c>
      <c r="T551" s="23" t="s">
        <v>32</v>
      </c>
      <c r="U551" s="23">
        <f>IF(tbl_raw[[#This Row],[Order_Status]]="Returned",1,0)</f>
        <v>0</v>
      </c>
      <c r="V551" s="23">
        <f>IF(tbl_raw[[#This Row],[Payment_Method]]="COD",1,0)</f>
        <v>0</v>
      </c>
      <c r="W551" s="26">
        <f>MIN(1,(tbl_raw[[#This Row],[Discount_Pct]]*1.4)+(tbl_raw[[#This Row],[COD_Flag]]*0.35))</f>
        <v>4.1999999999999996E-2</v>
      </c>
    </row>
    <row r="552" spans="1:23" ht="22.8" x14ac:dyDescent="0.3">
      <c r="A552" s="17" t="s">
        <v>1478</v>
      </c>
      <c r="B552" s="18" t="s">
        <v>24</v>
      </c>
      <c r="C552" s="18" t="s">
        <v>25</v>
      </c>
      <c r="D552" s="18" t="s">
        <v>78</v>
      </c>
      <c r="E552" s="18" t="s">
        <v>79</v>
      </c>
      <c r="F552" s="18" t="s">
        <v>1479</v>
      </c>
      <c r="G552" s="18" t="s">
        <v>120</v>
      </c>
      <c r="H552" s="18" t="s">
        <v>39</v>
      </c>
      <c r="I552" s="18">
        <v>11</v>
      </c>
      <c r="J552" s="19">
        <v>1399</v>
      </c>
      <c r="K552" s="19">
        <v>1343</v>
      </c>
      <c r="L552" s="20">
        <v>0.04</v>
      </c>
      <c r="M552" s="19">
        <v>966</v>
      </c>
      <c r="N552" s="19">
        <f>(tbl_raw[[#This Row],[Selling_Price]]-tbl_raw[[#This Row],[Cost_Price]])*tbl_raw[[#This Row],[Units_Sold]]</f>
        <v>4147</v>
      </c>
      <c r="O552" s="20">
        <f>IFERROR((tbl_raw[[#This Row],[Selling_Price]]-tbl_raw[[#This Row],[Cost_Price]]) / tbl_raw[[#This Row],[Selling_Price]],0)</f>
        <v>0.28071481757259864</v>
      </c>
      <c r="P552" s="19">
        <v>129</v>
      </c>
      <c r="Q552" s="19">
        <f>tbl_raw[[#This Row],[Gross_Profit]]-(tbl_raw[[#This Row],[Shipping_Cost]]*tbl_raw[[#This Row],[Units_Sold]])</f>
        <v>2728</v>
      </c>
      <c r="R552" s="20">
        <f>IFERROR(tbl_raw[[#This Row],[Net_Profit]]/(tbl_raw[[#This Row],[Selling_Price]]*tbl_raw[[#This Row],[Units_Sold]]),0)</f>
        <v>0.18466120625465376</v>
      </c>
      <c r="S552" s="18" t="s">
        <v>31</v>
      </c>
      <c r="T552" s="18" t="s">
        <v>32</v>
      </c>
      <c r="U552" s="18">
        <f>IF(tbl_raw[[#This Row],[Order_Status]]="Returned",1,0)</f>
        <v>0</v>
      </c>
      <c r="V552" s="18">
        <f>IF(tbl_raw[[#This Row],[Payment_Method]]="COD",1,0)</f>
        <v>0</v>
      </c>
      <c r="W552" s="21">
        <f>MIN(1,(tbl_raw[[#This Row],[Discount_Pct]]*1.4)+(tbl_raw[[#This Row],[COD_Flag]]*0.35))</f>
        <v>5.5999999999999994E-2</v>
      </c>
    </row>
    <row r="553" spans="1:23" ht="22.8" x14ac:dyDescent="0.3">
      <c r="A553" s="22" t="s">
        <v>1480</v>
      </c>
      <c r="B553" s="23" t="s">
        <v>819</v>
      </c>
      <c r="C553" s="23" t="s">
        <v>25</v>
      </c>
      <c r="D553" s="23" t="s">
        <v>44</v>
      </c>
      <c r="E553" s="23" t="s">
        <v>45</v>
      </c>
      <c r="F553" s="23" t="s">
        <v>1481</v>
      </c>
      <c r="G553" s="23" t="s">
        <v>102</v>
      </c>
      <c r="H553" s="23" t="s">
        <v>39</v>
      </c>
      <c r="I553" s="23">
        <v>15</v>
      </c>
      <c r="J553" s="24">
        <v>2734</v>
      </c>
      <c r="K553" s="24">
        <v>1832</v>
      </c>
      <c r="L553" s="25">
        <v>0.33</v>
      </c>
      <c r="M553" s="24">
        <v>1796</v>
      </c>
      <c r="N553" s="24">
        <f>(tbl_raw[[#This Row],[Selling_Price]]-tbl_raw[[#This Row],[Cost_Price]])*tbl_raw[[#This Row],[Units_Sold]]</f>
        <v>540</v>
      </c>
      <c r="O553" s="25">
        <f>IFERROR((tbl_raw[[#This Row],[Selling_Price]]-tbl_raw[[#This Row],[Cost_Price]]) / tbl_raw[[#This Row],[Selling_Price]],0)</f>
        <v>1.9650655021834062E-2</v>
      </c>
      <c r="P553" s="24">
        <v>174</v>
      </c>
      <c r="Q553" s="24">
        <f>tbl_raw[[#This Row],[Gross_Profit]]-(tbl_raw[[#This Row],[Shipping_Cost]]*tbl_raw[[#This Row],[Units_Sold]])</f>
        <v>-2070</v>
      </c>
      <c r="R553" s="25">
        <f>IFERROR(tbl_raw[[#This Row],[Net_Profit]]/(tbl_raw[[#This Row],[Selling_Price]]*tbl_raw[[#This Row],[Units_Sold]]),0)</f>
        <v>-7.5327510917030563E-2</v>
      </c>
      <c r="S553" s="23" t="s">
        <v>65</v>
      </c>
      <c r="T553" s="23" t="s">
        <v>59</v>
      </c>
      <c r="U553" s="23">
        <f>IF(tbl_raw[[#This Row],[Order_Status]]="Returned",1,0)</f>
        <v>0</v>
      </c>
      <c r="V553" s="23">
        <f>IF(tbl_raw[[#This Row],[Payment_Method]]="COD",1,0)</f>
        <v>0</v>
      </c>
      <c r="W553" s="26">
        <f>MIN(1,(tbl_raw[[#This Row],[Discount_Pct]]*1.4)+(tbl_raw[[#This Row],[COD_Flag]]*0.35))</f>
        <v>0.46199999999999997</v>
      </c>
    </row>
    <row r="554" spans="1:23" ht="22.8" x14ac:dyDescent="0.3">
      <c r="A554" s="17" t="s">
        <v>1482</v>
      </c>
      <c r="B554" s="18" t="s">
        <v>93</v>
      </c>
      <c r="C554" s="18" t="s">
        <v>25</v>
      </c>
      <c r="D554" s="18" t="s">
        <v>44</v>
      </c>
      <c r="E554" s="18" t="s">
        <v>45</v>
      </c>
      <c r="F554" s="18" t="s">
        <v>1483</v>
      </c>
      <c r="G554" s="18" t="s">
        <v>120</v>
      </c>
      <c r="H554" s="18" t="s">
        <v>39</v>
      </c>
      <c r="I554" s="18">
        <v>18</v>
      </c>
      <c r="J554" s="19">
        <v>7625</v>
      </c>
      <c r="K554" s="19">
        <v>6329</v>
      </c>
      <c r="L554" s="20">
        <v>0.17</v>
      </c>
      <c r="M554" s="19">
        <v>4114</v>
      </c>
      <c r="N554" s="19">
        <f>(tbl_raw[[#This Row],[Selling_Price]]-tbl_raw[[#This Row],[Cost_Price]])*tbl_raw[[#This Row],[Units_Sold]]</f>
        <v>39870</v>
      </c>
      <c r="O554" s="20">
        <f>IFERROR((tbl_raw[[#This Row],[Selling_Price]]-tbl_raw[[#This Row],[Cost_Price]]) / tbl_raw[[#This Row],[Selling_Price]],0)</f>
        <v>0.34997629957339232</v>
      </c>
      <c r="P554" s="19">
        <v>57</v>
      </c>
      <c r="Q554" s="19">
        <f>tbl_raw[[#This Row],[Gross_Profit]]-(tbl_raw[[#This Row],[Shipping_Cost]]*tbl_raw[[#This Row],[Units_Sold]])</f>
        <v>38844</v>
      </c>
      <c r="R554" s="20">
        <f>IFERROR(tbl_raw[[#This Row],[Net_Profit]]/(tbl_raw[[#This Row],[Selling_Price]]*tbl_raw[[#This Row],[Units_Sold]]),0)</f>
        <v>0.34097013746247434</v>
      </c>
      <c r="S554" s="18" t="s">
        <v>31</v>
      </c>
      <c r="T554" s="18" t="s">
        <v>59</v>
      </c>
      <c r="U554" s="18">
        <f>IF(tbl_raw[[#This Row],[Order_Status]]="Returned",1,0)</f>
        <v>0</v>
      </c>
      <c r="V554" s="18">
        <f>IF(tbl_raw[[#This Row],[Payment_Method]]="COD",1,0)</f>
        <v>0</v>
      </c>
      <c r="W554" s="21">
        <f>MIN(1,(tbl_raw[[#This Row],[Discount_Pct]]*1.4)+(tbl_raw[[#This Row],[COD_Flag]]*0.35))</f>
        <v>0.23799999999999999</v>
      </c>
    </row>
    <row r="555" spans="1:23" ht="22.8" x14ac:dyDescent="0.3">
      <c r="A555" s="22" t="s">
        <v>1484</v>
      </c>
      <c r="B555" s="23" t="s">
        <v>1392</v>
      </c>
      <c r="C555" s="23" t="s">
        <v>43</v>
      </c>
      <c r="D555" s="23" t="s">
        <v>78</v>
      </c>
      <c r="E555" s="23" t="s">
        <v>79</v>
      </c>
      <c r="F555" s="23" t="s">
        <v>1485</v>
      </c>
      <c r="G555" s="23" t="s">
        <v>81</v>
      </c>
      <c r="H555" s="23" t="s">
        <v>30</v>
      </c>
      <c r="I555" s="23">
        <v>4</v>
      </c>
      <c r="J555" s="24">
        <v>2529</v>
      </c>
      <c r="K555" s="24">
        <v>1619</v>
      </c>
      <c r="L555" s="25">
        <v>0.36</v>
      </c>
      <c r="M555" s="24">
        <v>1663</v>
      </c>
      <c r="N555" s="24">
        <f>(tbl_raw[[#This Row],[Selling_Price]]-tbl_raw[[#This Row],[Cost_Price]])*tbl_raw[[#This Row],[Units_Sold]]</f>
        <v>-176</v>
      </c>
      <c r="O555" s="25">
        <f>IFERROR((tbl_raw[[#This Row],[Selling_Price]]-tbl_raw[[#This Row],[Cost_Price]]) / tbl_raw[[#This Row],[Selling_Price]],0)</f>
        <v>-2.7177269919703522E-2</v>
      </c>
      <c r="P555" s="24">
        <v>168</v>
      </c>
      <c r="Q555" s="24">
        <f>tbl_raw[[#This Row],[Gross_Profit]]-(tbl_raw[[#This Row],[Shipping_Cost]]*tbl_raw[[#This Row],[Units_Sold]])</f>
        <v>-848</v>
      </c>
      <c r="R555" s="25">
        <f>IFERROR(tbl_raw[[#This Row],[Net_Profit]]/(tbl_raw[[#This Row],[Selling_Price]]*tbl_raw[[#This Row],[Units_Sold]]),0)</f>
        <v>-0.13094502779493514</v>
      </c>
      <c r="S555" s="23" t="s">
        <v>65</v>
      </c>
      <c r="T555" s="23" t="s">
        <v>32</v>
      </c>
      <c r="U555" s="23">
        <f>IF(tbl_raw[[#This Row],[Order_Status]]="Returned",1,0)</f>
        <v>0</v>
      </c>
      <c r="V555" s="23">
        <f>IF(tbl_raw[[#This Row],[Payment_Method]]="COD",1,0)</f>
        <v>0</v>
      </c>
      <c r="W555" s="26">
        <f>MIN(1,(tbl_raw[[#This Row],[Discount_Pct]]*1.4)+(tbl_raw[[#This Row],[COD_Flag]]*0.35))</f>
        <v>0.504</v>
      </c>
    </row>
    <row r="556" spans="1:23" ht="22.8" x14ac:dyDescent="0.3">
      <c r="A556" s="17" t="s">
        <v>1486</v>
      </c>
      <c r="B556" s="18" t="s">
        <v>324</v>
      </c>
      <c r="C556" s="18" t="s">
        <v>89</v>
      </c>
      <c r="D556" s="18" t="s">
        <v>94</v>
      </c>
      <c r="E556" s="18" t="s">
        <v>310</v>
      </c>
      <c r="F556" s="18" t="s">
        <v>1487</v>
      </c>
      <c r="G556" s="18" t="s">
        <v>47</v>
      </c>
      <c r="H556" s="18" t="s">
        <v>48</v>
      </c>
      <c r="I556" s="18">
        <v>16</v>
      </c>
      <c r="J556" s="19">
        <v>2294</v>
      </c>
      <c r="K556" s="19">
        <v>1675</v>
      </c>
      <c r="L556" s="20">
        <v>0.27</v>
      </c>
      <c r="M556" s="19">
        <v>990</v>
      </c>
      <c r="N556" s="19">
        <f>(tbl_raw[[#This Row],[Selling_Price]]-tbl_raw[[#This Row],[Cost_Price]])*tbl_raw[[#This Row],[Units_Sold]]</f>
        <v>10960</v>
      </c>
      <c r="O556" s="20">
        <f>IFERROR((tbl_raw[[#This Row],[Selling_Price]]-tbl_raw[[#This Row],[Cost_Price]]) / tbl_raw[[#This Row],[Selling_Price]],0)</f>
        <v>0.40895522388059702</v>
      </c>
      <c r="P556" s="19">
        <v>93</v>
      </c>
      <c r="Q556" s="19">
        <f>tbl_raw[[#This Row],[Gross_Profit]]-(tbl_raw[[#This Row],[Shipping_Cost]]*tbl_raw[[#This Row],[Units_Sold]])</f>
        <v>9472</v>
      </c>
      <c r="R556" s="20">
        <f>IFERROR(tbl_raw[[#This Row],[Net_Profit]]/(tbl_raw[[#This Row],[Selling_Price]]*tbl_raw[[#This Row],[Units_Sold]]),0)</f>
        <v>0.35343283582089552</v>
      </c>
      <c r="S556" s="18" t="s">
        <v>107</v>
      </c>
      <c r="T556" s="18" t="s">
        <v>32</v>
      </c>
      <c r="U556" s="18">
        <f>IF(tbl_raw[[#This Row],[Order_Status]]="Returned",1,0)</f>
        <v>0</v>
      </c>
      <c r="V556" s="18">
        <f>IF(tbl_raw[[#This Row],[Payment_Method]]="COD",1,0)</f>
        <v>0</v>
      </c>
      <c r="W556" s="21">
        <f>MIN(1,(tbl_raw[[#This Row],[Discount_Pct]]*1.4)+(tbl_raw[[#This Row],[COD_Flag]]*0.35))</f>
        <v>0.378</v>
      </c>
    </row>
    <row r="557" spans="1:23" ht="22.8" x14ac:dyDescent="0.3">
      <c r="A557" s="22" t="s">
        <v>1488</v>
      </c>
      <c r="B557" s="23" t="s">
        <v>51</v>
      </c>
      <c r="C557" s="23" t="s">
        <v>52</v>
      </c>
      <c r="D557" s="23" t="s">
        <v>26</v>
      </c>
      <c r="E557" s="23" t="s">
        <v>36</v>
      </c>
      <c r="F557" s="23" t="s">
        <v>1489</v>
      </c>
      <c r="G557" s="23" t="s">
        <v>75</v>
      </c>
      <c r="H557" s="23" t="s">
        <v>48</v>
      </c>
      <c r="I557" s="23">
        <v>8</v>
      </c>
      <c r="J557" s="24">
        <v>5251</v>
      </c>
      <c r="K557" s="24">
        <v>3571</v>
      </c>
      <c r="L557" s="25">
        <v>0.32</v>
      </c>
      <c r="M557" s="24">
        <v>3811</v>
      </c>
      <c r="N557" s="24">
        <f>(tbl_raw[[#This Row],[Selling_Price]]-tbl_raw[[#This Row],[Cost_Price]])*tbl_raw[[#This Row],[Units_Sold]]</f>
        <v>-1920</v>
      </c>
      <c r="O557" s="25">
        <f>IFERROR((tbl_raw[[#This Row],[Selling_Price]]-tbl_raw[[#This Row],[Cost_Price]]) / tbl_raw[[#This Row],[Selling_Price]],0)</f>
        <v>-6.7208064967796133E-2</v>
      </c>
      <c r="P557" s="24">
        <v>109</v>
      </c>
      <c r="Q557" s="24">
        <f>tbl_raw[[#This Row],[Gross_Profit]]-(tbl_raw[[#This Row],[Shipping_Cost]]*tbl_raw[[#This Row],[Units_Sold]])</f>
        <v>-2792</v>
      </c>
      <c r="R557" s="25">
        <f>IFERROR(tbl_raw[[#This Row],[Net_Profit]]/(tbl_raw[[#This Row],[Selling_Price]]*tbl_raw[[#This Row],[Units_Sold]]),0)</f>
        <v>-9.7731727807336882E-2</v>
      </c>
      <c r="S557" s="23" t="s">
        <v>65</v>
      </c>
      <c r="T557" s="23" t="s">
        <v>32</v>
      </c>
      <c r="U557" s="23">
        <f>IF(tbl_raw[[#This Row],[Order_Status]]="Returned",1,0)</f>
        <v>0</v>
      </c>
      <c r="V557" s="23">
        <f>IF(tbl_raw[[#This Row],[Payment_Method]]="COD",1,0)</f>
        <v>0</v>
      </c>
      <c r="W557" s="26">
        <f>MIN(1,(tbl_raw[[#This Row],[Discount_Pct]]*1.4)+(tbl_raw[[#This Row],[COD_Flag]]*0.35))</f>
        <v>0.44799999999999995</v>
      </c>
    </row>
    <row r="558" spans="1:23" ht="22.8" x14ac:dyDescent="0.3">
      <c r="A558" s="17" t="s">
        <v>1490</v>
      </c>
      <c r="B558" s="18" t="s">
        <v>452</v>
      </c>
      <c r="C558" s="18" t="s">
        <v>72</v>
      </c>
      <c r="D558" s="18" t="s">
        <v>62</v>
      </c>
      <c r="E558" s="18" t="s">
        <v>63</v>
      </c>
      <c r="F558" s="18" t="s">
        <v>1491</v>
      </c>
      <c r="G558" s="18" t="s">
        <v>81</v>
      </c>
      <c r="H558" s="18" t="s">
        <v>30</v>
      </c>
      <c r="I558" s="18">
        <v>10</v>
      </c>
      <c r="J558" s="19">
        <v>6764</v>
      </c>
      <c r="K558" s="19">
        <v>5141</v>
      </c>
      <c r="L558" s="20">
        <v>0.24</v>
      </c>
      <c r="M558" s="19">
        <v>3405</v>
      </c>
      <c r="N558" s="19">
        <f>(tbl_raw[[#This Row],[Selling_Price]]-tbl_raw[[#This Row],[Cost_Price]])*tbl_raw[[#This Row],[Units_Sold]]</f>
        <v>17360</v>
      </c>
      <c r="O558" s="20">
        <f>IFERROR((tbl_raw[[#This Row],[Selling_Price]]-tbl_raw[[#This Row],[Cost_Price]]) / tbl_raw[[#This Row],[Selling_Price]],0)</f>
        <v>0.33767749465084612</v>
      </c>
      <c r="P558" s="19">
        <v>37</v>
      </c>
      <c r="Q558" s="19">
        <f>tbl_raw[[#This Row],[Gross_Profit]]-(tbl_raw[[#This Row],[Shipping_Cost]]*tbl_raw[[#This Row],[Units_Sold]])</f>
        <v>16990</v>
      </c>
      <c r="R558" s="20">
        <f>IFERROR(tbl_raw[[#This Row],[Net_Profit]]/(tbl_raw[[#This Row],[Selling_Price]]*tbl_raw[[#This Row],[Units_Sold]]),0)</f>
        <v>0.33048045127407122</v>
      </c>
      <c r="S558" s="18" t="s">
        <v>58</v>
      </c>
      <c r="T558" s="18" t="s">
        <v>32</v>
      </c>
      <c r="U558" s="18">
        <f>IF(tbl_raw[[#This Row],[Order_Status]]="Returned",1,0)</f>
        <v>0</v>
      </c>
      <c r="V558" s="18">
        <f>IF(tbl_raw[[#This Row],[Payment_Method]]="COD",1,0)</f>
        <v>0</v>
      </c>
      <c r="W558" s="21">
        <f>MIN(1,(tbl_raw[[#This Row],[Discount_Pct]]*1.4)+(tbl_raw[[#This Row],[COD_Flag]]*0.35))</f>
        <v>0.33599999999999997</v>
      </c>
    </row>
    <row r="559" spans="1:23" ht="22.8" x14ac:dyDescent="0.3">
      <c r="A559" s="22" t="s">
        <v>1492</v>
      </c>
      <c r="B559" s="23" t="s">
        <v>335</v>
      </c>
      <c r="C559" s="23" t="s">
        <v>105</v>
      </c>
      <c r="D559" s="23" t="s">
        <v>78</v>
      </c>
      <c r="E559" s="23" t="s">
        <v>296</v>
      </c>
      <c r="F559" s="23" t="s">
        <v>1493</v>
      </c>
      <c r="G559" s="23" t="s">
        <v>102</v>
      </c>
      <c r="H559" s="23" t="s">
        <v>39</v>
      </c>
      <c r="I559" s="23">
        <v>9</v>
      </c>
      <c r="J559" s="24">
        <v>2973</v>
      </c>
      <c r="K559" s="24">
        <v>2200</v>
      </c>
      <c r="L559" s="25">
        <v>0.26</v>
      </c>
      <c r="M559" s="24">
        <v>1989</v>
      </c>
      <c r="N559" s="24">
        <f>(tbl_raw[[#This Row],[Selling_Price]]-tbl_raw[[#This Row],[Cost_Price]])*tbl_raw[[#This Row],[Units_Sold]]</f>
        <v>1899</v>
      </c>
      <c r="O559" s="25">
        <f>IFERROR((tbl_raw[[#This Row],[Selling_Price]]-tbl_raw[[#This Row],[Cost_Price]]) / tbl_raw[[#This Row],[Selling_Price]],0)</f>
        <v>9.5909090909090902E-2</v>
      </c>
      <c r="P559" s="24">
        <v>32</v>
      </c>
      <c r="Q559" s="24">
        <f>tbl_raw[[#This Row],[Gross_Profit]]-(tbl_raw[[#This Row],[Shipping_Cost]]*tbl_raw[[#This Row],[Units_Sold]])</f>
        <v>1611</v>
      </c>
      <c r="R559" s="25">
        <f>IFERROR(tbl_raw[[#This Row],[Net_Profit]]/(tbl_raw[[#This Row],[Selling_Price]]*tbl_raw[[#This Row],[Units_Sold]]),0)</f>
        <v>8.136363636363636E-2</v>
      </c>
      <c r="S559" s="23" t="s">
        <v>31</v>
      </c>
      <c r="T559" s="23" t="s">
        <v>32</v>
      </c>
      <c r="U559" s="23">
        <f>IF(tbl_raw[[#This Row],[Order_Status]]="Returned",1,0)</f>
        <v>0</v>
      </c>
      <c r="V559" s="23">
        <f>IF(tbl_raw[[#This Row],[Payment_Method]]="COD",1,0)</f>
        <v>0</v>
      </c>
      <c r="W559" s="26">
        <f>MIN(1,(tbl_raw[[#This Row],[Discount_Pct]]*1.4)+(tbl_raw[[#This Row],[COD_Flag]]*0.35))</f>
        <v>0.36399999999999999</v>
      </c>
    </row>
    <row r="560" spans="1:23" ht="22.8" x14ac:dyDescent="0.3">
      <c r="A560" s="17" t="s">
        <v>1494</v>
      </c>
      <c r="B560" s="18" t="s">
        <v>586</v>
      </c>
      <c r="C560" s="18" t="s">
        <v>52</v>
      </c>
      <c r="D560" s="18" t="s">
        <v>175</v>
      </c>
      <c r="E560" s="18" t="s">
        <v>149</v>
      </c>
      <c r="F560" s="18" t="s">
        <v>1495</v>
      </c>
      <c r="G560" s="18" t="s">
        <v>143</v>
      </c>
      <c r="H560" s="18" t="s">
        <v>30</v>
      </c>
      <c r="I560" s="18">
        <v>11</v>
      </c>
      <c r="J560" s="19">
        <v>4780</v>
      </c>
      <c r="K560" s="19">
        <v>3824</v>
      </c>
      <c r="L560" s="20">
        <v>0.2</v>
      </c>
      <c r="M560" s="19">
        <v>3033</v>
      </c>
      <c r="N560" s="19">
        <f>(tbl_raw[[#This Row],[Selling_Price]]-tbl_raw[[#This Row],[Cost_Price]])*tbl_raw[[#This Row],[Units_Sold]]</f>
        <v>8701</v>
      </c>
      <c r="O560" s="20">
        <f>IFERROR((tbl_raw[[#This Row],[Selling_Price]]-tbl_raw[[#This Row],[Cost_Price]]) / tbl_raw[[#This Row],[Selling_Price]],0)</f>
        <v>0.20685146443514643</v>
      </c>
      <c r="P560" s="19">
        <v>124</v>
      </c>
      <c r="Q560" s="19">
        <f>tbl_raw[[#This Row],[Gross_Profit]]-(tbl_raw[[#This Row],[Shipping_Cost]]*tbl_raw[[#This Row],[Units_Sold]])</f>
        <v>7337</v>
      </c>
      <c r="R560" s="20">
        <f>IFERROR(tbl_raw[[#This Row],[Net_Profit]]/(tbl_raw[[#This Row],[Selling_Price]]*tbl_raw[[#This Row],[Units_Sold]]),0)</f>
        <v>0.17442468619246862</v>
      </c>
      <c r="S560" s="18" t="s">
        <v>107</v>
      </c>
      <c r="T560" s="18" t="s">
        <v>49</v>
      </c>
      <c r="U560" s="18">
        <f>IF(tbl_raw[[#This Row],[Order_Status]]="Returned",1,0)</f>
        <v>0</v>
      </c>
      <c r="V560" s="18">
        <f>IF(tbl_raw[[#This Row],[Payment_Method]]="COD",1,0)</f>
        <v>0</v>
      </c>
      <c r="W560" s="21">
        <f>MIN(1,(tbl_raw[[#This Row],[Discount_Pct]]*1.4)+(tbl_raw[[#This Row],[COD_Flag]]*0.35))</f>
        <v>0.27999999999999997</v>
      </c>
    </row>
    <row r="561" spans="1:23" ht="22.8" x14ac:dyDescent="0.3">
      <c r="A561" s="22" t="s">
        <v>1496</v>
      </c>
      <c r="B561" s="23" t="s">
        <v>42</v>
      </c>
      <c r="C561" s="23" t="s">
        <v>43</v>
      </c>
      <c r="D561" s="23" t="s">
        <v>164</v>
      </c>
      <c r="E561" s="23" t="s">
        <v>265</v>
      </c>
      <c r="F561" s="23" t="s">
        <v>1497</v>
      </c>
      <c r="G561" s="23" t="s">
        <v>102</v>
      </c>
      <c r="H561" s="23" t="s">
        <v>39</v>
      </c>
      <c r="I561" s="23">
        <v>9</v>
      </c>
      <c r="J561" s="24">
        <v>6999</v>
      </c>
      <c r="K561" s="24">
        <v>6649</v>
      </c>
      <c r="L561" s="25">
        <v>0.05</v>
      </c>
      <c r="M561" s="24">
        <v>4109</v>
      </c>
      <c r="N561" s="24">
        <f>(tbl_raw[[#This Row],[Selling_Price]]-tbl_raw[[#This Row],[Cost_Price]])*tbl_raw[[#This Row],[Units_Sold]]</f>
        <v>22860</v>
      </c>
      <c r="O561" s="25">
        <f>IFERROR((tbl_raw[[#This Row],[Selling_Price]]-tbl_raw[[#This Row],[Cost_Price]]) / tbl_raw[[#This Row],[Selling_Price]],0)</f>
        <v>0.38201233268160628</v>
      </c>
      <c r="P561" s="24">
        <v>31</v>
      </c>
      <c r="Q561" s="24">
        <f>tbl_raw[[#This Row],[Gross_Profit]]-(tbl_raw[[#This Row],[Shipping_Cost]]*tbl_raw[[#This Row],[Units_Sold]])</f>
        <v>22581</v>
      </c>
      <c r="R561" s="25">
        <f>IFERROR(tbl_raw[[#This Row],[Net_Profit]]/(tbl_raw[[#This Row],[Selling_Price]]*tbl_raw[[#This Row],[Units_Sold]]),0)</f>
        <v>0.37734997744021659</v>
      </c>
      <c r="S561" s="23" t="s">
        <v>58</v>
      </c>
      <c r="T561" s="23" t="s">
        <v>32</v>
      </c>
      <c r="U561" s="23">
        <f>IF(tbl_raw[[#This Row],[Order_Status]]="Returned",1,0)</f>
        <v>0</v>
      </c>
      <c r="V561" s="23">
        <f>IF(tbl_raw[[#This Row],[Payment_Method]]="COD",1,0)</f>
        <v>0</v>
      </c>
      <c r="W561" s="26">
        <f>MIN(1,(tbl_raw[[#This Row],[Discount_Pct]]*1.4)+(tbl_raw[[#This Row],[COD_Flag]]*0.35))</f>
        <v>6.9999999999999993E-2</v>
      </c>
    </row>
    <row r="562" spans="1:23" ht="22.8" x14ac:dyDescent="0.3">
      <c r="A562" s="17" t="s">
        <v>1498</v>
      </c>
      <c r="B562" s="18" t="s">
        <v>788</v>
      </c>
      <c r="C562" s="18" t="s">
        <v>117</v>
      </c>
      <c r="D562" s="18" t="s">
        <v>78</v>
      </c>
      <c r="E562" s="18" t="s">
        <v>84</v>
      </c>
      <c r="F562" s="18" t="s">
        <v>1499</v>
      </c>
      <c r="G562" s="18" t="s">
        <v>75</v>
      </c>
      <c r="H562" s="18" t="s">
        <v>48</v>
      </c>
      <c r="I562" s="18">
        <v>10</v>
      </c>
      <c r="J562" s="19">
        <v>5024</v>
      </c>
      <c r="K562" s="19">
        <v>2813</v>
      </c>
      <c r="L562" s="20">
        <v>0.44</v>
      </c>
      <c r="M562" s="19">
        <v>2644</v>
      </c>
      <c r="N562" s="19">
        <f>(tbl_raw[[#This Row],[Selling_Price]]-tbl_raw[[#This Row],[Cost_Price]])*tbl_raw[[#This Row],[Units_Sold]]</f>
        <v>1690</v>
      </c>
      <c r="O562" s="20">
        <f>IFERROR((tbl_raw[[#This Row],[Selling_Price]]-tbl_raw[[#This Row],[Cost_Price]]) / tbl_raw[[#This Row],[Selling_Price]],0)</f>
        <v>6.0078208318521155E-2</v>
      </c>
      <c r="P562" s="19">
        <v>131</v>
      </c>
      <c r="Q562" s="19">
        <f>tbl_raw[[#This Row],[Gross_Profit]]-(tbl_raw[[#This Row],[Shipping_Cost]]*tbl_raw[[#This Row],[Units_Sold]])</f>
        <v>380</v>
      </c>
      <c r="R562" s="20">
        <f>IFERROR(tbl_raw[[#This Row],[Net_Profit]]/(tbl_raw[[#This Row],[Selling_Price]]*tbl_raw[[#This Row],[Units_Sold]]),0)</f>
        <v>1.35087095627444E-2</v>
      </c>
      <c r="S562" s="18" t="s">
        <v>31</v>
      </c>
      <c r="T562" s="18" t="s">
        <v>32</v>
      </c>
      <c r="U562" s="18">
        <f>IF(tbl_raw[[#This Row],[Order_Status]]="Returned",1,0)</f>
        <v>0</v>
      </c>
      <c r="V562" s="18">
        <f>IF(tbl_raw[[#This Row],[Payment_Method]]="COD",1,0)</f>
        <v>0</v>
      </c>
      <c r="W562" s="21">
        <f>MIN(1,(tbl_raw[[#This Row],[Discount_Pct]]*1.4)+(tbl_raw[[#This Row],[COD_Flag]]*0.35))</f>
        <v>0.61599999999999999</v>
      </c>
    </row>
    <row r="563" spans="1:23" ht="22.8" x14ac:dyDescent="0.3">
      <c r="A563" s="22" t="s">
        <v>1500</v>
      </c>
      <c r="B563" s="23" t="s">
        <v>1130</v>
      </c>
      <c r="C563" s="23" t="s">
        <v>43</v>
      </c>
      <c r="D563" s="23" t="s">
        <v>94</v>
      </c>
      <c r="E563" s="23" t="s">
        <v>207</v>
      </c>
      <c r="F563" s="23" t="s">
        <v>1501</v>
      </c>
      <c r="G563" s="23" t="s">
        <v>139</v>
      </c>
      <c r="H563" s="23" t="s">
        <v>48</v>
      </c>
      <c r="I563" s="23">
        <v>7</v>
      </c>
      <c r="J563" s="24">
        <v>6900</v>
      </c>
      <c r="K563" s="24">
        <v>6279</v>
      </c>
      <c r="L563" s="25">
        <v>0.09</v>
      </c>
      <c r="M563" s="24">
        <v>4326</v>
      </c>
      <c r="N563" s="24">
        <f>(tbl_raw[[#This Row],[Selling_Price]]-tbl_raw[[#This Row],[Cost_Price]])*tbl_raw[[#This Row],[Units_Sold]]</f>
        <v>13671</v>
      </c>
      <c r="O563" s="25">
        <f>IFERROR((tbl_raw[[#This Row],[Selling_Price]]-tbl_raw[[#This Row],[Cost_Price]]) / tbl_raw[[#This Row],[Selling_Price]],0)</f>
        <v>0.31103678929765888</v>
      </c>
      <c r="P563" s="24">
        <v>127</v>
      </c>
      <c r="Q563" s="24">
        <f>tbl_raw[[#This Row],[Gross_Profit]]-(tbl_raw[[#This Row],[Shipping_Cost]]*tbl_raw[[#This Row],[Units_Sold]])</f>
        <v>12782</v>
      </c>
      <c r="R563" s="25">
        <f>IFERROR(tbl_raw[[#This Row],[Net_Profit]]/(tbl_raw[[#This Row],[Selling_Price]]*tbl_raw[[#This Row],[Units_Sold]]),0)</f>
        <v>0.29081063863672557</v>
      </c>
      <c r="S563" s="23" t="s">
        <v>31</v>
      </c>
      <c r="T563" s="23" t="s">
        <v>59</v>
      </c>
      <c r="U563" s="23">
        <f>IF(tbl_raw[[#This Row],[Order_Status]]="Returned",1,0)</f>
        <v>0</v>
      </c>
      <c r="V563" s="23">
        <f>IF(tbl_raw[[#This Row],[Payment_Method]]="COD",1,0)</f>
        <v>0</v>
      </c>
      <c r="W563" s="26">
        <f>MIN(1,(tbl_raw[[#This Row],[Discount_Pct]]*1.4)+(tbl_raw[[#This Row],[COD_Flag]]*0.35))</f>
        <v>0.126</v>
      </c>
    </row>
    <row r="564" spans="1:23" ht="22.8" x14ac:dyDescent="0.3">
      <c r="A564" s="17" t="s">
        <v>1502</v>
      </c>
      <c r="B564" s="18" t="s">
        <v>865</v>
      </c>
      <c r="C564" s="18" t="s">
        <v>105</v>
      </c>
      <c r="D564" s="18" t="s">
        <v>175</v>
      </c>
      <c r="E564" s="18" t="s">
        <v>190</v>
      </c>
      <c r="F564" s="18" t="s">
        <v>1503</v>
      </c>
      <c r="G564" s="18" t="s">
        <v>75</v>
      </c>
      <c r="H564" s="18" t="s">
        <v>48</v>
      </c>
      <c r="I564" s="18">
        <v>5</v>
      </c>
      <c r="J564" s="19">
        <v>3897</v>
      </c>
      <c r="K564" s="19">
        <v>3858</v>
      </c>
      <c r="L564" s="20">
        <v>0.01</v>
      </c>
      <c r="M564" s="19">
        <v>1785</v>
      </c>
      <c r="N564" s="19">
        <f>(tbl_raw[[#This Row],[Selling_Price]]-tbl_raw[[#This Row],[Cost_Price]])*tbl_raw[[#This Row],[Units_Sold]]</f>
        <v>10365</v>
      </c>
      <c r="O564" s="20">
        <f>IFERROR((tbl_raw[[#This Row],[Selling_Price]]-tbl_raw[[#This Row],[Cost_Price]]) / tbl_raw[[#This Row],[Selling_Price]],0)</f>
        <v>0.53732503888024885</v>
      </c>
      <c r="P564" s="19">
        <v>53</v>
      </c>
      <c r="Q564" s="19">
        <f>tbl_raw[[#This Row],[Gross_Profit]]-(tbl_raw[[#This Row],[Shipping_Cost]]*tbl_raw[[#This Row],[Units_Sold]])</f>
        <v>10100</v>
      </c>
      <c r="R564" s="20">
        <f>IFERROR(tbl_raw[[#This Row],[Net_Profit]]/(tbl_raw[[#This Row],[Selling_Price]]*tbl_raw[[#This Row],[Units_Sold]]),0)</f>
        <v>0.52358735095904618</v>
      </c>
      <c r="S564" s="18" t="s">
        <v>31</v>
      </c>
      <c r="T564" s="18" t="s">
        <v>32</v>
      </c>
      <c r="U564" s="18">
        <f>IF(tbl_raw[[#This Row],[Order_Status]]="Returned",1,0)</f>
        <v>0</v>
      </c>
      <c r="V564" s="18">
        <f>IF(tbl_raw[[#This Row],[Payment_Method]]="COD",1,0)</f>
        <v>0</v>
      </c>
      <c r="W564" s="21">
        <f>MIN(1,(tbl_raw[[#This Row],[Discount_Pct]]*1.4)+(tbl_raw[[#This Row],[COD_Flag]]*0.35))</f>
        <v>1.3999999999999999E-2</v>
      </c>
    </row>
    <row r="565" spans="1:23" ht="22.8" x14ac:dyDescent="0.3">
      <c r="A565" s="22" t="s">
        <v>1504</v>
      </c>
      <c r="B565" s="23" t="s">
        <v>600</v>
      </c>
      <c r="C565" s="23" t="s">
        <v>117</v>
      </c>
      <c r="D565" s="23" t="s">
        <v>94</v>
      </c>
      <c r="E565" s="23" t="s">
        <v>95</v>
      </c>
      <c r="F565" s="23" t="s">
        <v>1505</v>
      </c>
      <c r="G565" s="23" t="s">
        <v>102</v>
      </c>
      <c r="H565" s="23" t="s">
        <v>39</v>
      </c>
      <c r="I565" s="23">
        <v>13</v>
      </c>
      <c r="J565" s="24">
        <v>597</v>
      </c>
      <c r="K565" s="24">
        <v>597</v>
      </c>
      <c r="L565" s="25">
        <v>0</v>
      </c>
      <c r="M565" s="24">
        <v>371</v>
      </c>
      <c r="N565" s="24">
        <f>(tbl_raw[[#This Row],[Selling_Price]]-tbl_raw[[#This Row],[Cost_Price]])*tbl_raw[[#This Row],[Units_Sold]]</f>
        <v>2938</v>
      </c>
      <c r="O565" s="25">
        <f>IFERROR((tbl_raw[[#This Row],[Selling_Price]]-tbl_raw[[#This Row],[Cost_Price]]) / tbl_raw[[#This Row],[Selling_Price]],0)</f>
        <v>0.37855946398659968</v>
      </c>
      <c r="P565" s="24">
        <v>137</v>
      </c>
      <c r="Q565" s="24">
        <f>tbl_raw[[#This Row],[Gross_Profit]]-(tbl_raw[[#This Row],[Shipping_Cost]]*tbl_raw[[#This Row],[Units_Sold]])</f>
        <v>1157</v>
      </c>
      <c r="R565" s="25">
        <f>IFERROR(tbl_raw[[#This Row],[Net_Profit]]/(tbl_raw[[#This Row],[Selling_Price]]*tbl_raw[[#This Row],[Units_Sold]]),0)</f>
        <v>0.1490787269681742</v>
      </c>
      <c r="S565" s="23" t="s">
        <v>31</v>
      </c>
      <c r="T565" s="23" t="s">
        <v>32</v>
      </c>
      <c r="U565" s="23">
        <f>IF(tbl_raw[[#This Row],[Order_Status]]="Returned",1,0)</f>
        <v>0</v>
      </c>
      <c r="V565" s="23">
        <f>IF(tbl_raw[[#This Row],[Payment_Method]]="COD",1,0)</f>
        <v>0</v>
      </c>
      <c r="W565" s="26">
        <f>MIN(1,(tbl_raw[[#This Row],[Discount_Pct]]*1.4)+(tbl_raw[[#This Row],[COD_Flag]]*0.35))</f>
        <v>0</v>
      </c>
    </row>
    <row r="566" spans="1:23" ht="22.8" x14ac:dyDescent="0.3">
      <c r="A566" s="17" t="s">
        <v>1506</v>
      </c>
      <c r="B566" s="18" t="s">
        <v>1151</v>
      </c>
      <c r="C566" s="18" t="s">
        <v>199</v>
      </c>
      <c r="D566" s="18" t="s">
        <v>53</v>
      </c>
      <c r="E566" s="18" t="s">
        <v>149</v>
      </c>
      <c r="F566" s="18" t="s">
        <v>1507</v>
      </c>
      <c r="G566" s="18" t="s">
        <v>47</v>
      </c>
      <c r="H566" s="18" t="s">
        <v>48</v>
      </c>
      <c r="I566" s="18">
        <v>16</v>
      </c>
      <c r="J566" s="19">
        <v>4204</v>
      </c>
      <c r="K566" s="19">
        <v>2817</v>
      </c>
      <c r="L566" s="20">
        <v>0.33</v>
      </c>
      <c r="M566" s="19">
        <v>3058</v>
      </c>
      <c r="N566" s="19">
        <f>(tbl_raw[[#This Row],[Selling_Price]]-tbl_raw[[#This Row],[Cost_Price]])*tbl_raw[[#This Row],[Units_Sold]]</f>
        <v>-3856</v>
      </c>
      <c r="O566" s="20">
        <f>IFERROR((tbl_raw[[#This Row],[Selling_Price]]-tbl_raw[[#This Row],[Cost_Price]]) / tbl_raw[[#This Row],[Selling_Price]],0)</f>
        <v>-8.5552005679801202E-2</v>
      </c>
      <c r="P566" s="19">
        <v>166</v>
      </c>
      <c r="Q566" s="19">
        <f>tbl_raw[[#This Row],[Gross_Profit]]-(tbl_raw[[#This Row],[Shipping_Cost]]*tbl_raw[[#This Row],[Units_Sold]])</f>
        <v>-6512</v>
      </c>
      <c r="R566" s="20">
        <f>IFERROR(tbl_raw[[#This Row],[Net_Profit]]/(tbl_raw[[#This Row],[Selling_Price]]*tbl_raw[[#This Row],[Units_Sold]]),0)</f>
        <v>-0.14447994320198793</v>
      </c>
      <c r="S566" s="18" t="s">
        <v>31</v>
      </c>
      <c r="T566" s="18" t="s">
        <v>32</v>
      </c>
      <c r="U566" s="18">
        <f>IF(tbl_raw[[#This Row],[Order_Status]]="Returned",1,0)</f>
        <v>0</v>
      </c>
      <c r="V566" s="18">
        <f>IF(tbl_raw[[#This Row],[Payment_Method]]="COD",1,0)</f>
        <v>0</v>
      </c>
      <c r="W566" s="21">
        <f>MIN(1,(tbl_raw[[#This Row],[Discount_Pct]]*1.4)+(tbl_raw[[#This Row],[COD_Flag]]*0.35))</f>
        <v>0.46199999999999997</v>
      </c>
    </row>
    <row r="567" spans="1:23" ht="22.8" x14ac:dyDescent="0.3">
      <c r="A567" s="22" t="s">
        <v>1508</v>
      </c>
      <c r="B567" s="23" t="s">
        <v>1509</v>
      </c>
      <c r="C567" s="23" t="s">
        <v>132</v>
      </c>
      <c r="D567" s="23" t="s">
        <v>44</v>
      </c>
      <c r="E567" s="23" t="s">
        <v>338</v>
      </c>
      <c r="F567" s="23" t="s">
        <v>1510</v>
      </c>
      <c r="G567" s="23" t="s">
        <v>143</v>
      </c>
      <c r="H567" s="23" t="s">
        <v>30</v>
      </c>
      <c r="I567" s="23">
        <v>14</v>
      </c>
      <c r="J567" s="24">
        <v>7135</v>
      </c>
      <c r="K567" s="24">
        <v>6778</v>
      </c>
      <c r="L567" s="25">
        <v>0.05</v>
      </c>
      <c r="M567" s="24">
        <v>4409</v>
      </c>
      <c r="N567" s="24">
        <f>(tbl_raw[[#This Row],[Selling_Price]]-tbl_raw[[#This Row],[Cost_Price]])*tbl_raw[[#This Row],[Units_Sold]]</f>
        <v>33166</v>
      </c>
      <c r="O567" s="25">
        <f>IFERROR((tbl_raw[[#This Row],[Selling_Price]]-tbl_raw[[#This Row],[Cost_Price]]) / tbl_raw[[#This Row],[Selling_Price]],0)</f>
        <v>0.34951313071702567</v>
      </c>
      <c r="P567" s="24">
        <v>127</v>
      </c>
      <c r="Q567" s="24">
        <f>tbl_raw[[#This Row],[Gross_Profit]]-(tbl_raw[[#This Row],[Shipping_Cost]]*tbl_raw[[#This Row],[Units_Sold]])</f>
        <v>31388</v>
      </c>
      <c r="R567" s="25">
        <f>IFERROR(tbl_raw[[#This Row],[Net_Profit]]/(tbl_raw[[#This Row],[Selling_Price]]*tbl_raw[[#This Row],[Units_Sold]]),0)</f>
        <v>0.33077604012983181</v>
      </c>
      <c r="S567" s="23" t="s">
        <v>31</v>
      </c>
      <c r="T567" s="23" t="s">
        <v>32</v>
      </c>
      <c r="U567" s="23">
        <f>IF(tbl_raw[[#This Row],[Order_Status]]="Returned",1,0)</f>
        <v>0</v>
      </c>
      <c r="V567" s="23">
        <f>IF(tbl_raw[[#This Row],[Payment_Method]]="COD",1,0)</f>
        <v>0</v>
      </c>
      <c r="W567" s="26">
        <f>MIN(1,(tbl_raw[[#This Row],[Discount_Pct]]*1.4)+(tbl_raw[[#This Row],[COD_Flag]]*0.35))</f>
        <v>6.9999999999999993E-2</v>
      </c>
    </row>
    <row r="568" spans="1:23" ht="22.8" x14ac:dyDescent="0.3">
      <c r="A568" s="17" t="s">
        <v>1511</v>
      </c>
      <c r="B568" s="18" t="s">
        <v>733</v>
      </c>
      <c r="C568" s="18" t="s">
        <v>99</v>
      </c>
      <c r="D568" s="18" t="s">
        <v>94</v>
      </c>
      <c r="E568" s="18" t="s">
        <v>310</v>
      </c>
      <c r="F568" s="18" t="s">
        <v>1512</v>
      </c>
      <c r="G568" s="18" t="s">
        <v>75</v>
      </c>
      <c r="H568" s="18" t="s">
        <v>48</v>
      </c>
      <c r="I568" s="18">
        <v>8</v>
      </c>
      <c r="J568" s="19">
        <v>4160</v>
      </c>
      <c r="K568" s="19">
        <v>3078</v>
      </c>
      <c r="L568" s="20">
        <v>0.26</v>
      </c>
      <c r="M568" s="19">
        <v>2661</v>
      </c>
      <c r="N568" s="19">
        <f>(tbl_raw[[#This Row],[Selling_Price]]-tbl_raw[[#This Row],[Cost_Price]])*tbl_raw[[#This Row],[Units_Sold]]</f>
        <v>3336</v>
      </c>
      <c r="O568" s="20">
        <f>IFERROR((tbl_raw[[#This Row],[Selling_Price]]-tbl_raw[[#This Row],[Cost_Price]]) / tbl_raw[[#This Row],[Selling_Price]],0)</f>
        <v>0.13547758284600389</v>
      </c>
      <c r="P568" s="19">
        <v>168</v>
      </c>
      <c r="Q568" s="19">
        <f>tbl_raw[[#This Row],[Gross_Profit]]-(tbl_raw[[#This Row],[Shipping_Cost]]*tbl_raw[[#This Row],[Units_Sold]])</f>
        <v>1992</v>
      </c>
      <c r="R568" s="20">
        <f>IFERROR(tbl_raw[[#This Row],[Net_Profit]]/(tbl_raw[[#This Row],[Selling_Price]]*tbl_raw[[#This Row],[Units_Sold]]),0)</f>
        <v>8.089668615984405E-2</v>
      </c>
      <c r="S568" s="18" t="s">
        <v>31</v>
      </c>
      <c r="T568" s="18" t="s">
        <v>32</v>
      </c>
      <c r="U568" s="18">
        <f>IF(tbl_raw[[#This Row],[Order_Status]]="Returned",1,0)</f>
        <v>0</v>
      </c>
      <c r="V568" s="18">
        <f>IF(tbl_raw[[#This Row],[Payment_Method]]="COD",1,0)</f>
        <v>0</v>
      </c>
      <c r="W568" s="21">
        <f>MIN(1,(tbl_raw[[#This Row],[Discount_Pct]]*1.4)+(tbl_raw[[#This Row],[COD_Flag]]*0.35))</f>
        <v>0.36399999999999999</v>
      </c>
    </row>
    <row r="569" spans="1:23" ht="22.8" x14ac:dyDescent="0.3">
      <c r="A569" s="22" t="s">
        <v>1513</v>
      </c>
      <c r="B569" s="23" t="s">
        <v>946</v>
      </c>
      <c r="C569" s="23" t="s">
        <v>156</v>
      </c>
      <c r="D569" s="23" t="s">
        <v>78</v>
      </c>
      <c r="E569" s="23" t="s">
        <v>79</v>
      </c>
      <c r="F569" s="23" t="s">
        <v>641</v>
      </c>
      <c r="G569" s="23" t="s">
        <v>75</v>
      </c>
      <c r="H569" s="23" t="s">
        <v>48</v>
      </c>
      <c r="I569" s="23">
        <v>6</v>
      </c>
      <c r="J569" s="24">
        <v>5050</v>
      </c>
      <c r="K569" s="24">
        <v>4394</v>
      </c>
      <c r="L569" s="25">
        <v>0.13</v>
      </c>
      <c r="M569" s="24">
        <v>3344</v>
      </c>
      <c r="N569" s="24">
        <f>(tbl_raw[[#This Row],[Selling_Price]]-tbl_raw[[#This Row],[Cost_Price]])*tbl_raw[[#This Row],[Units_Sold]]</f>
        <v>6300</v>
      </c>
      <c r="O569" s="25">
        <f>IFERROR((tbl_raw[[#This Row],[Selling_Price]]-tbl_raw[[#This Row],[Cost_Price]]) / tbl_raw[[#This Row],[Selling_Price]],0)</f>
        <v>0.23896222121074193</v>
      </c>
      <c r="P569" s="24">
        <v>130</v>
      </c>
      <c r="Q569" s="24">
        <f>tbl_raw[[#This Row],[Gross_Profit]]-(tbl_raw[[#This Row],[Shipping_Cost]]*tbl_raw[[#This Row],[Units_Sold]])</f>
        <v>5520</v>
      </c>
      <c r="R569" s="25">
        <f>IFERROR(tbl_raw[[#This Row],[Net_Profit]]/(tbl_raw[[#This Row],[Selling_Price]]*tbl_raw[[#This Row],[Units_Sold]]),0)</f>
        <v>0.20937642239417387</v>
      </c>
      <c r="S569" s="23" t="s">
        <v>40</v>
      </c>
      <c r="T569" s="23" t="s">
        <v>32</v>
      </c>
      <c r="U569" s="23">
        <f>IF(tbl_raw[[#This Row],[Order_Status]]="Returned",1,0)</f>
        <v>0</v>
      </c>
      <c r="V569" s="23">
        <f>IF(tbl_raw[[#This Row],[Payment_Method]]="COD",1,0)</f>
        <v>1</v>
      </c>
      <c r="W569" s="26">
        <f>MIN(1,(tbl_raw[[#This Row],[Discount_Pct]]*1.4)+(tbl_raw[[#This Row],[COD_Flag]]*0.35))</f>
        <v>0.53200000000000003</v>
      </c>
    </row>
    <row r="570" spans="1:23" ht="22.8" x14ac:dyDescent="0.3">
      <c r="A570" s="17" t="s">
        <v>1514</v>
      </c>
      <c r="B570" s="18" t="s">
        <v>1515</v>
      </c>
      <c r="C570" s="18" t="s">
        <v>117</v>
      </c>
      <c r="D570" s="18" t="s">
        <v>78</v>
      </c>
      <c r="E570" s="18" t="s">
        <v>534</v>
      </c>
      <c r="F570" s="18" t="s">
        <v>1516</v>
      </c>
      <c r="G570" s="18" t="s">
        <v>29</v>
      </c>
      <c r="H570" s="18" t="s">
        <v>30</v>
      </c>
      <c r="I570" s="18">
        <v>7</v>
      </c>
      <c r="J570" s="19">
        <v>4543</v>
      </c>
      <c r="K570" s="19">
        <v>2499</v>
      </c>
      <c r="L570" s="20">
        <v>0.45</v>
      </c>
      <c r="M570" s="19">
        <v>2388</v>
      </c>
      <c r="N570" s="19">
        <f>(tbl_raw[[#This Row],[Selling_Price]]-tbl_raw[[#This Row],[Cost_Price]])*tbl_raw[[#This Row],[Units_Sold]]</f>
        <v>777</v>
      </c>
      <c r="O570" s="20">
        <f>IFERROR((tbl_raw[[#This Row],[Selling_Price]]-tbl_raw[[#This Row],[Cost_Price]]) / tbl_raw[[#This Row],[Selling_Price]],0)</f>
        <v>4.441776710684274E-2</v>
      </c>
      <c r="P570" s="19">
        <v>69</v>
      </c>
      <c r="Q570" s="19">
        <f>tbl_raw[[#This Row],[Gross_Profit]]-(tbl_raw[[#This Row],[Shipping_Cost]]*tbl_raw[[#This Row],[Units_Sold]])</f>
        <v>294</v>
      </c>
      <c r="R570" s="20">
        <f>IFERROR(tbl_raw[[#This Row],[Net_Profit]]/(tbl_raw[[#This Row],[Selling_Price]]*tbl_raw[[#This Row],[Units_Sold]]),0)</f>
        <v>1.680672268907563E-2</v>
      </c>
      <c r="S570" s="18" t="s">
        <v>40</v>
      </c>
      <c r="T570" s="18" t="s">
        <v>49</v>
      </c>
      <c r="U570" s="18">
        <f>IF(tbl_raw[[#This Row],[Order_Status]]="Returned",1,0)</f>
        <v>0</v>
      </c>
      <c r="V570" s="18">
        <f>IF(tbl_raw[[#This Row],[Payment_Method]]="COD",1,0)</f>
        <v>1</v>
      </c>
      <c r="W570" s="21">
        <f>MIN(1,(tbl_raw[[#This Row],[Discount_Pct]]*1.4)+(tbl_raw[[#This Row],[COD_Flag]]*0.35))</f>
        <v>0.98</v>
      </c>
    </row>
    <row r="571" spans="1:23" ht="22.8" x14ac:dyDescent="0.3">
      <c r="A571" s="22" t="s">
        <v>1517</v>
      </c>
      <c r="B571" s="23" t="s">
        <v>1518</v>
      </c>
      <c r="C571" s="23" t="s">
        <v>105</v>
      </c>
      <c r="D571" s="23" t="s">
        <v>175</v>
      </c>
      <c r="E571" s="23" t="s">
        <v>190</v>
      </c>
      <c r="F571" s="23" t="s">
        <v>1519</v>
      </c>
      <c r="G571" s="23" t="s">
        <v>120</v>
      </c>
      <c r="H571" s="23" t="s">
        <v>39</v>
      </c>
      <c r="I571" s="23">
        <v>20</v>
      </c>
      <c r="J571" s="24">
        <v>1968</v>
      </c>
      <c r="K571" s="24">
        <v>1476</v>
      </c>
      <c r="L571" s="25">
        <v>0.25</v>
      </c>
      <c r="M571" s="24">
        <v>1122</v>
      </c>
      <c r="N571" s="24">
        <f>(tbl_raw[[#This Row],[Selling_Price]]-tbl_raw[[#This Row],[Cost_Price]])*tbl_raw[[#This Row],[Units_Sold]]</f>
        <v>7080</v>
      </c>
      <c r="O571" s="25">
        <f>IFERROR((tbl_raw[[#This Row],[Selling_Price]]-tbl_raw[[#This Row],[Cost_Price]]) / tbl_raw[[#This Row],[Selling_Price]],0)</f>
        <v>0.23983739837398374</v>
      </c>
      <c r="P571" s="24">
        <v>179</v>
      </c>
      <c r="Q571" s="24">
        <f>tbl_raw[[#This Row],[Gross_Profit]]-(tbl_raw[[#This Row],[Shipping_Cost]]*tbl_raw[[#This Row],[Units_Sold]])</f>
        <v>3500</v>
      </c>
      <c r="R571" s="25">
        <f>IFERROR(tbl_raw[[#This Row],[Net_Profit]]/(tbl_raw[[#This Row],[Selling_Price]]*tbl_raw[[#This Row],[Units_Sold]]),0)</f>
        <v>0.11856368563685638</v>
      </c>
      <c r="S571" s="23" t="s">
        <v>107</v>
      </c>
      <c r="T571" s="23" t="s">
        <v>86</v>
      </c>
      <c r="U571" s="23">
        <f>IF(tbl_raw[[#This Row],[Order_Status]]="Returned",1,0)</f>
        <v>1</v>
      </c>
      <c r="V571" s="23">
        <f>IF(tbl_raw[[#This Row],[Payment_Method]]="COD",1,0)</f>
        <v>0</v>
      </c>
      <c r="W571" s="26">
        <f>MIN(1,(tbl_raw[[#This Row],[Discount_Pct]]*1.4)+(tbl_raw[[#This Row],[COD_Flag]]*0.35))</f>
        <v>0.35</v>
      </c>
    </row>
    <row r="572" spans="1:23" ht="22.8" x14ac:dyDescent="0.3">
      <c r="A572" s="17" t="s">
        <v>1520</v>
      </c>
      <c r="B572" s="18" t="s">
        <v>524</v>
      </c>
      <c r="C572" s="18" t="s">
        <v>105</v>
      </c>
      <c r="D572" s="18" t="s">
        <v>164</v>
      </c>
      <c r="E572" s="18" t="s">
        <v>345</v>
      </c>
      <c r="F572" s="18" t="s">
        <v>1521</v>
      </c>
      <c r="G572" s="18" t="s">
        <v>120</v>
      </c>
      <c r="H572" s="18" t="s">
        <v>39</v>
      </c>
      <c r="I572" s="18">
        <v>2</v>
      </c>
      <c r="J572" s="19">
        <v>7428</v>
      </c>
      <c r="K572" s="19">
        <v>5942</v>
      </c>
      <c r="L572" s="20">
        <v>0.2</v>
      </c>
      <c r="M572" s="19">
        <v>4160</v>
      </c>
      <c r="N572" s="19">
        <f>(tbl_raw[[#This Row],[Selling_Price]]-tbl_raw[[#This Row],[Cost_Price]])*tbl_raw[[#This Row],[Units_Sold]]</f>
        <v>3564</v>
      </c>
      <c r="O572" s="20">
        <f>IFERROR((tbl_raw[[#This Row],[Selling_Price]]-tbl_raw[[#This Row],[Cost_Price]]) / tbl_raw[[#This Row],[Selling_Price]],0)</f>
        <v>0.29989902389767753</v>
      </c>
      <c r="P572" s="19">
        <v>156</v>
      </c>
      <c r="Q572" s="19">
        <f>tbl_raw[[#This Row],[Gross_Profit]]-(tbl_raw[[#This Row],[Shipping_Cost]]*tbl_raw[[#This Row],[Units_Sold]])</f>
        <v>3252</v>
      </c>
      <c r="R572" s="20">
        <f>IFERROR(tbl_raw[[#This Row],[Net_Profit]]/(tbl_raw[[#This Row],[Selling_Price]]*tbl_raw[[#This Row],[Units_Sold]]),0)</f>
        <v>0.27364523729384044</v>
      </c>
      <c r="S572" s="18" t="s">
        <v>58</v>
      </c>
      <c r="T572" s="18" t="s">
        <v>86</v>
      </c>
      <c r="U572" s="18">
        <f>IF(tbl_raw[[#This Row],[Order_Status]]="Returned",1,0)</f>
        <v>1</v>
      </c>
      <c r="V572" s="18">
        <f>IF(tbl_raw[[#This Row],[Payment_Method]]="COD",1,0)</f>
        <v>0</v>
      </c>
      <c r="W572" s="21">
        <f>MIN(1,(tbl_raw[[#This Row],[Discount_Pct]]*1.4)+(tbl_raw[[#This Row],[COD_Flag]]*0.35))</f>
        <v>0.27999999999999997</v>
      </c>
    </row>
    <row r="573" spans="1:23" ht="22.8" x14ac:dyDescent="0.3">
      <c r="A573" s="22" t="s">
        <v>1522</v>
      </c>
      <c r="B573" s="23" t="s">
        <v>256</v>
      </c>
      <c r="C573" s="23" t="s">
        <v>199</v>
      </c>
      <c r="D573" s="23" t="s">
        <v>175</v>
      </c>
      <c r="E573" s="23" t="s">
        <v>176</v>
      </c>
      <c r="F573" s="23" t="s">
        <v>1523</v>
      </c>
      <c r="G573" s="23" t="s">
        <v>38</v>
      </c>
      <c r="H573" s="23" t="s">
        <v>39</v>
      </c>
      <c r="I573" s="23">
        <v>4</v>
      </c>
      <c r="J573" s="24">
        <v>1503</v>
      </c>
      <c r="K573" s="24">
        <v>1428</v>
      </c>
      <c r="L573" s="25">
        <v>0.05</v>
      </c>
      <c r="M573" s="24">
        <v>709</v>
      </c>
      <c r="N573" s="24">
        <f>(tbl_raw[[#This Row],[Selling_Price]]-tbl_raw[[#This Row],[Cost_Price]])*tbl_raw[[#This Row],[Units_Sold]]</f>
        <v>2876</v>
      </c>
      <c r="O573" s="25">
        <f>IFERROR((tbl_raw[[#This Row],[Selling_Price]]-tbl_raw[[#This Row],[Cost_Price]]) / tbl_raw[[#This Row],[Selling_Price]],0)</f>
        <v>0.50350140056022408</v>
      </c>
      <c r="P573" s="24">
        <v>84</v>
      </c>
      <c r="Q573" s="24">
        <f>tbl_raw[[#This Row],[Gross_Profit]]-(tbl_raw[[#This Row],[Shipping_Cost]]*tbl_raw[[#This Row],[Units_Sold]])</f>
        <v>2540</v>
      </c>
      <c r="R573" s="25">
        <f>IFERROR(tbl_raw[[#This Row],[Net_Profit]]/(tbl_raw[[#This Row],[Selling_Price]]*tbl_raw[[#This Row],[Units_Sold]]),0)</f>
        <v>0.44467787114845936</v>
      </c>
      <c r="S573" s="23" t="s">
        <v>107</v>
      </c>
      <c r="T573" s="23" t="s">
        <v>86</v>
      </c>
      <c r="U573" s="23">
        <f>IF(tbl_raw[[#This Row],[Order_Status]]="Returned",1,0)</f>
        <v>1</v>
      </c>
      <c r="V573" s="23">
        <f>IF(tbl_raw[[#This Row],[Payment_Method]]="COD",1,0)</f>
        <v>0</v>
      </c>
      <c r="W573" s="26">
        <f>MIN(1,(tbl_raw[[#This Row],[Discount_Pct]]*1.4)+(tbl_raw[[#This Row],[COD_Flag]]*0.35))</f>
        <v>6.9999999999999993E-2</v>
      </c>
    </row>
    <row r="574" spans="1:23" ht="22.8" x14ac:dyDescent="0.3">
      <c r="A574" s="17" t="s">
        <v>1524</v>
      </c>
      <c r="B574" s="18" t="s">
        <v>384</v>
      </c>
      <c r="C574" s="18" t="s">
        <v>117</v>
      </c>
      <c r="D574" s="18" t="s">
        <v>175</v>
      </c>
      <c r="E574" s="18" t="s">
        <v>225</v>
      </c>
      <c r="F574" s="18" t="s">
        <v>1525</v>
      </c>
      <c r="G574" s="18" t="s">
        <v>56</v>
      </c>
      <c r="H574" s="18" t="s">
        <v>57</v>
      </c>
      <c r="I574" s="18">
        <v>11</v>
      </c>
      <c r="J574" s="19">
        <v>6589</v>
      </c>
      <c r="K574" s="19">
        <v>6194</v>
      </c>
      <c r="L574" s="20">
        <v>0.06</v>
      </c>
      <c r="M574" s="19">
        <v>3101</v>
      </c>
      <c r="N574" s="19">
        <f>(tbl_raw[[#This Row],[Selling_Price]]-tbl_raw[[#This Row],[Cost_Price]])*tbl_raw[[#This Row],[Units_Sold]]</f>
        <v>34023</v>
      </c>
      <c r="O574" s="20">
        <f>IFERROR((tbl_raw[[#This Row],[Selling_Price]]-tbl_raw[[#This Row],[Cost_Price]]) / tbl_raw[[#This Row],[Selling_Price]],0)</f>
        <v>0.49935421375524702</v>
      </c>
      <c r="P574" s="19">
        <v>175</v>
      </c>
      <c r="Q574" s="19">
        <f>tbl_raw[[#This Row],[Gross_Profit]]-(tbl_raw[[#This Row],[Shipping_Cost]]*tbl_raw[[#This Row],[Units_Sold]])</f>
        <v>32098</v>
      </c>
      <c r="R574" s="20">
        <f>IFERROR(tbl_raw[[#This Row],[Net_Profit]]/(tbl_raw[[#This Row],[Selling_Price]]*tbl_raw[[#This Row],[Units_Sold]]),0)</f>
        <v>0.47110106554730385</v>
      </c>
      <c r="S574" s="18" t="s">
        <v>58</v>
      </c>
      <c r="T574" s="18" t="s">
        <v>86</v>
      </c>
      <c r="U574" s="18">
        <f>IF(tbl_raw[[#This Row],[Order_Status]]="Returned",1,0)</f>
        <v>1</v>
      </c>
      <c r="V574" s="18">
        <f>IF(tbl_raw[[#This Row],[Payment_Method]]="COD",1,0)</f>
        <v>0</v>
      </c>
      <c r="W574" s="21">
        <f>MIN(1,(tbl_raw[[#This Row],[Discount_Pct]]*1.4)+(tbl_raw[[#This Row],[COD_Flag]]*0.35))</f>
        <v>8.3999999999999991E-2</v>
      </c>
    </row>
    <row r="575" spans="1:23" ht="22.8" x14ac:dyDescent="0.3">
      <c r="A575" s="22" t="s">
        <v>1526</v>
      </c>
      <c r="B575" s="23" t="s">
        <v>581</v>
      </c>
      <c r="C575" s="23" t="s">
        <v>89</v>
      </c>
      <c r="D575" s="23" t="s">
        <v>164</v>
      </c>
      <c r="E575" s="23" t="s">
        <v>265</v>
      </c>
      <c r="F575" s="23" t="s">
        <v>1527</v>
      </c>
      <c r="G575" s="23" t="s">
        <v>56</v>
      </c>
      <c r="H575" s="23" t="s">
        <v>57</v>
      </c>
      <c r="I575" s="23">
        <v>14</v>
      </c>
      <c r="J575" s="24">
        <v>3013</v>
      </c>
      <c r="K575" s="24">
        <v>2109</v>
      </c>
      <c r="L575" s="25">
        <v>0.3</v>
      </c>
      <c r="M575" s="24">
        <v>1365</v>
      </c>
      <c r="N575" s="24">
        <f>(tbl_raw[[#This Row],[Selling_Price]]-tbl_raw[[#This Row],[Cost_Price]])*tbl_raw[[#This Row],[Units_Sold]]</f>
        <v>10416</v>
      </c>
      <c r="O575" s="25">
        <f>IFERROR((tbl_raw[[#This Row],[Selling_Price]]-tbl_raw[[#This Row],[Cost_Price]]) / tbl_raw[[#This Row],[Selling_Price]],0)</f>
        <v>0.35277382645803701</v>
      </c>
      <c r="P575" s="24">
        <v>143</v>
      </c>
      <c r="Q575" s="24">
        <f>tbl_raw[[#This Row],[Gross_Profit]]-(tbl_raw[[#This Row],[Shipping_Cost]]*tbl_raw[[#This Row],[Units_Sold]])</f>
        <v>8414</v>
      </c>
      <c r="R575" s="25">
        <f>IFERROR(tbl_raw[[#This Row],[Net_Profit]]/(tbl_raw[[#This Row],[Selling_Price]]*tbl_raw[[#This Row],[Units_Sold]]),0)</f>
        <v>0.28496917970602181</v>
      </c>
      <c r="S575" s="23" t="s">
        <v>31</v>
      </c>
      <c r="T575" s="23" t="s">
        <v>32</v>
      </c>
      <c r="U575" s="23">
        <f>IF(tbl_raw[[#This Row],[Order_Status]]="Returned",1,0)</f>
        <v>0</v>
      </c>
      <c r="V575" s="23">
        <f>IF(tbl_raw[[#This Row],[Payment_Method]]="COD",1,0)</f>
        <v>0</v>
      </c>
      <c r="W575" s="26">
        <f>MIN(1,(tbl_raw[[#This Row],[Discount_Pct]]*1.4)+(tbl_raw[[#This Row],[COD_Flag]]*0.35))</f>
        <v>0.42</v>
      </c>
    </row>
    <row r="576" spans="1:23" ht="22.8" x14ac:dyDescent="0.3">
      <c r="A576" s="17" t="s">
        <v>1528</v>
      </c>
      <c r="B576" s="18" t="s">
        <v>940</v>
      </c>
      <c r="C576" s="18" t="s">
        <v>52</v>
      </c>
      <c r="D576" s="18" t="s">
        <v>78</v>
      </c>
      <c r="E576" s="18" t="s">
        <v>534</v>
      </c>
      <c r="F576" s="18" t="s">
        <v>1529</v>
      </c>
      <c r="G576" s="18" t="s">
        <v>38</v>
      </c>
      <c r="H576" s="18" t="s">
        <v>39</v>
      </c>
      <c r="I576" s="18">
        <v>12</v>
      </c>
      <c r="J576" s="19">
        <v>7561</v>
      </c>
      <c r="K576" s="19">
        <v>6049</v>
      </c>
      <c r="L576" s="20">
        <v>0.2</v>
      </c>
      <c r="M576" s="19">
        <v>5062</v>
      </c>
      <c r="N576" s="19">
        <f>(tbl_raw[[#This Row],[Selling_Price]]-tbl_raw[[#This Row],[Cost_Price]])*tbl_raw[[#This Row],[Units_Sold]]</f>
        <v>11844</v>
      </c>
      <c r="O576" s="20">
        <f>IFERROR((tbl_raw[[#This Row],[Selling_Price]]-tbl_raw[[#This Row],[Cost_Price]]) / tbl_raw[[#This Row],[Selling_Price]],0)</f>
        <v>0.1631674656968094</v>
      </c>
      <c r="P576" s="19">
        <v>138</v>
      </c>
      <c r="Q576" s="19">
        <f>tbl_raw[[#This Row],[Gross_Profit]]-(tbl_raw[[#This Row],[Shipping_Cost]]*tbl_raw[[#This Row],[Units_Sold]])</f>
        <v>10188</v>
      </c>
      <c r="R576" s="20">
        <f>IFERROR(tbl_raw[[#This Row],[Net_Profit]]/(tbl_raw[[#This Row],[Selling_Price]]*tbl_raw[[#This Row],[Units_Sold]]),0)</f>
        <v>0.14035377748388164</v>
      </c>
      <c r="S576" s="18" t="s">
        <v>65</v>
      </c>
      <c r="T576" s="18" t="s">
        <v>32</v>
      </c>
      <c r="U576" s="18">
        <f>IF(tbl_raw[[#This Row],[Order_Status]]="Returned",1,0)</f>
        <v>0</v>
      </c>
      <c r="V576" s="18">
        <f>IF(tbl_raw[[#This Row],[Payment_Method]]="COD",1,0)</f>
        <v>0</v>
      </c>
      <c r="W576" s="21">
        <f>MIN(1,(tbl_raw[[#This Row],[Discount_Pct]]*1.4)+(tbl_raw[[#This Row],[COD_Flag]]*0.35))</f>
        <v>0.27999999999999997</v>
      </c>
    </row>
    <row r="577" spans="1:23" ht="22.8" x14ac:dyDescent="0.3">
      <c r="A577" s="22" t="s">
        <v>1530</v>
      </c>
      <c r="B577" s="23" t="s">
        <v>643</v>
      </c>
      <c r="C577" s="23" t="s">
        <v>89</v>
      </c>
      <c r="D577" s="23" t="s">
        <v>164</v>
      </c>
      <c r="E577" s="23" t="s">
        <v>251</v>
      </c>
      <c r="F577" s="23" t="s">
        <v>1531</v>
      </c>
      <c r="G577" s="23" t="s">
        <v>47</v>
      </c>
      <c r="H577" s="23" t="s">
        <v>48</v>
      </c>
      <c r="I577" s="23">
        <v>2</v>
      </c>
      <c r="J577" s="24">
        <v>5349</v>
      </c>
      <c r="K577" s="24">
        <v>3798</v>
      </c>
      <c r="L577" s="25">
        <v>0.28999999999999998</v>
      </c>
      <c r="M577" s="24">
        <v>3829</v>
      </c>
      <c r="N577" s="24">
        <f>(tbl_raw[[#This Row],[Selling_Price]]-tbl_raw[[#This Row],[Cost_Price]])*tbl_raw[[#This Row],[Units_Sold]]</f>
        <v>-62</v>
      </c>
      <c r="O577" s="25">
        <f>IFERROR((tbl_raw[[#This Row],[Selling_Price]]-tbl_raw[[#This Row],[Cost_Price]]) / tbl_raw[[#This Row],[Selling_Price]],0)</f>
        <v>-8.1621906266456032E-3</v>
      </c>
      <c r="P577" s="24">
        <v>39</v>
      </c>
      <c r="Q577" s="24">
        <f>tbl_raw[[#This Row],[Gross_Profit]]-(tbl_raw[[#This Row],[Shipping_Cost]]*tbl_raw[[#This Row],[Units_Sold]])</f>
        <v>-140</v>
      </c>
      <c r="R577" s="25">
        <f>IFERROR(tbl_raw[[#This Row],[Net_Profit]]/(tbl_raw[[#This Row],[Selling_Price]]*tbl_raw[[#This Row],[Units_Sold]]),0)</f>
        <v>-1.8430753027909426E-2</v>
      </c>
      <c r="S577" s="23" t="s">
        <v>65</v>
      </c>
      <c r="T577" s="23" t="s">
        <v>32</v>
      </c>
      <c r="U577" s="23">
        <f>IF(tbl_raw[[#This Row],[Order_Status]]="Returned",1,0)</f>
        <v>0</v>
      </c>
      <c r="V577" s="23">
        <f>IF(tbl_raw[[#This Row],[Payment_Method]]="COD",1,0)</f>
        <v>0</v>
      </c>
      <c r="W577" s="26">
        <f>MIN(1,(tbl_raw[[#This Row],[Discount_Pct]]*1.4)+(tbl_raw[[#This Row],[COD_Flag]]*0.35))</f>
        <v>0.40599999999999997</v>
      </c>
    </row>
    <row r="578" spans="1:23" ht="22.8" x14ac:dyDescent="0.3">
      <c r="A578" s="17" t="s">
        <v>1532</v>
      </c>
      <c r="B578" s="18" t="s">
        <v>1161</v>
      </c>
      <c r="C578" s="18" t="s">
        <v>25</v>
      </c>
      <c r="D578" s="18" t="s">
        <v>53</v>
      </c>
      <c r="E578" s="18" t="s">
        <v>160</v>
      </c>
      <c r="F578" s="18" t="s">
        <v>1533</v>
      </c>
      <c r="G578" s="18" t="s">
        <v>139</v>
      </c>
      <c r="H578" s="18" t="s">
        <v>48</v>
      </c>
      <c r="I578" s="18">
        <v>9</v>
      </c>
      <c r="J578" s="19">
        <v>7222</v>
      </c>
      <c r="K578" s="19">
        <v>5272</v>
      </c>
      <c r="L578" s="20">
        <v>0.27</v>
      </c>
      <c r="M578" s="19">
        <v>3260</v>
      </c>
      <c r="N578" s="19">
        <f>(tbl_raw[[#This Row],[Selling_Price]]-tbl_raw[[#This Row],[Cost_Price]])*tbl_raw[[#This Row],[Units_Sold]]</f>
        <v>18108</v>
      </c>
      <c r="O578" s="20">
        <f>IFERROR((tbl_raw[[#This Row],[Selling_Price]]-tbl_raw[[#This Row],[Cost_Price]]) / tbl_raw[[#This Row],[Selling_Price]],0)</f>
        <v>0.38163884673748105</v>
      </c>
      <c r="P578" s="19">
        <v>91</v>
      </c>
      <c r="Q578" s="19">
        <f>tbl_raw[[#This Row],[Gross_Profit]]-(tbl_raw[[#This Row],[Shipping_Cost]]*tbl_raw[[#This Row],[Units_Sold]])</f>
        <v>17289</v>
      </c>
      <c r="R578" s="20">
        <f>IFERROR(tbl_raw[[#This Row],[Net_Profit]]/(tbl_raw[[#This Row],[Selling_Price]]*tbl_raw[[#This Row],[Units_Sold]]),0)</f>
        <v>0.36437784522003036</v>
      </c>
      <c r="S578" s="18" t="s">
        <v>40</v>
      </c>
      <c r="T578" s="18" t="s">
        <v>86</v>
      </c>
      <c r="U578" s="18">
        <f>IF(tbl_raw[[#This Row],[Order_Status]]="Returned",1,0)</f>
        <v>1</v>
      </c>
      <c r="V578" s="18">
        <f>IF(tbl_raw[[#This Row],[Payment_Method]]="COD",1,0)</f>
        <v>1</v>
      </c>
      <c r="W578" s="21">
        <f>MIN(1,(tbl_raw[[#This Row],[Discount_Pct]]*1.4)+(tbl_raw[[#This Row],[COD_Flag]]*0.35))</f>
        <v>0.72799999999999998</v>
      </c>
    </row>
    <row r="579" spans="1:23" ht="22.8" x14ac:dyDescent="0.3">
      <c r="A579" s="22" t="s">
        <v>1534</v>
      </c>
      <c r="B579" s="23" t="s">
        <v>640</v>
      </c>
      <c r="C579" s="23" t="s">
        <v>199</v>
      </c>
      <c r="D579" s="23" t="s">
        <v>62</v>
      </c>
      <c r="E579" s="23" t="s">
        <v>63</v>
      </c>
      <c r="F579" s="23" t="s">
        <v>1535</v>
      </c>
      <c r="G579" s="23" t="s">
        <v>47</v>
      </c>
      <c r="H579" s="23" t="s">
        <v>48</v>
      </c>
      <c r="I579" s="23">
        <v>7</v>
      </c>
      <c r="J579" s="24">
        <v>7072</v>
      </c>
      <c r="K579" s="24">
        <v>6789</v>
      </c>
      <c r="L579" s="25">
        <v>0.04</v>
      </c>
      <c r="M579" s="24">
        <v>4159</v>
      </c>
      <c r="N579" s="24">
        <f>(tbl_raw[[#This Row],[Selling_Price]]-tbl_raw[[#This Row],[Cost_Price]])*tbl_raw[[#This Row],[Units_Sold]]</f>
        <v>18410</v>
      </c>
      <c r="O579" s="25">
        <f>IFERROR((tbl_raw[[#This Row],[Selling_Price]]-tbl_raw[[#This Row],[Cost_Price]]) / tbl_raw[[#This Row],[Selling_Price]],0)</f>
        <v>0.38739136839004273</v>
      </c>
      <c r="P579" s="24">
        <v>88</v>
      </c>
      <c r="Q579" s="24">
        <f>tbl_raw[[#This Row],[Gross_Profit]]-(tbl_raw[[#This Row],[Shipping_Cost]]*tbl_raw[[#This Row],[Units_Sold]])</f>
        <v>17794</v>
      </c>
      <c r="R579" s="25">
        <f>IFERROR(tbl_raw[[#This Row],[Net_Profit]]/(tbl_raw[[#This Row],[Selling_Price]]*tbl_raw[[#This Row],[Units_Sold]]),0)</f>
        <v>0.37442922374429222</v>
      </c>
      <c r="S579" s="23" t="s">
        <v>40</v>
      </c>
      <c r="T579" s="23" t="s">
        <v>32</v>
      </c>
      <c r="U579" s="23">
        <f>IF(tbl_raw[[#This Row],[Order_Status]]="Returned",1,0)</f>
        <v>0</v>
      </c>
      <c r="V579" s="23">
        <f>IF(tbl_raw[[#This Row],[Payment_Method]]="COD",1,0)</f>
        <v>1</v>
      </c>
      <c r="W579" s="26">
        <f>MIN(1,(tbl_raw[[#This Row],[Discount_Pct]]*1.4)+(tbl_raw[[#This Row],[COD_Flag]]*0.35))</f>
        <v>0.40599999999999997</v>
      </c>
    </row>
    <row r="580" spans="1:23" ht="22.8" x14ac:dyDescent="0.3">
      <c r="A580" s="17" t="s">
        <v>1536</v>
      </c>
      <c r="B580" s="18" t="s">
        <v>1453</v>
      </c>
      <c r="C580" s="18" t="s">
        <v>35</v>
      </c>
      <c r="D580" s="18" t="s">
        <v>53</v>
      </c>
      <c r="E580" s="18" t="s">
        <v>54</v>
      </c>
      <c r="F580" s="18" t="s">
        <v>1537</v>
      </c>
      <c r="G580" s="18" t="s">
        <v>81</v>
      </c>
      <c r="H580" s="18" t="s">
        <v>30</v>
      </c>
      <c r="I580" s="18">
        <v>1</v>
      </c>
      <c r="J580" s="19">
        <v>418</v>
      </c>
      <c r="K580" s="19">
        <v>268</v>
      </c>
      <c r="L580" s="20">
        <v>0.36</v>
      </c>
      <c r="M580" s="19">
        <v>254</v>
      </c>
      <c r="N580" s="19">
        <f>(tbl_raw[[#This Row],[Selling_Price]]-tbl_raw[[#This Row],[Cost_Price]])*tbl_raw[[#This Row],[Units_Sold]]</f>
        <v>14</v>
      </c>
      <c r="O580" s="20">
        <f>IFERROR((tbl_raw[[#This Row],[Selling_Price]]-tbl_raw[[#This Row],[Cost_Price]]) / tbl_raw[[#This Row],[Selling_Price]],0)</f>
        <v>5.2238805970149252E-2</v>
      </c>
      <c r="P580" s="19">
        <v>66</v>
      </c>
      <c r="Q580" s="19">
        <f>tbl_raw[[#This Row],[Gross_Profit]]-(tbl_raw[[#This Row],[Shipping_Cost]]*tbl_raw[[#This Row],[Units_Sold]])</f>
        <v>-52</v>
      </c>
      <c r="R580" s="20">
        <f>IFERROR(tbl_raw[[#This Row],[Net_Profit]]/(tbl_raw[[#This Row],[Selling_Price]]*tbl_raw[[#This Row],[Units_Sold]]),0)</f>
        <v>-0.19402985074626866</v>
      </c>
      <c r="S580" s="18" t="s">
        <v>107</v>
      </c>
      <c r="T580" s="18" t="s">
        <v>49</v>
      </c>
      <c r="U580" s="18">
        <f>IF(tbl_raw[[#This Row],[Order_Status]]="Returned",1,0)</f>
        <v>0</v>
      </c>
      <c r="V580" s="18">
        <f>IF(tbl_raw[[#This Row],[Payment_Method]]="COD",1,0)</f>
        <v>0</v>
      </c>
      <c r="W580" s="21">
        <f>MIN(1,(tbl_raw[[#This Row],[Discount_Pct]]*1.4)+(tbl_raw[[#This Row],[COD_Flag]]*0.35))</f>
        <v>0.504</v>
      </c>
    </row>
    <row r="581" spans="1:23" ht="22.8" x14ac:dyDescent="0.3">
      <c r="A581" s="22" t="s">
        <v>1538</v>
      </c>
      <c r="B581" s="23" t="s">
        <v>1539</v>
      </c>
      <c r="C581" s="23" t="s">
        <v>72</v>
      </c>
      <c r="D581" s="23" t="s">
        <v>26</v>
      </c>
      <c r="E581" s="23" t="s">
        <v>27</v>
      </c>
      <c r="F581" s="23" t="s">
        <v>1540</v>
      </c>
      <c r="G581" s="23" t="s">
        <v>38</v>
      </c>
      <c r="H581" s="23" t="s">
        <v>39</v>
      </c>
      <c r="I581" s="23">
        <v>12</v>
      </c>
      <c r="J581" s="24">
        <v>1166</v>
      </c>
      <c r="K581" s="24">
        <v>770</v>
      </c>
      <c r="L581" s="25">
        <v>0.34</v>
      </c>
      <c r="M581" s="24">
        <v>851</v>
      </c>
      <c r="N581" s="24">
        <f>(tbl_raw[[#This Row],[Selling_Price]]-tbl_raw[[#This Row],[Cost_Price]])*tbl_raw[[#This Row],[Units_Sold]]</f>
        <v>-972</v>
      </c>
      <c r="O581" s="25">
        <f>IFERROR((tbl_raw[[#This Row],[Selling_Price]]-tbl_raw[[#This Row],[Cost_Price]]) / tbl_raw[[#This Row],[Selling_Price]],0)</f>
        <v>-0.10519480519480519</v>
      </c>
      <c r="P581" s="24">
        <v>97</v>
      </c>
      <c r="Q581" s="24">
        <f>tbl_raw[[#This Row],[Gross_Profit]]-(tbl_raw[[#This Row],[Shipping_Cost]]*tbl_raw[[#This Row],[Units_Sold]])</f>
        <v>-2136</v>
      </c>
      <c r="R581" s="25">
        <f>IFERROR(tbl_raw[[#This Row],[Net_Profit]]/(tbl_raw[[#This Row],[Selling_Price]]*tbl_raw[[#This Row],[Units_Sold]]),0)</f>
        <v>-0.23116883116883116</v>
      </c>
      <c r="S581" s="23" t="s">
        <v>65</v>
      </c>
      <c r="T581" s="23" t="s">
        <v>32</v>
      </c>
      <c r="U581" s="23">
        <f>IF(tbl_raw[[#This Row],[Order_Status]]="Returned",1,0)</f>
        <v>0</v>
      </c>
      <c r="V581" s="23">
        <f>IF(tbl_raw[[#This Row],[Payment_Method]]="COD",1,0)</f>
        <v>0</v>
      </c>
      <c r="W581" s="26">
        <f>MIN(1,(tbl_raw[[#This Row],[Discount_Pct]]*1.4)+(tbl_raw[[#This Row],[COD_Flag]]*0.35))</f>
        <v>0.47599999999999998</v>
      </c>
    </row>
    <row r="582" spans="1:23" ht="22.8" x14ac:dyDescent="0.3">
      <c r="A582" s="17" t="s">
        <v>1541</v>
      </c>
      <c r="B582" s="18" t="s">
        <v>651</v>
      </c>
      <c r="C582" s="18" t="s">
        <v>35</v>
      </c>
      <c r="D582" s="18" t="s">
        <v>94</v>
      </c>
      <c r="E582" s="18" t="s">
        <v>180</v>
      </c>
      <c r="F582" s="18" t="s">
        <v>1542</v>
      </c>
      <c r="G582" s="18" t="s">
        <v>143</v>
      </c>
      <c r="H582" s="18" t="s">
        <v>30</v>
      </c>
      <c r="I582" s="18">
        <v>19</v>
      </c>
      <c r="J582" s="19">
        <v>5445</v>
      </c>
      <c r="K582" s="19">
        <v>3703</v>
      </c>
      <c r="L582" s="20">
        <v>0.32</v>
      </c>
      <c r="M582" s="19">
        <v>3168</v>
      </c>
      <c r="N582" s="19">
        <f>(tbl_raw[[#This Row],[Selling_Price]]-tbl_raw[[#This Row],[Cost_Price]])*tbl_raw[[#This Row],[Units_Sold]]</f>
        <v>10165</v>
      </c>
      <c r="O582" s="20">
        <f>IFERROR((tbl_raw[[#This Row],[Selling_Price]]-tbl_raw[[#This Row],[Cost_Price]]) / tbl_raw[[#This Row],[Selling_Price]],0)</f>
        <v>0.14447745071563597</v>
      </c>
      <c r="P582" s="19">
        <v>67</v>
      </c>
      <c r="Q582" s="19">
        <f>tbl_raw[[#This Row],[Gross_Profit]]-(tbl_raw[[#This Row],[Shipping_Cost]]*tbl_raw[[#This Row],[Units_Sold]])</f>
        <v>8892</v>
      </c>
      <c r="R582" s="20">
        <f>IFERROR(tbl_raw[[#This Row],[Net_Profit]]/(tbl_raw[[#This Row],[Selling_Price]]*tbl_raw[[#This Row],[Units_Sold]]),0)</f>
        <v>0.12638401296246288</v>
      </c>
      <c r="S582" s="18" t="s">
        <v>107</v>
      </c>
      <c r="T582" s="18" t="s">
        <v>32</v>
      </c>
      <c r="U582" s="18">
        <f>IF(tbl_raw[[#This Row],[Order_Status]]="Returned",1,0)</f>
        <v>0</v>
      </c>
      <c r="V582" s="18">
        <f>IF(tbl_raw[[#This Row],[Payment_Method]]="COD",1,0)</f>
        <v>0</v>
      </c>
      <c r="W582" s="21">
        <f>MIN(1,(tbl_raw[[#This Row],[Discount_Pct]]*1.4)+(tbl_raw[[#This Row],[COD_Flag]]*0.35))</f>
        <v>0.44799999999999995</v>
      </c>
    </row>
    <row r="583" spans="1:23" ht="22.8" x14ac:dyDescent="0.3">
      <c r="A583" s="22" t="s">
        <v>1543</v>
      </c>
      <c r="B583" s="23" t="s">
        <v>109</v>
      </c>
      <c r="C583" s="23" t="s">
        <v>89</v>
      </c>
      <c r="D583" s="23" t="s">
        <v>175</v>
      </c>
      <c r="E583" s="23" t="s">
        <v>225</v>
      </c>
      <c r="F583" s="23" t="s">
        <v>1544</v>
      </c>
      <c r="G583" s="23" t="s">
        <v>47</v>
      </c>
      <c r="H583" s="23" t="s">
        <v>48</v>
      </c>
      <c r="I583" s="23">
        <v>14</v>
      </c>
      <c r="J583" s="24">
        <v>839</v>
      </c>
      <c r="K583" s="24">
        <v>814</v>
      </c>
      <c r="L583" s="25">
        <v>0.03</v>
      </c>
      <c r="M583" s="24">
        <v>597</v>
      </c>
      <c r="N583" s="24">
        <f>(tbl_raw[[#This Row],[Selling_Price]]-tbl_raw[[#This Row],[Cost_Price]])*tbl_raw[[#This Row],[Units_Sold]]</f>
        <v>3038</v>
      </c>
      <c r="O583" s="25">
        <f>IFERROR((tbl_raw[[#This Row],[Selling_Price]]-tbl_raw[[#This Row],[Cost_Price]]) / tbl_raw[[#This Row],[Selling_Price]],0)</f>
        <v>0.2665847665847666</v>
      </c>
      <c r="P583" s="24">
        <v>101</v>
      </c>
      <c r="Q583" s="24">
        <f>tbl_raw[[#This Row],[Gross_Profit]]-(tbl_raw[[#This Row],[Shipping_Cost]]*tbl_raw[[#This Row],[Units_Sold]])</f>
        <v>1624</v>
      </c>
      <c r="R583" s="25">
        <f>IFERROR(tbl_raw[[#This Row],[Net_Profit]]/(tbl_raw[[#This Row],[Selling_Price]]*tbl_raw[[#This Row],[Units_Sold]]),0)</f>
        <v>0.14250614250614252</v>
      </c>
      <c r="S583" s="23" t="s">
        <v>31</v>
      </c>
      <c r="T583" s="23" t="s">
        <v>32</v>
      </c>
      <c r="U583" s="23">
        <f>IF(tbl_raw[[#This Row],[Order_Status]]="Returned",1,0)</f>
        <v>0</v>
      </c>
      <c r="V583" s="23">
        <f>IF(tbl_raw[[#This Row],[Payment_Method]]="COD",1,0)</f>
        <v>0</v>
      </c>
      <c r="W583" s="26">
        <f>MIN(1,(tbl_raw[[#This Row],[Discount_Pct]]*1.4)+(tbl_raw[[#This Row],[COD_Flag]]*0.35))</f>
        <v>4.1999999999999996E-2</v>
      </c>
    </row>
    <row r="584" spans="1:23" ht="22.8" x14ac:dyDescent="0.3">
      <c r="A584" s="17" t="s">
        <v>1545</v>
      </c>
      <c r="B584" s="18" t="s">
        <v>77</v>
      </c>
      <c r="C584" s="18" t="s">
        <v>52</v>
      </c>
      <c r="D584" s="18" t="s">
        <v>78</v>
      </c>
      <c r="E584" s="18" t="s">
        <v>79</v>
      </c>
      <c r="F584" s="18" t="s">
        <v>1546</v>
      </c>
      <c r="G584" s="18" t="s">
        <v>75</v>
      </c>
      <c r="H584" s="18" t="s">
        <v>48</v>
      </c>
      <c r="I584" s="18">
        <v>14</v>
      </c>
      <c r="J584" s="19">
        <v>7973</v>
      </c>
      <c r="K584" s="19">
        <v>5501</v>
      </c>
      <c r="L584" s="20">
        <v>0.31</v>
      </c>
      <c r="M584" s="19">
        <v>5834</v>
      </c>
      <c r="N584" s="19">
        <f>(tbl_raw[[#This Row],[Selling_Price]]-tbl_raw[[#This Row],[Cost_Price]])*tbl_raw[[#This Row],[Units_Sold]]</f>
        <v>-4662</v>
      </c>
      <c r="O584" s="20">
        <f>IFERROR((tbl_raw[[#This Row],[Selling_Price]]-tbl_raw[[#This Row],[Cost_Price]]) / tbl_raw[[#This Row],[Selling_Price]],0)</f>
        <v>-6.0534448282130525E-2</v>
      </c>
      <c r="P584" s="19">
        <v>140</v>
      </c>
      <c r="Q584" s="19">
        <f>tbl_raw[[#This Row],[Gross_Profit]]-(tbl_raw[[#This Row],[Shipping_Cost]]*tbl_raw[[#This Row],[Units_Sold]])</f>
        <v>-6622</v>
      </c>
      <c r="R584" s="20">
        <f>IFERROR(tbl_raw[[#This Row],[Net_Profit]]/(tbl_raw[[#This Row],[Selling_Price]]*tbl_raw[[#This Row],[Units_Sold]]),0)</f>
        <v>-8.598436647882203E-2</v>
      </c>
      <c r="S584" s="18" t="s">
        <v>31</v>
      </c>
      <c r="T584" s="18" t="s">
        <v>32</v>
      </c>
      <c r="U584" s="18">
        <f>IF(tbl_raw[[#This Row],[Order_Status]]="Returned",1,0)</f>
        <v>0</v>
      </c>
      <c r="V584" s="18">
        <f>IF(tbl_raw[[#This Row],[Payment_Method]]="COD",1,0)</f>
        <v>0</v>
      </c>
      <c r="W584" s="21">
        <f>MIN(1,(tbl_raw[[#This Row],[Discount_Pct]]*1.4)+(tbl_raw[[#This Row],[COD_Flag]]*0.35))</f>
        <v>0.434</v>
      </c>
    </row>
    <row r="585" spans="1:23" ht="22.8" x14ac:dyDescent="0.3">
      <c r="A585" s="22" t="s">
        <v>1547</v>
      </c>
      <c r="B585" s="23" t="s">
        <v>287</v>
      </c>
      <c r="C585" s="23" t="s">
        <v>43</v>
      </c>
      <c r="D585" s="23" t="s">
        <v>62</v>
      </c>
      <c r="E585" s="23" t="s">
        <v>203</v>
      </c>
      <c r="F585" s="23" t="s">
        <v>1548</v>
      </c>
      <c r="G585" s="23" t="s">
        <v>38</v>
      </c>
      <c r="H585" s="23" t="s">
        <v>39</v>
      </c>
      <c r="I585" s="23">
        <v>17</v>
      </c>
      <c r="J585" s="24">
        <v>1121</v>
      </c>
      <c r="K585" s="24">
        <v>1009</v>
      </c>
      <c r="L585" s="25">
        <v>0.1</v>
      </c>
      <c r="M585" s="24">
        <v>634</v>
      </c>
      <c r="N585" s="24">
        <f>(tbl_raw[[#This Row],[Selling_Price]]-tbl_raw[[#This Row],[Cost_Price]])*tbl_raw[[#This Row],[Units_Sold]]</f>
        <v>6375</v>
      </c>
      <c r="O585" s="25">
        <f>IFERROR((tbl_raw[[#This Row],[Selling_Price]]-tbl_raw[[#This Row],[Cost_Price]]) / tbl_raw[[#This Row],[Selling_Price]],0)</f>
        <v>0.37165510406342916</v>
      </c>
      <c r="P585" s="24">
        <v>142</v>
      </c>
      <c r="Q585" s="24">
        <f>tbl_raw[[#This Row],[Gross_Profit]]-(tbl_raw[[#This Row],[Shipping_Cost]]*tbl_raw[[#This Row],[Units_Sold]])</f>
        <v>3961</v>
      </c>
      <c r="R585" s="25">
        <f>IFERROR(tbl_raw[[#This Row],[Net_Profit]]/(tbl_raw[[#This Row],[Selling_Price]]*tbl_raw[[#This Row],[Units_Sold]]),0)</f>
        <v>0.23092170465807729</v>
      </c>
      <c r="S585" s="23" t="s">
        <v>65</v>
      </c>
      <c r="T585" s="23" t="s">
        <v>49</v>
      </c>
      <c r="U585" s="23">
        <f>IF(tbl_raw[[#This Row],[Order_Status]]="Returned",1,0)</f>
        <v>0</v>
      </c>
      <c r="V585" s="23">
        <f>IF(tbl_raw[[#This Row],[Payment_Method]]="COD",1,0)</f>
        <v>0</v>
      </c>
      <c r="W585" s="26">
        <f>MIN(1,(tbl_raw[[#This Row],[Discount_Pct]]*1.4)+(tbl_raw[[#This Row],[COD_Flag]]*0.35))</f>
        <v>0.13999999999999999</v>
      </c>
    </row>
    <row r="586" spans="1:23" ht="22.8" x14ac:dyDescent="0.3">
      <c r="A586" s="17" t="s">
        <v>1549</v>
      </c>
      <c r="B586" s="18" t="s">
        <v>923</v>
      </c>
      <c r="C586" s="18" t="s">
        <v>199</v>
      </c>
      <c r="D586" s="18" t="s">
        <v>78</v>
      </c>
      <c r="E586" s="18" t="s">
        <v>296</v>
      </c>
      <c r="F586" s="18" t="s">
        <v>1550</v>
      </c>
      <c r="G586" s="18" t="s">
        <v>56</v>
      </c>
      <c r="H586" s="18" t="s">
        <v>57</v>
      </c>
      <c r="I586" s="18">
        <v>19</v>
      </c>
      <c r="J586" s="19">
        <v>2459</v>
      </c>
      <c r="K586" s="19">
        <v>1869</v>
      </c>
      <c r="L586" s="20">
        <v>0.24</v>
      </c>
      <c r="M586" s="19">
        <v>1085</v>
      </c>
      <c r="N586" s="19">
        <f>(tbl_raw[[#This Row],[Selling_Price]]-tbl_raw[[#This Row],[Cost_Price]])*tbl_raw[[#This Row],[Units_Sold]]</f>
        <v>14896</v>
      </c>
      <c r="O586" s="20">
        <f>IFERROR((tbl_raw[[#This Row],[Selling_Price]]-tbl_raw[[#This Row],[Cost_Price]]) / tbl_raw[[#This Row],[Selling_Price]],0)</f>
        <v>0.41947565543071164</v>
      </c>
      <c r="P586" s="19">
        <v>76</v>
      </c>
      <c r="Q586" s="19">
        <f>tbl_raw[[#This Row],[Gross_Profit]]-(tbl_raw[[#This Row],[Shipping_Cost]]*tbl_raw[[#This Row],[Units_Sold]])</f>
        <v>13452</v>
      </c>
      <c r="R586" s="20">
        <f>IFERROR(tbl_raw[[#This Row],[Net_Profit]]/(tbl_raw[[#This Row],[Selling_Price]]*tbl_raw[[#This Row],[Units_Sold]]),0)</f>
        <v>0.37881219903691815</v>
      </c>
      <c r="S586" s="18" t="s">
        <v>107</v>
      </c>
      <c r="T586" s="18" t="s">
        <v>32</v>
      </c>
      <c r="U586" s="18">
        <f>IF(tbl_raw[[#This Row],[Order_Status]]="Returned",1,0)</f>
        <v>0</v>
      </c>
      <c r="V586" s="18">
        <f>IF(tbl_raw[[#This Row],[Payment_Method]]="COD",1,0)</f>
        <v>0</v>
      </c>
      <c r="W586" s="21">
        <f>MIN(1,(tbl_raw[[#This Row],[Discount_Pct]]*1.4)+(tbl_raw[[#This Row],[COD_Flag]]*0.35))</f>
        <v>0.33599999999999997</v>
      </c>
    </row>
    <row r="587" spans="1:23" ht="22.8" x14ac:dyDescent="0.3">
      <c r="A587" s="22" t="s">
        <v>1551</v>
      </c>
      <c r="B587" s="23" t="s">
        <v>1552</v>
      </c>
      <c r="C587" s="23" t="s">
        <v>43</v>
      </c>
      <c r="D587" s="23" t="s">
        <v>78</v>
      </c>
      <c r="E587" s="23" t="s">
        <v>296</v>
      </c>
      <c r="F587" s="23" t="s">
        <v>1553</v>
      </c>
      <c r="G587" s="23" t="s">
        <v>143</v>
      </c>
      <c r="H587" s="23" t="s">
        <v>30</v>
      </c>
      <c r="I587" s="23">
        <v>7</v>
      </c>
      <c r="J587" s="24">
        <v>1628</v>
      </c>
      <c r="K587" s="24">
        <v>1091</v>
      </c>
      <c r="L587" s="25">
        <v>0.33</v>
      </c>
      <c r="M587" s="24">
        <v>652</v>
      </c>
      <c r="N587" s="24">
        <f>(tbl_raw[[#This Row],[Selling_Price]]-tbl_raw[[#This Row],[Cost_Price]])*tbl_raw[[#This Row],[Units_Sold]]</f>
        <v>3073</v>
      </c>
      <c r="O587" s="25">
        <f>IFERROR((tbl_raw[[#This Row],[Selling_Price]]-tbl_raw[[#This Row],[Cost_Price]]) / tbl_raw[[#This Row],[Selling_Price]],0)</f>
        <v>0.40238313473877174</v>
      </c>
      <c r="P587" s="24">
        <v>112</v>
      </c>
      <c r="Q587" s="24">
        <f>tbl_raw[[#This Row],[Gross_Profit]]-(tbl_raw[[#This Row],[Shipping_Cost]]*tbl_raw[[#This Row],[Units_Sold]])</f>
        <v>2289</v>
      </c>
      <c r="R587" s="25">
        <f>IFERROR(tbl_raw[[#This Row],[Net_Profit]]/(tbl_raw[[#This Row],[Selling_Price]]*tbl_raw[[#This Row],[Units_Sold]]),0)</f>
        <v>0.29972502291475711</v>
      </c>
      <c r="S587" s="23" t="s">
        <v>58</v>
      </c>
      <c r="T587" s="23" t="s">
        <v>32</v>
      </c>
      <c r="U587" s="23">
        <f>IF(tbl_raw[[#This Row],[Order_Status]]="Returned",1,0)</f>
        <v>0</v>
      </c>
      <c r="V587" s="23">
        <f>IF(tbl_raw[[#This Row],[Payment_Method]]="COD",1,0)</f>
        <v>0</v>
      </c>
      <c r="W587" s="26">
        <f>MIN(1,(tbl_raw[[#This Row],[Discount_Pct]]*1.4)+(tbl_raw[[#This Row],[COD_Flag]]*0.35))</f>
        <v>0.46199999999999997</v>
      </c>
    </row>
    <row r="588" spans="1:23" ht="22.8" x14ac:dyDescent="0.3">
      <c r="A588" s="17" t="s">
        <v>1554</v>
      </c>
      <c r="B588" s="18" t="s">
        <v>614</v>
      </c>
      <c r="C588" s="18" t="s">
        <v>199</v>
      </c>
      <c r="D588" s="18" t="s">
        <v>62</v>
      </c>
      <c r="E588" s="18" t="s">
        <v>63</v>
      </c>
      <c r="F588" s="18" t="s">
        <v>1555</v>
      </c>
      <c r="G588" s="18" t="s">
        <v>47</v>
      </c>
      <c r="H588" s="18" t="s">
        <v>48</v>
      </c>
      <c r="I588" s="18">
        <v>16</v>
      </c>
      <c r="J588" s="19">
        <v>6709</v>
      </c>
      <c r="K588" s="19">
        <v>4160</v>
      </c>
      <c r="L588" s="20">
        <v>0.38</v>
      </c>
      <c r="M588" s="19">
        <v>2995</v>
      </c>
      <c r="N588" s="19">
        <f>(tbl_raw[[#This Row],[Selling_Price]]-tbl_raw[[#This Row],[Cost_Price]])*tbl_raw[[#This Row],[Units_Sold]]</f>
        <v>18640</v>
      </c>
      <c r="O588" s="20">
        <f>IFERROR((tbl_raw[[#This Row],[Selling_Price]]-tbl_raw[[#This Row],[Cost_Price]]) / tbl_raw[[#This Row],[Selling_Price]],0)</f>
        <v>0.28004807692307693</v>
      </c>
      <c r="P588" s="19">
        <v>51</v>
      </c>
      <c r="Q588" s="19">
        <f>tbl_raw[[#This Row],[Gross_Profit]]-(tbl_raw[[#This Row],[Shipping_Cost]]*tbl_raw[[#This Row],[Units_Sold]])</f>
        <v>17824</v>
      </c>
      <c r="R588" s="20">
        <f>IFERROR(tbl_raw[[#This Row],[Net_Profit]]/(tbl_raw[[#This Row],[Selling_Price]]*tbl_raw[[#This Row],[Units_Sold]]),0)</f>
        <v>0.26778846153846153</v>
      </c>
      <c r="S588" s="18" t="s">
        <v>31</v>
      </c>
      <c r="T588" s="18" t="s">
        <v>32</v>
      </c>
      <c r="U588" s="18">
        <f>IF(tbl_raw[[#This Row],[Order_Status]]="Returned",1,0)</f>
        <v>0</v>
      </c>
      <c r="V588" s="18">
        <f>IF(tbl_raw[[#This Row],[Payment_Method]]="COD",1,0)</f>
        <v>0</v>
      </c>
      <c r="W588" s="21">
        <f>MIN(1,(tbl_raw[[#This Row],[Discount_Pct]]*1.4)+(tbl_raw[[#This Row],[COD_Flag]]*0.35))</f>
        <v>0.53199999999999992</v>
      </c>
    </row>
    <row r="589" spans="1:23" ht="22.8" x14ac:dyDescent="0.3">
      <c r="A589" s="22" t="s">
        <v>1556</v>
      </c>
      <c r="B589" s="23" t="s">
        <v>427</v>
      </c>
      <c r="C589" s="23" t="s">
        <v>43</v>
      </c>
      <c r="D589" s="23" t="s">
        <v>44</v>
      </c>
      <c r="E589" s="23" t="s">
        <v>45</v>
      </c>
      <c r="F589" s="23" t="s">
        <v>1557</v>
      </c>
      <c r="G589" s="23" t="s">
        <v>102</v>
      </c>
      <c r="H589" s="23" t="s">
        <v>39</v>
      </c>
      <c r="I589" s="23">
        <v>20</v>
      </c>
      <c r="J589" s="24">
        <v>3395</v>
      </c>
      <c r="K589" s="24">
        <v>3056</v>
      </c>
      <c r="L589" s="25">
        <v>0.1</v>
      </c>
      <c r="M589" s="24">
        <v>1828</v>
      </c>
      <c r="N589" s="24">
        <f>(tbl_raw[[#This Row],[Selling_Price]]-tbl_raw[[#This Row],[Cost_Price]])*tbl_raw[[#This Row],[Units_Sold]]</f>
        <v>24560</v>
      </c>
      <c r="O589" s="25">
        <f>IFERROR((tbl_raw[[#This Row],[Selling_Price]]-tbl_raw[[#This Row],[Cost_Price]]) / tbl_raw[[#This Row],[Selling_Price]],0)</f>
        <v>0.40183246073298429</v>
      </c>
      <c r="P589" s="24">
        <v>111</v>
      </c>
      <c r="Q589" s="24">
        <f>tbl_raw[[#This Row],[Gross_Profit]]-(tbl_raw[[#This Row],[Shipping_Cost]]*tbl_raw[[#This Row],[Units_Sold]])</f>
        <v>22340</v>
      </c>
      <c r="R589" s="25">
        <f>IFERROR(tbl_raw[[#This Row],[Net_Profit]]/(tbl_raw[[#This Row],[Selling_Price]]*tbl_raw[[#This Row],[Units_Sold]]),0)</f>
        <v>0.3655104712041885</v>
      </c>
      <c r="S589" s="23" t="s">
        <v>31</v>
      </c>
      <c r="T589" s="23" t="s">
        <v>32</v>
      </c>
      <c r="U589" s="23">
        <f>IF(tbl_raw[[#This Row],[Order_Status]]="Returned",1,0)</f>
        <v>0</v>
      </c>
      <c r="V589" s="23">
        <f>IF(tbl_raw[[#This Row],[Payment_Method]]="COD",1,0)</f>
        <v>0</v>
      </c>
      <c r="W589" s="26">
        <f>MIN(1,(tbl_raw[[#This Row],[Discount_Pct]]*1.4)+(tbl_raw[[#This Row],[COD_Flag]]*0.35))</f>
        <v>0.13999999999999999</v>
      </c>
    </row>
    <row r="590" spans="1:23" ht="22.8" x14ac:dyDescent="0.3">
      <c r="A590" s="17" t="s">
        <v>1558</v>
      </c>
      <c r="B590" s="18" t="s">
        <v>738</v>
      </c>
      <c r="C590" s="18" t="s">
        <v>43</v>
      </c>
      <c r="D590" s="18" t="s">
        <v>26</v>
      </c>
      <c r="E590" s="18" t="s">
        <v>36</v>
      </c>
      <c r="F590" s="18" t="s">
        <v>1559</v>
      </c>
      <c r="G590" s="18" t="s">
        <v>143</v>
      </c>
      <c r="H590" s="18" t="s">
        <v>30</v>
      </c>
      <c r="I590" s="18">
        <v>18</v>
      </c>
      <c r="J590" s="19">
        <v>5232</v>
      </c>
      <c r="K590" s="19">
        <v>3715</v>
      </c>
      <c r="L590" s="20">
        <v>0.28999999999999998</v>
      </c>
      <c r="M590" s="19">
        <v>2249</v>
      </c>
      <c r="N590" s="19">
        <f>(tbl_raw[[#This Row],[Selling_Price]]-tbl_raw[[#This Row],[Cost_Price]])*tbl_raw[[#This Row],[Units_Sold]]</f>
        <v>26388</v>
      </c>
      <c r="O590" s="20">
        <f>IFERROR((tbl_raw[[#This Row],[Selling_Price]]-tbl_raw[[#This Row],[Cost_Price]]) / tbl_raw[[#This Row],[Selling_Price]],0)</f>
        <v>0.39461641991924629</v>
      </c>
      <c r="P590" s="19">
        <v>173</v>
      </c>
      <c r="Q590" s="19">
        <f>tbl_raw[[#This Row],[Gross_Profit]]-(tbl_raw[[#This Row],[Shipping_Cost]]*tbl_raw[[#This Row],[Units_Sold]])</f>
        <v>23274</v>
      </c>
      <c r="R590" s="20">
        <f>IFERROR(tbl_raw[[#This Row],[Net_Profit]]/(tbl_raw[[#This Row],[Selling_Price]]*tbl_raw[[#This Row],[Units_Sold]]),0)</f>
        <v>0.34804845222072678</v>
      </c>
      <c r="S590" s="18" t="s">
        <v>65</v>
      </c>
      <c r="T590" s="18" t="s">
        <v>32</v>
      </c>
      <c r="U590" s="18">
        <f>IF(tbl_raw[[#This Row],[Order_Status]]="Returned",1,0)</f>
        <v>0</v>
      </c>
      <c r="V590" s="18">
        <f>IF(tbl_raw[[#This Row],[Payment_Method]]="COD",1,0)</f>
        <v>0</v>
      </c>
      <c r="W590" s="21">
        <f>MIN(1,(tbl_raw[[#This Row],[Discount_Pct]]*1.4)+(tbl_raw[[#This Row],[COD_Flag]]*0.35))</f>
        <v>0.40599999999999997</v>
      </c>
    </row>
    <row r="591" spans="1:23" ht="22.8" x14ac:dyDescent="0.3">
      <c r="A591" s="22" t="s">
        <v>1560</v>
      </c>
      <c r="B591" s="23" t="s">
        <v>1375</v>
      </c>
      <c r="C591" s="23" t="s">
        <v>199</v>
      </c>
      <c r="D591" s="23" t="s">
        <v>94</v>
      </c>
      <c r="E591" s="23" t="s">
        <v>310</v>
      </c>
      <c r="F591" s="23" t="s">
        <v>1561</v>
      </c>
      <c r="G591" s="23" t="s">
        <v>139</v>
      </c>
      <c r="H591" s="23" t="s">
        <v>48</v>
      </c>
      <c r="I591" s="23">
        <v>4</v>
      </c>
      <c r="J591" s="24">
        <v>5334</v>
      </c>
      <c r="K591" s="24">
        <v>4054</v>
      </c>
      <c r="L591" s="25">
        <v>0.24</v>
      </c>
      <c r="M591" s="24">
        <v>3930</v>
      </c>
      <c r="N591" s="24">
        <f>(tbl_raw[[#This Row],[Selling_Price]]-tbl_raw[[#This Row],[Cost_Price]])*tbl_raw[[#This Row],[Units_Sold]]</f>
        <v>496</v>
      </c>
      <c r="O591" s="25">
        <f>IFERROR((tbl_raw[[#This Row],[Selling_Price]]-tbl_raw[[#This Row],[Cost_Price]]) / tbl_raw[[#This Row],[Selling_Price]],0)</f>
        <v>3.0587074494326592E-2</v>
      </c>
      <c r="P591" s="24">
        <v>71</v>
      </c>
      <c r="Q591" s="24">
        <f>tbl_raw[[#This Row],[Gross_Profit]]-(tbl_raw[[#This Row],[Shipping_Cost]]*tbl_raw[[#This Row],[Units_Sold]])</f>
        <v>212</v>
      </c>
      <c r="R591" s="25">
        <f>IFERROR(tbl_raw[[#This Row],[Net_Profit]]/(tbl_raw[[#This Row],[Selling_Price]]*tbl_raw[[#This Row],[Units_Sold]]),0)</f>
        <v>1.3073507646768623E-2</v>
      </c>
      <c r="S591" s="23" t="s">
        <v>40</v>
      </c>
      <c r="T591" s="23" t="s">
        <v>86</v>
      </c>
      <c r="U591" s="23">
        <f>IF(tbl_raw[[#This Row],[Order_Status]]="Returned",1,0)</f>
        <v>1</v>
      </c>
      <c r="V591" s="23">
        <f>IF(tbl_raw[[#This Row],[Payment_Method]]="COD",1,0)</f>
        <v>1</v>
      </c>
      <c r="W591" s="26">
        <f>MIN(1,(tbl_raw[[#This Row],[Discount_Pct]]*1.4)+(tbl_raw[[#This Row],[COD_Flag]]*0.35))</f>
        <v>0.68599999999999994</v>
      </c>
    </row>
    <row r="592" spans="1:23" ht="22.8" x14ac:dyDescent="0.3">
      <c r="A592" s="17" t="s">
        <v>1562</v>
      </c>
      <c r="B592" s="18" t="s">
        <v>390</v>
      </c>
      <c r="C592" s="18" t="s">
        <v>199</v>
      </c>
      <c r="D592" s="18" t="s">
        <v>175</v>
      </c>
      <c r="E592" s="18" t="s">
        <v>176</v>
      </c>
      <c r="F592" s="18" t="s">
        <v>1563</v>
      </c>
      <c r="G592" s="18" t="s">
        <v>56</v>
      </c>
      <c r="H592" s="18" t="s">
        <v>57</v>
      </c>
      <c r="I592" s="18">
        <v>13</v>
      </c>
      <c r="J592" s="19">
        <v>4793</v>
      </c>
      <c r="K592" s="19">
        <v>3739</v>
      </c>
      <c r="L592" s="20">
        <v>0.22</v>
      </c>
      <c r="M592" s="19">
        <v>3484</v>
      </c>
      <c r="N592" s="19">
        <f>(tbl_raw[[#This Row],[Selling_Price]]-tbl_raw[[#This Row],[Cost_Price]])*tbl_raw[[#This Row],[Units_Sold]]</f>
        <v>3315</v>
      </c>
      <c r="O592" s="20">
        <f>IFERROR((tbl_raw[[#This Row],[Selling_Price]]-tbl_raw[[#This Row],[Cost_Price]]) / tbl_raw[[#This Row],[Selling_Price]],0)</f>
        <v>6.8200053490238027E-2</v>
      </c>
      <c r="P592" s="19">
        <v>81</v>
      </c>
      <c r="Q592" s="19">
        <f>tbl_raw[[#This Row],[Gross_Profit]]-(tbl_raw[[#This Row],[Shipping_Cost]]*tbl_raw[[#This Row],[Units_Sold]])</f>
        <v>2262</v>
      </c>
      <c r="R592" s="20">
        <f>IFERROR(tbl_raw[[#This Row],[Net_Profit]]/(tbl_raw[[#This Row],[Selling_Price]]*tbl_raw[[#This Row],[Units_Sold]]),0)</f>
        <v>4.653650708745654E-2</v>
      </c>
      <c r="S592" s="18" t="s">
        <v>40</v>
      </c>
      <c r="T592" s="18" t="s">
        <v>49</v>
      </c>
      <c r="U592" s="18">
        <f>IF(tbl_raw[[#This Row],[Order_Status]]="Returned",1,0)</f>
        <v>0</v>
      </c>
      <c r="V592" s="18">
        <f>IF(tbl_raw[[#This Row],[Payment_Method]]="COD",1,0)</f>
        <v>1</v>
      </c>
      <c r="W592" s="21">
        <f>MIN(1,(tbl_raw[[#This Row],[Discount_Pct]]*1.4)+(tbl_raw[[#This Row],[COD_Flag]]*0.35))</f>
        <v>0.65799999999999992</v>
      </c>
    </row>
    <row r="593" spans="1:23" ht="22.8" x14ac:dyDescent="0.3">
      <c r="A593" s="22" t="s">
        <v>1564</v>
      </c>
      <c r="B593" s="23" t="s">
        <v>643</v>
      </c>
      <c r="C593" s="23" t="s">
        <v>89</v>
      </c>
      <c r="D593" s="23" t="s">
        <v>53</v>
      </c>
      <c r="E593" s="23" t="s">
        <v>149</v>
      </c>
      <c r="F593" s="23" t="s">
        <v>1565</v>
      </c>
      <c r="G593" s="23" t="s">
        <v>120</v>
      </c>
      <c r="H593" s="23" t="s">
        <v>39</v>
      </c>
      <c r="I593" s="23">
        <v>18</v>
      </c>
      <c r="J593" s="24">
        <v>1512</v>
      </c>
      <c r="K593" s="24">
        <v>1421</v>
      </c>
      <c r="L593" s="25">
        <v>0.06</v>
      </c>
      <c r="M593" s="24">
        <v>740</v>
      </c>
      <c r="N593" s="24">
        <f>(tbl_raw[[#This Row],[Selling_Price]]-tbl_raw[[#This Row],[Cost_Price]])*tbl_raw[[#This Row],[Units_Sold]]</f>
        <v>12258</v>
      </c>
      <c r="O593" s="25">
        <f>IFERROR((tbl_raw[[#This Row],[Selling_Price]]-tbl_raw[[#This Row],[Cost_Price]]) / tbl_raw[[#This Row],[Selling_Price]],0)</f>
        <v>0.4792399718508093</v>
      </c>
      <c r="P593" s="24">
        <v>43</v>
      </c>
      <c r="Q593" s="24">
        <f>tbl_raw[[#This Row],[Gross_Profit]]-(tbl_raw[[#This Row],[Shipping_Cost]]*tbl_raw[[#This Row],[Units_Sold]])</f>
        <v>11484</v>
      </c>
      <c r="R593" s="25">
        <f>IFERROR(tbl_raw[[#This Row],[Net_Profit]]/(tbl_raw[[#This Row],[Selling_Price]]*tbl_raw[[#This Row],[Units_Sold]]),0)</f>
        <v>0.44897959183673469</v>
      </c>
      <c r="S593" s="23" t="s">
        <v>107</v>
      </c>
      <c r="T593" s="23" t="s">
        <v>32</v>
      </c>
      <c r="U593" s="23">
        <f>IF(tbl_raw[[#This Row],[Order_Status]]="Returned",1,0)</f>
        <v>0</v>
      </c>
      <c r="V593" s="23">
        <f>IF(tbl_raw[[#This Row],[Payment_Method]]="COD",1,0)</f>
        <v>0</v>
      </c>
      <c r="W593" s="26">
        <f>MIN(1,(tbl_raw[[#This Row],[Discount_Pct]]*1.4)+(tbl_raw[[#This Row],[COD_Flag]]*0.35))</f>
        <v>8.3999999999999991E-2</v>
      </c>
    </row>
    <row r="594" spans="1:23" ht="22.8" x14ac:dyDescent="0.3">
      <c r="A594" s="17" t="s">
        <v>1566</v>
      </c>
      <c r="B594" s="18" t="s">
        <v>1567</v>
      </c>
      <c r="C594" s="18" t="s">
        <v>132</v>
      </c>
      <c r="D594" s="18" t="s">
        <v>44</v>
      </c>
      <c r="E594" s="18" t="s">
        <v>73</v>
      </c>
      <c r="F594" s="18" t="s">
        <v>1568</v>
      </c>
      <c r="G594" s="18" t="s">
        <v>139</v>
      </c>
      <c r="H594" s="18" t="s">
        <v>48</v>
      </c>
      <c r="I594" s="18">
        <v>10</v>
      </c>
      <c r="J594" s="19">
        <v>3242</v>
      </c>
      <c r="K594" s="19">
        <v>2788</v>
      </c>
      <c r="L594" s="20">
        <v>0.14000000000000001</v>
      </c>
      <c r="M594" s="19">
        <v>1765</v>
      </c>
      <c r="N594" s="19">
        <f>(tbl_raw[[#This Row],[Selling_Price]]-tbl_raw[[#This Row],[Cost_Price]])*tbl_raw[[#This Row],[Units_Sold]]</f>
        <v>10230</v>
      </c>
      <c r="O594" s="20">
        <f>IFERROR((tbl_raw[[#This Row],[Selling_Price]]-tbl_raw[[#This Row],[Cost_Price]]) / tbl_raw[[#This Row],[Selling_Price]],0)</f>
        <v>0.36692969870875181</v>
      </c>
      <c r="P594" s="19">
        <v>79</v>
      </c>
      <c r="Q594" s="19">
        <f>tbl_raw[[#This Row],[Gross_Profit]]-(tbl_raw[[#This Row],[Shipping_Cost]]*tbl_raw[[#This Row],[Units_Sold]])</f>
        <v>9440</v>
      </c>
      <c r="R594" s="20">
        <f>IFERROR(tbl_raw[[#This Row],[Net_Profit]]/(tbl_raw[[#This Row],[Selling_Price]]*tbl_raw[[#This Row],[Units_Sold]]),0)</f>
        <v>0.33859397417503589</v>
      </c>
      <c r="S594" s="18" t="s">
        <v>31</v>
      </c>
      <c r="T594" s="18" t="s">
        <v>49</v>
      </c>
      <c r="U594" s="18">
        <f>IF(tbl_raw[[#This Row],[Order_Status]]="Returned",1,0)</f>
        <v>0</v>
      </c>
      <c r="V594" s="18">
        <f>IF(tbl_raw[[#This Row],[Payment_Method]]="COD",1,0)</f>
        <v>0</v>
      </c>
      <c r="W594" s="21">
        <f>MIN(1,(tbl_raw[[#This Row],[Discount_Pct]]*1.4)+(tbl_raw[[#This Row],[COD_Flag]]*0.35))</f>
        <v>0.19600000000000001</v>
      </c>
    </row>
    <row r="595" spans="1:23" ht="22.8" x14ac:dyDescent="0.3">
      <c r="A595" s="22" t="s">
        <v>1569</v>
      </c>
      <c r="B595" s="23" t="s">
        <v>694</v>
      </c>
      <c r="C595" s="23" t="s">
        <v>132</v>
      </c>
      <c r="D595" s="23" t="s">
        <v>94</v>
      </c>
      <c r="E595" s="23" t="s">
        <v>137</v>
      </c>
      <c r="F595" s="23" t="s">
        <v>1570</v>
      </c>
      <c r="G595" s="23" t="s">
        <v>29</v>
      </c>
      <c r="H595" s="23" t="s">
        <v>30</v>
      </c>
      <c r="I595" s="23">
        <v>16</v>
      </c>
      <c r="J595" s="24">
        <v>4167</v>
      </c>
      <c r="K595" s="24">
        <v>3209</v>
      </c>
      <c r="L595" s="25">
        <v>0.23</v>
      </c>
      <c r="M595" s="24">
        <v>3051</v>
      </c>
      <c r="N595" s="24">
        <f>(tbl_raw[[#This Row],[Selling_Price]]-tbl_raw[[#This Row],[Cost_Price]])*tbl_raw[[#This Row],[Units_Sold]]</f>
        <v>2528</v>
      </c>
      <c r="O595" s="25">
        <f>IFERROR((tbl_raw[[#This Row],[Selling_Price]]-tbl_raw[[#This Row],[Cost_Price]]) / tbl_raw[[#This Row],[Selling_Price]],0)</f>
        <v>4.9236522281084452E-2</v>
      </c>
      <c r="P595" s="24">
        <v>70</v>
      </c>
      <c r="Q595" s="24">
        <f>tbl_raw[[#This Row],[Gross_Profit]]-(tbl_raw[[#This Row],[Shipping_Cost]]*tbl_raw[[#This Row],[Units_Sold]])</f>
        <v>1408</v>
      </c>
      <c r="R595" s="25">
        <f>IFERROR(tbl_raw[[#This Row],[Net_Profit]]/(tbl_raw[[#This Row],[Selling_Price]]*tbl_raw[[#This Row],[Units_Sold]]),0)</f>
        <v>2.7422873169211593E-2</v>
      </c>
      <c r="S595" s="23" t="s">
        <v>107</v>
      </c>
      <c r="T595" s="23" t="s">
        <v>32</v>
      </c>
      <c r="U595" s="23">
        <f>IF(tbl_raw[[#This Row],[Order_Status]]="Returned",1,0)</f>
        <v>0</v>
      </c>
      <c r="V595" s="23">
        <f>IF(tbl_raw[[#This Row],[Payment_Method]]="COD",1,0)</f>
        <v>0</v>
      </c>
      <c r="W595" s="26">
        <f>MIN(1,(tbl_raw[[#This Row],[Discount_Pct]]*1.4)+(tbl_raw[[#This Row],[COD_Flag]]*0.35))</f>
        <v>0.32200000000000001</v>
      </c>
    </row>
    <row r="596" spans="1:23" ht="22.8" x14ac:dyDescent="0.3">
      <c r="A596" s="17" t="s">
        <v>1571</v>
      </c>
      <c r="B596" s="18" t="s">
        <v>494</v>
      </c>
      <c r="C596" s="18" t="s">
        <v>117</v>
      </c>
      <c r="D596" s="18" t="s">
        <v>78</v>
      </c>
      <c r="E596" s="18" t="s">
        <v>118</v>
      </c>
      <c r="F596" s="18" t="s">
        <v>1572</v>
      </c>
      <c r="G596" s="18" t="s">
        <v>143</v>
      </c>
      <c r="H596" s="18" t="s">
        <v>30</v>
      </c>
      <c r="I596" s="18">
        <v>18</v>
      </c>
      <c r="J596" s="19">
        <v>7715</v>
      </c>
      <c r="K596" s="19">
        <v>5400</v>
      </c>
      <c r="L596" s="20">
        <v>0.3</v>
      </c>
      <c r="M596" s="19">
        <v>3751</v>
      </c>
      <c r="N596" s="19">
        <f>(tbl_raw[[#This Row],[Selling_Price]]-tbl_raw[[#This Row],[Cost_Price]])*tbl_raw[[#This Row],[Units_Sold]]</f>
        <v>29682</v>
      </c>
      <c r="O596" s="20">
        <f>IFERROR((tbl_raw[[#This Row],[Selling_Price]]-tbl_raw[[#This Row],[Cost_Price]]) / tbl_raw[[#This Row],[Selling_Price]],0)</f>
        <v>0.30537037037037035</v>
      </c>
      <c r="P596" s="19">
        <v>113</v>
      </c>
      <c r="Q596" s="19">
        <f>tbl_raw[[#This Row],[Gross_Profit]]-(tbl_raw[[#This Row],[Shipping_Cost]]*tbl_raw[[#This Row],[Units_Sold]])</f>
        <v>27648</v>
      </c>
      <c r="R596" s="20">
        <f>IFERROR(tbl_raw[[#This Row],[Net_Profit]]/(tbl_raw[[#This Row],[Selling_Price]]*tbl_raw[[#This Row],[Units_Sold]]),0)</f>
        <v>0.28444444444444444</v>
      </c>
      <c r="S596" s="18" t="s">
        <v>40</v>
      </c>
      <c r="T596" s="18" t="s">
        <v>32</v>
      </c>
      <c r="U596" s="18">
        <f>IF(tbl_raw[[#This Row],[Order_Status]]="Returned",1,0)</f>
        <v>0</v>
      </c>
      <c r="V596" s="18">
        <f>IF(tbl_raw[[#This Row],[Payment_Method]]="COD",1,0)</f>
        <v>1</v>
      </c>
      <c r="W596" s="21">
        <f>MIN(1,(tbl_raw[[#This Row],[Discount_Pct]]*1.4)+(tbl_raw[[#This Row],[COD_Flag]]*0.35))</f>
        <v>0.77</v>
      </c>
    </row>
    <row r="597" spans="1:23" ht="22.8" x14ac:dyDescent="0.3">
      <c r="A597" s="22" t="s">
        <v>1573</v>
      </c>
      <c r="B597" s="23" t="s">
        <v>1574</v>
      </c>
      <c r="C597" s="23" t="s">
        <v>72</v>
      </c>
      <c r="D597" s="23" t="s">
        <v>94</v>
      </c>
      <c r="E597" s="23" t="s">
        <v>95</v>
      </c>
      <c r="F597" s="23" t="s">
        <v>96</v>
      </c>
      <c r="G597" s="23" t="s">
        <v>38</v>
      </c>
      <c r="H597" s="23" t="s">
        <v>39</v>
      </c>
      <c r="I597" s="23">
        <v>6</v>
      </c>
      <c r="J597" s="24">
        <v>6300</v>
      </c>
      <c r="K597" s="24">
        <v>4788</v>
      </c>
      <c r="L597" s="25">
        <v>0.24</v>
      </c>
      <c r="M597" s="24">
        <v>3454</v>
      </c>
      <c r="N597" s="24">
        <f>(tbl_raw[[#This Row],[Selling_Price]]-tbl_raw[[#This Row],[Cost_Price]])*tbl_raw[[#This Row],[Units_Sold]]</f>
        <v>8004</v>
      </c>
      <c r="O597" s="25">
        <f>IFERROR((tbl_raw[[#This Row],[Selling_Price]]-tbl_raw[[#This Row],[Cost_Price]]) / tbl_raw[[#This Row],[Selling_Price]],0)</f>
        <v>0.27861319966583126</v>
      </c>
      <c r="P597" s="24">
        <v>167</v>
      </c>
      <c r="Q597" s="24">
        <f>tbl_raw[[#This Row],[Gross_Profit]]-(tbl_raw[[#This Row],[Shipping_Cost]]*tbl_raw[[#This Row],[Units_Sold]])</f>
        <v>7002</v>
      </c>
      <c r="R597" s="25">
        <f>IFERROR(tbl_raw[[#This Row],[Net_Profit]]/(tbl_raw[[#This Row],[Selling_Price]]*tbl_raw[[#This Row],[Units_Sold]]),0)</f>
        <v>0.243734335839599</v>
      </c>
      <c r="S597" s="23" t="s">
        <v>31</v>
      </c>
      <c r="T597" s="23" t="s">
        <v>86</v>
      </c>
      <c r="U597" s="23">
        <f>IF(tbl_raw[[#This Row],[Order_Status]]="Returned",1,0)</f>
        <v>1</v>
      </c>
      <c r="V597" s="23">
        <f>IF(tbl_raw[[#This Row],[Payment_Method]]="COD",1,0)</f>
        <v>0</v>
      </c>
      <c r="W597" s="26">
        <f>MIN(1,(tbl_raw[[#This Row],[Discount_Pct]]*1.4)+(tbl_raw[[#This Row],[COD_Flag]]*0.35))</f>
        <v>0.33599999999999997</v>
      </c>
    </row>
    <row r="598" spans="1:23" ht="22.8" x14ac:dyDescent="0.3">
      <c r="A598" s="17" t="s">
        <v>1575</v>
      </c>
      <c r="B598" s="18" t="s">
        <v>614</v>
      </c>
      <c r="C598" s="18" t="s">
        <v>199</v>
      </c>
      <c r="D598" s="18" t="s">
        <v>164</v>
      </c>
      <c r="E598" s="18" t="s">
        <v>265</v>
      </c>
      <c r="F598" s="18" t="s">
        <v>266</v>
      </c>
      <c r="G598" s="18" t="s">
        <v>75</v>
      </c>
      <c r="H598" s="18" t="s">
        <v>48</v>
      </c>
      <c r="I598" s="18">
        <v>9</v>
      </c>
      <c r="J598" s="19">
        <v>4863</v>
      </c>
      <c r="K598" s="19">
        <v>3015</v>
      </c>
      <c r="L598" s="20">
        <v>0.38</v>
      </c>
      <c r="M598" s="19">
        <v>2592</v>
      </c>
      <c r="N598" s="19">
        <f>(tbl_raw[[#This Row],[Selling_Price]]-tbl_raw[[#This Row],[Cost_Price]])*tbl_raw[[#This Row],[Units_Sold]]</f>
        <v>3807</v>
      </c>
      <c r="O598" s="20">
        <f>IFERROR((tbl_raw[[#This Row],[Selling_Price]]-tbl_raw[[#This Row],[Cost_Price]]) / tbl_raw[[#This Row],[Selling_Price]],0)</f>
        <v>0.14029850746268657</v>
      </c>
      <c r="P598" s="19">
        <v>83</v>
      </c>
      <c r="Q598" s="19">
        <f>tbl_raw[[#This Row],[Gross_Profit]]-(tbl_raw[[#This Row],[Shipping_Cost]]*tbl_raw[[#This Row],[Units_Sold]])</f>
        <v>3060</v>
      </c>
      <c r="R598" s="20">
        <f>IFERROR(tbl_raw[[#This Row],[Net_Profit]]/(tbl_raw[[#This Row],[Selling_Price]]*tbl_raw[[#This Row],[Units_Sold]]),0)</f>
        <v>0.11276948590381426</v>
      </c>
      <c r="S598" s="18" t="s">
        <v>40</v>
      </c>
      <c r="T598" s="18" t="s">
        <v>32</v>
      </c>
      <c r="U598" s="18">
        <f>IF(tbl_raw[[#This Row],[Order_Status]]="Returned",1,0)</f>
        <v>0</v>
      </c>
      <c r="V598" s="18">
        <f>IF(tbl_raw[[#This Row],[Payment_Method]]="COD",1,0)</f>
        <v>1</v>
      </c>
      <c r="W598" s="21">
        <f>MIN(1,(tbl_raw[[#This Row],[Discount_Pct]]*1.4)+(tbl_raw[[#This Row],[COD_Flag]]*0.35))</f>
        <v>0.8819999999999999</v>
      </c>
    </row>
    <row r="599" spans="1:23" ht="22.8" x14ac:dyDescent="0.3">
      <c r="A599" s="22" t="s">
        <v>1576</v>
      </c>
      <c r="B599" s="23" t="s">
        <v>720</v>
      </c>
      <c r="C599" s="23" t="s">
        <v>132</v>
      </c>
      <c r="D599" s="23" t="s">
        <v>175</v>
      </c>
      <c r="E599" s="23" t="s">
        <v>190</v>
      </c>
      <c r="F599" s="23" t="s">
        <v>1577</v>
      </c>
      <c r="G599" s="23" t="s">
        <v>47</v>
      </c>
      <c r="H599" s="23" t="s">
        <v>48</v>
      </c>
      <c r="I599" s="23">
        <v>4</v>
      </c>
      <c r="J599" s="24">
        <v>6678</v>
      </c>
      <c r="K599" s="24">
        <v>4474</v>
      </c>
      <c r="L599" s="25">
        <v>0.33</v>
      </c>
      <c r="M599" s="24">
        <v>5006</v>
      </c>
      <c r="N599" s="24">
        <f>(tbl_raw[[#This Row],[Selling_Price]]-tbl_raw[[#This Row],[Cost_Price]])*tbl_raw[[#This Row],[Units_Sold]]</f>
        <v>-2128</v>
      </c>
      <c r="O599" s="25">
        <f>IFERROR((tbl_raw[[#This Row],[Selling_Price]]-tbl_raw[[#This Row],[Cost_Price]]) / tbl_raw[[#This Row],[Selling_Price]],0)</f>
        <v>-0.11890925346446134</v>
      </c>
      <c r="P599" s="24">
        <v>162</v>
      </c>
      <c r="Q599" s="24">
        <f>tbl_raw[[#This Row],[Gross_Profit]]-(tbl_raw[[#This Row],[Shipping_Cost]]*tbl_raw[[#This Row],[Units_Sold]])</f>
        <v>-2776</v>
      </c>
      <c r="R599" s="25">
        <f>IFERROR(tbl_raw[[#This Row],[Net_Profit]]/(tbl_raw[[#This Row],[Selling_Price]]*tbl_raw[[#This Row],[Units_Sold]]),0)</f>
        <v>-0.1551184622261958</v>
      </c>
      <c r="S599" s="23" t="s">
        <v>40</v>
      </c>
      <c r="T599" s="23" t="s">
        <v>49</v>
      </c>
      <c r="U599" s="23">
        <f>IF(tbl_raw[[#This Row],[Order_Status]]="Returned",1,0)</f>
        <v>0</v>
      </c>
      <c r="V599" s="23">
        <f>IF(tbl_raw[[#This Row],[Payment_Method]]="COD",1,0)</f>
        <v>1</v>
      </c>
      <c r="W599" s="26">
        <f>MIN(1,(tbl_raw[[#This Row],[Discount_Pct]]*1.4)+(tbl_raw[[#This Row],[COD_Flag]]*0.35))</f>
        <v>0.81199999999999994</v>
      </c>
    </row>
    <row r="600" spans="1:23" ht="22.8" x14ac:dyDescent="0.3">
      <c r="A600" s="17" t="s">
        <v>1578</v>
      </c>
      <c r="B600" s="18" t="s">
        <v>508</v>
      </c>
      <c r="C600" s="18" t="s">
        <v>89</v>
      </c>
      <c r="D600" s="18" t="s">
        <v>44</v>
      </c>
      <c r="E600" s="18" t="s">
        <v>279</v>
      </c>
      <c r="F600" s="18" t="s">
        <v>1579</v>
      </c>
      <c r="G600" s="18" t="s">
        <v>75</v>
      </c>
      <c r="H600" s="18" t="s">
        <v>48</v>
      </c>
      <c r="I600" s="18">
        <v>9</v>
      </c>
      <c r="J600" s="19">
        <v>2118</v>
      </c>
      <c r="K600" s="19">
        <v>1186</v>
      </c>
      <c r="L600" s="20">
        <v>0.44</v>
      </c>
      <c r="M600" s="19">
        <v>1100</v>
      </c>
      <c r="N600" s="19">
        <f>(tbl_raw[[#This Row],[Selling_Price]]-tbl_raw[[#This Row],[Cost_Price]])*tbl_raw[[#This Row],[Units_Sold]]</f>
        <v>774</v>
      </c>
      <c r="O600" s="20">
        <f>IFERROR((tbl_raw[[#This Row],[Selling_Price]]-tbl_raw[[#This Row],[Cost_Price]]) / tbl_raw[[#This Row],[Selling_Price]],0)</f>
        <v>7.2512647554806076E-2</v>
      </c>
      <c r="P600" s="19">
        <v>99</v>
      </c>
      <c r="Q600" s="19">
        <f>tbl_raw[[#This Row],[Gross_Profit]]-(tbl_raw[[#This Row],[Shipping_Cost]]*tbl_raw[[#This Row],[Units_Sold]])</f>
        <v>-117</v>
      </c>
      <c r="R600" s="20">
        <f>IFERROR(tbl_raw[[#This Row],[Net_Profit]]/(tbl_raw[[#This Row],[Selling_Price]]*tbl_raw[[#This Row],[Units_Sold]]),0)</f>
        <v>-1.0961214165261383E-2</v>
      </c>
      <c r="S600" s="18" t="s">
        <v>65</v>
      </c>
      <c r="T600" s="18" t="s">
        <v>49</v>
      </c>
      <c r="U600" s="18">
        <f>IF(tbl_raw[[#This Row],[Order_Status]]="Returned",1,0)</f>
        <v>0</v>
      </c>
      <c r="V600" s="18">
        <f>IF(tbl_raw[[#This Row],[Payment_Method]]="COD",1,0)</f>
        <v>0</v>
      </c>
      <c r="W600" s="21">
        <f>MIN(1,(tbl_raw[[#This Row],[Discount_Pct]]*1.4)+(tbl_raw[[#This Row],[COD_Flag]]*0.35))</f>
        <v>0.61599999999999999</v>
      </c>
    </row>
    <row r="601" spans="1:23" ht="22.8" x14ac:dyDescent="0.3">
      <c r="A601" s="22" t="s">
        <v>1580</v>
      </c>
      <c r="B601" s="23" t="s">
        <v>481</v>
      </c>
      <c r="C601" s="23" t="s">
        <v>43</v>
      </c>
      <c r="D601" s="23" t="s">
        <v>26</v>
      </c>
      <c r="E601" s="23" t="s">
        <v>36</v>
      </c>
      <c r="F601" s="23" t="s">
        <v>1581</v>
      </c>
      <c r="G601" s="23" t="s">
        <v>139</v>
      </c>
      <c r="H601" s="23" t="s">
        <v>48</v>
      </c>
      <c r="I601" s="23">
        <v>1</v>
      </c>
      <c r="J601" s="24">
        <v>5447</v>
      </c>
      <c r="K601" s="24">
        <v>4412</v>
      </c>
      <c r="L601" s="25">
        <v>0.19</v>
      </c>
      <c r="M601" s="24">
        <v>3886</v>
      </c>
      <c r="N601" s="24">
        <f>(tbl_raw[[#This Row],[Selling_Price]]-tbl_raw[[#This Row],[Cost_Price]])*tbl_raw[[#This Row],[Units_Sold]]</f>
        <v>526</v>
      </c>
      <c r="O601" s="25">
        <f>IFERROR((tbl_raw[[#This Row],[Selling_Price]]-tbl_raw[[#This Row],[Cost_Price]]) / tbl_raw[[#This Row],[Selling_Price]],0)</f>
        <v>0.11922030825022666</v>
      </c>
      <c r="P601" s="24">
        <v>135</v>
      </c>
      <c r="Q601" s="24">
        <f>tbl_raw[[#This Row],[Gross_Profit]]-(tbl_raw[[#This Row],[Shipping_Cost]]*tbl_raw[[#This Row],[Units_Sold]])</f>
        <v>391</v>
      </c>
      <c r="R601" s="25">
        <f>IFERROR(tbl_raw[[#This Row],[Net_Profit]]/(tbl_raw[[#This Row],[Selling_Price]]*tbl_raw[[#This Row],[Units_Sold]]),0)</f>
        <v>8.862194016319129E-2</v>
      </c>
      <c r="S601" s="23" t="s">
        <v>31</v>
      </c>
      <c r="T601" s="23" t="s">
        <v>86</v>
      </c>
      <c r="U601" s="23">
        <f>IF(tbl_raw[[#This Row],[Order_Status]]="Returned",1,0)</f>
        <v>1</v>
      </c>
      <c r="V601" s="23">
        <f>IF(tbl_raw[[#This Row],[Payment_Method]]="COD",1,0)</f>
        <v>0</v>
      </c>
      <c r="W601" s="26">
        <f>MIN(1,(tbl_raw[[#This Row],[Discount_Pct]]*1.4)+(tbl_raw[[#This Row],[COD_Flag]]*0.35))</f>
        <v>0.26599999999999996</v>
      </c>
    </row>
    <row r="602" spans="1:23" ht="22.8" x14ac:dyDescent="0.3">
      <c r="A602" s="17" t="s">
        <v>1582</v>
      </c>
      <c r="B602" s="18" t="s">
        <v>152</v>
      </c>
      <c r="C602" s="18" t="s">
        <v>25</v>
      </c>
      <c r="D602" s="18" t="s">
        <v>175</v>
      </c>
      <c r="E602" s="18" t="s">
        <v>176</v>
      </c>
      <c r="F602" s="18" t="s">
        <v>1583</v>
      </c>
      <c r="G602" s="18" t="s">
        <v>75</v>
      </c>
      <c r="H602" s="18" t="s">
        <v>48</v>
      </c>
      <c r="I602" s="18">
        <v>4</v>
      </c>
      <c r="J602" s="19">
        <v>2953</v>
      </c>
      <c r="K602" s="19">
        <v>1860</v>
      </c>
      <c r="L602" s="20">
        <v>0.37</v>
      </c>
      <c r="M602" s="19">
        <v>2036</v>
      </c>
      <c r="N602" s="19">
        <f>(tbl_raw[[#This Row],[Selling_Price]]-tbl_raw[[#This Row],[Cost_Price]])*tbl_raw[[#This Row],[Units_Sold]]</f>
        <v>-704</v>
      </c>
      <c r="O602" s="20">
        <f>IFERROR((tbl_raw[[#This Row],[Selling_Price]]-tbl_raw[[#This Row],[Cost_Price]]) / tbl_raw[[#This Row],[Selling_Price]],0)</f>
        <v>-9.4623655913978491E-2</v>
      </c>
      <c r="P602" s="19">
        <v>84</v>
      </c>
      <c r="Q602" s="19">
        <f>tbl_raw[[#This Row],[Gross_Profit]]-(tbl_raw[[#This Row],[Shipping_Cost]]*tbl_raw[[#This Row],[Units_Sold]])</f>
        <v>-1040</v>
      </c>
      <c r="R602" s="20">
        <f>IFERROR(tbl_raw[[#This Row],[Net_Profit]]/(tbl_raw[[#This Row],[Selling_Price]]*tbl_raw[[#This Row],[Units_Sold]]),0)</f>
        <v>-0.13978494623655913</v>
      </c>
      <c r="S602" s="18" t="s">
        <v>40</v>
      </c>
      <c r="T602" s="18" t="s">
        <v>59</v>
      </c>
      <c r="U602" s="18">
        <f>IF(tbl_raw[[#This Row],[Order_Status]]="Returned",1,0)</f>
        <v>0</v>
      </c>
      <c r="V602" s="18">
        <f>IF(tbl_raw[[#This Row],[Payment_Method]]="COD",1,0)</f>
        <v>1</v>
      </c>
      <c r="W602" s="21">
        <f>MIN(1,(tbl_raw[[#This Row],[Discount_Pct]]*1.4)+(tbl_raw[[#This Row],[COD_Flag]]*0.35))</f>
        <v>0.86799999999999999</v>
      </c>
    </row>
    <row r="603" spans="1:23" ht="22.8" x14ac:dyDescent="0.3">
      <c r="A603" s="22" t="s">
        <v>1584</v>
      </c>
      <c r="B603" s="23" t="s">
        <v>887</v>
      </c>
      <c r="C603" s="23" t="s">
        <v>132</v>
      </c>
      <c r="D603" s="23" t="s">
        <v>62</v>
      </c>
      <c r="E603" s="23" t="s">
        <v>63</v>
      </c>
      <c r="F603" s="23" t="s">
        <v>1585</v>
      </c>
      <c r="G603" s="23" t="s">
        <v>75</v>
      </c>
      <c r="H603" s="23" t="s">
        <v>48</v>
      </c>
      <c r="I603" s="23">
        <v>1</v>
      </c>
      <c r="J603" s="24">
        <v>1928</v>
      </c>
      <c r="K603" s="24">
        <v>1909</v>
      </c>
      <c r="L603" s="25">
        <v>0.01</v>
      </c>
      <c r="M603" s="24">
        <v>961</v>
      </c>
      <c r="N603" s="24">
        <f>(tbl_raw[[#This Row],[Selling_Price]]-tbl_raw[[#This Row],[Cost_Price]])*tbl_raw[[#This Row],[Units_Sold]]</f>
        <v>948</v>
      </c>
      <c r="O603" s="25">
        <f>IFERROR((tbl_raw[[#This Row],[Selling_Price]]-tbl_raw[[#This Row],[Cost_Price]]) / tbl_raw[[#This Row],[Selling_Price]],0)</f>
        <v>0.49659507595599789</v>
      </c>
      <c r="P603" s="24">
        <v>168</v>
      </c>
      <c r="Q603" s="24">
        <f>tbl_raw[[#This Row],[Gross_Profit]]-(tbl_raw[[#This Row],[Shipping_Cost]]*tbl_raw[[#This Row],[Units_Sold]])</f>
        <v>780</v>
      </c>
      <c r="R603" s="25">
        <f>IFERROR(tbl_raw[[#This Row],[Net_Profit]]/(tbl_raw[[#This Row],[Selling_Price]]*tbl_raw[[#This Row],[Units_Sold]]),0)</f>
        <v>0.40859088528025145</v>
      </c>
      <c r="S603" s="23" t="s">
        <v>107</v>
      </c>
      <c r="T603" s="23" t="s">
        <v>86</v>
      </c>
      <c r="U603" s="23">
        <f>IF(tbl_raw[[#This Row],[Order_Status]]="Returned",1,0)</f>
        <v>1</v>
      </c>
      <c r="V603" s="23">
        <f>IF(tbl_raw[[#This Row],[Payment_Method]]="COD",1,0)</f>
        <v>0</v>
      </c>
      <c r="W603" s="26">
        <f>MIN(1,(tbl_raw[[#This Row],[Discount_Pct]]*1.4)+(tbl_raw[[#This Row],[COD_Flag]]*0.35))</f>
        <v>1.3999999999999999E-2</v>
      </c>
    </row>
    <row r="604" spans="1:23" ht="22.8" x14ac:dyDescent="0.3">
      <c r="A604" s="17" t="s">
        <v>1586</v>
      </c>
      <c r="B604" s="18" t="s">
        <v>93</v>
      </c>
      <c r="C604" s="18" t="s">
        <v>25</v>
      </c>
      <c r="D604" s="18" t="s">
        <v>94</v>
      </c>
      <c r="E604" s="18" t="s">
        <v>95</v>
      </c>
      <c r="F604" s="18" t="s">
        <v>1587</v>
      </c>
      <c r="G604" s="18" t="s">
        <v>56</v>
      </c>
      <c r="H604" s="18" t="s">
        <v>57</v>
      </c>
      <c r="I604" s="18">
        <v>2</v>
      </c>
      <c r="J604" s="19">
        <v>2390</v>
      </c>
      <c r="K604" s="19">
        <v>1410</v>
      </c>
      <c r="L604" s="20">
        <v>0.41</v>
      </c>
      <c r="M604" s="19">
        <v>1547</v>
      </c>
      <c r="N604" s="19">
        <f>(tbl_raw[[#This Row],[Selling_Price]]-tbl_raw[[#This Row],[Cost_Price]])*tbl_raw[[#This Row],[Units_Sold]]</f>
        <v>-274</v>
      </c>
      <c r="O604" s="20">
        <f>IFERROR((tbl_raw[[#This Row],[Selling_Price]]-tbl_raw[[#This Row],[Cost_Price]]) / tbl_raw[[#This Row],[Selling_Price]],0)</f>
        <v>-9.7163120567375888E-2</v>
      </c>
      <c r="P604" s="19">
        <v>61</v>
      </c>
      <c r="Q604" s="19">
        <f>tbl_raw[[#This Row],[Gross_Profit]]-(tbl_raw[[#This Row],[Shipping_Cost]]*tbl_raw[[#This Row],[Units_Sold]])</f>
        <v>-396</v>
      </c>
      <c r="R604" s="20">
        <f>IFERROR(tbl_raw[[#This Row],[Net_Profit]]/(tbl_raw[[#This Row],[Selling_Price]]*tbl_raw[[#This Row],[Units_Sold]]),0)</f>
        <v>-0.14042553191489363</v>
      </c>
      <c r="S604" s="18" t="s">
        <v>40</v>
      </c>
      <c r="T604" s="18" t="s">
        <v>86</v>
      </c>
      <c r="U604" s="18">
        <f>IF(tbl_raw[[#This Row],[Order_Status]]="Returned",1,0)</f>
        <v>1</v>
      </c>
      <c r="V604" s="18">
        <f>IF(tbl_raw[[#This Row],[Payment_Method]]="COD",1,0)</f>
        <v>1</v>
      </c>
      <c r="W604" s="21">
        <f>MIN(1,(tbl_raw[[#This Row],[Discount_Pct]]*1.4)+(tbl_raw[[#This Row],[COD_Flag]]*0.35))</f>
        <v>0.92399999999999993</v>
      </c>
    </row>
    <row r="605" spans="1:23" ht="22.8" x14ac:dyDescent="0.3">
      <c r="A605" s="22" t="s">
        <v>1588</v>
      </c>
      <c r="B605" s="23" t="s">
        <v>1574</v>
      </c>
      <c r="C605" s="23" t="s">
        <v>72</v>
      </c>
      <c r="D605" s="23" t="s">
        <v>53</v>
      </c>
      <c r="E605" s="23" t="s">
        <v>54</v>
      </c>
      <c r="F605" s="23" t="s">
        <v>1589</v>
      </c>
      <c r="G605" s="23" t="s">
        <v>75</v>
      </c>
      <c r="H605" s="23" t="s">
        <v>48</v>
      </c>
      <c r="I605" s="23">
        <v>6</v>
      </c>
      <c r="J605" s="24">
        <v>4504</v>
      </c>
      <c r="K605" s="24">
        <v>3153</v>
      </c>
      <c r="L605" s="25">
        <v>0.3</v>
      </c>
      <c r="M605" s="24">
        <v>2693</v>
      </c>
      <c r="N605" s="24">
        <f>(tbl_raw[[#This Row],[Selling_Price]]-tbl_raw[[#This Row],[Cost_Price]])*tbl_raw[[#This Row],[Units_Sold]]</f>
        <v>2760</v>
      </c>
      <c r="O605" s="25">
        <f>IFERROR((tbl_raw[[#This Row],[Selling_Price]]-tbl_raw[[#This Row],[Cost_Price]]) / tbl_raw[[#This Row],[Selling_Price]],0)</f>
        <v>0.14589280050745321</v>
      </c>
      <c r="P605" s="24">
        <v>132</v>
      </c>
      <c r="Q605" s="24">
        <f>tbl_raw[[#This Row],[Gross_Profit]]-(tbl_raw[[#This Row],[Shipping_Cost]]*tbl_raw[[#This Row],[Units_Sold]])</f>
        <v>1968</v>
      </c>
      <c r="R605" s="25">
        <f>IFERROR(tbl_raw[[#This Row],[Net_Profit]]/(tbl_raw[[#This Row],[Selling_Price]]*tbl_raw[[#This Row],[Units_Sold]]),0)</f>
        <v>0.1040279099270536</v>
      </c>
      <c r="S605" s="23" t="s">
        <v>65</v>
      </c>
      <c r="T605" s="23" t="s">
        <v>32</v>
      </c>
      <c r="U605" s="23">
        <f>IF(tbl_raw[[#This Row],[Order_Status]]="Returned",1,0)</f>
        <v>0</v>
      </c>
      <c r="V605" s="23">
        <f>IF(tbl_raw[[#This Row],[Payment_Method]]="COD",1,0)</f>
        <v>0</v>
      </c>
      <c r="W605" s="26">
        <f>MIN(1,(tbl_raw[[#This Row],[Discount_Pct]]*1.4)+(tbl_raw[[#This Row],[COD_Flag]]*0.35))</f>
        <v>0.42</v>
      </c>
    </row>
    <row r="606" spans="1:23" ht="22.8" x14ac:dyDescent="0.3">
      <c r="A606" s="17" t="s">
        <v>1590</v>
      </c>
      <c r="B606" s="18" t="s">
        <v>822</v>
      </c>
      <c r="C606" s="18" t="s">
        <v>156</v>
      </c>
      <c r="D606" s="18" t="s">
        <v>164</v>
      </c>
      <c r="E606" s="18" t="s">
        <v>413</v>
      </c>
      <c r="F606" s="18" t="s">
        <v>1591</v>
      </c>
      <c r="G606" s="18" t="s">
        <v>29</v>
      </c>
      <c r="H606" s="18" t="s">
        <v>30</v>
      </c>
      <c r="I606" s="18">
        <v>17</v>
      </c>
      <c r="J606" s="19">
        <v>5885</v>
      </c>
      <c r="K606" s="19">
        <v>5179</v>
      </c>
      <c r="L606" s="20">
        <v>0.12</v>
      </c>
      <c r="M606" s="19">
        <v>4100</v>
      </c>
      <c r="N606" s="19">
        <f>(tbl_raw[[#This Row],[Selling_Price]]-tbl_raw[[#This Row],[Cost_Price]])*tbl_raw[[#This Row],[Units_Sold]]</f>
        <v>18343</v>
      </c>
      <c r="O606" s="20">
        <f>IFERROR((tbl_raw[[#This Row],[Selling_Price]]-tbl_raw[[#This Row],[Cost_Price]]) / tbl_raw[[#This Row],[Selling_Price]],0)</f>
        <v>0.20834137864452598</v>
      </c>
      <c r="P606" s="19">
        <v>33</v>
      </c>
      <c r="Q606" s="19">
        <f>tbl_raw[[#This Row],[Gross_Profit]]-(tbl_raw[[#This Row],[Shipping_Cost]]*tbl_raw[[#This Row],[Units_Sold]])</f>
        <v>17782</v>
      </c>
      <c r="R606" s="20">
        <f>IFERROR(tbl_raw[[#This Row],[Net_Profit]]/(tbl_raw[[#This Row],[Selling_Price]]*tbl_raw[[#This Row],[Units_Sold]]),0)</f>
        <v>0.20196949217995752</v>
      </c>
      <c r="S606" s="18" t="s">
        <v>65</v>
      </c>
      <c r="T606" s="18" t="s">
        <v>32</v>
      </c>
      <c r="U606" s="18">
        <f>IF(tbl_raw[[#This Row],[Order_Status]]="Returned",1,0)</f>
        <v>0</v>
      </c>
      <c r="V606" s="18">
        <f>IF(tbl_raw[[#This Row],[Payment_Method]]="COD",1,0)</f>
        <v>0</v>
      </c>
      <c r="W606" s="21">
        <f>MIN(1,(tbl_raw[[#This Row],[Discount_Pct]]*1.4)+(tbl_raw[[#This Row],[COD_Flag]]*0.35))</f>
        <v>0.16799999999999998</v>
      </c>
    </row>
    <row r="607" spans="1:23" ht="22.8" x14ac:dyDescent="0.3">
      <c r="A607" s="22" t="s">
        <v>1592</v>
      </c>
      <c r="B607" s="23" t="s">
        <v>494</v>
      </c>
      <c r="C607" s="23" t="s">
        <v>117</v>
      </c>
      <c r="D607" s="23" t="s">
        <v>78</v>
      </c>
      <c r="E607" s="23" t="s">
        <v>296</v>
      </c>
      <c r="F607" s="23" t="s">
        <v>1593</v>
      </c>
      <c r="G607" s="23" t="s">
        <v>56</v>
      </c>
      <c r="H607" s="23" t="s">
        <v>57</v>
      </c>
      <c r="I607" s="23">
        <v>14</v>
      </c>
      <c r="J607" s="24">
        <v>6786</v>
      </c>
      <c r="K607" s="24">
        <v>5565</v>
      </c>
      <c r="L607" s="25">
        <v>0.18</v>
      </c>
      <c r="M607" s="24">
        <v>3003</v>
      </c>
      <c r="N607" s="24">
        <f>(tbl_raw[[#This Row],[Selling_Price]]-tbl_raw[[#This Row],[Cost_Price]])*tbl_raw[[#This Row],[Units_Sold]]</f>
        <v>35868</v>
      </c>
      <c r="O607" s="25">
        <f>IFERROR((tbl_raw[[#This Row],[Selling_Price]]-tbl_raw[[#This Row],[Cost_Price]]) / tbl_raw[[#This Row],[Selling_Price]],0)</f>
        <v>0.46037735849056605</v>
      </c>
      <c r="P607" s="24">
        <v>108</v>
      </c>
      <c r="Q607" s="24">
        <f>tbl_raw[[#This Row],[Gross_Profit]]-(tbl_raw[[#This Row],[Shipping_Cost]]*tbl_raw[[#This Row],[Units_Sold]])</f>
        <v>34356</v>
      </c>
      <c r="R607" s="25">
        <f>IFERROR(tbl_raw[[#This Row],[Net_Profit]]/(tbl_raw[[#This Row],[Selling_Price]]*tbl_raw[[#This Row],[Units_Sold]]),0)</f>
        <v>0.44097035040431265</v>
      </c>
      <c r="S607" s="23" t="s">
        <v>31</v>
      </c>
      <c r="T607" s="23" t="s">
        <v>86</v>
      </c>
      <c r="U607" s="23">
        <f>IF(tbl_raw[[#This Row],[Order_Status]]="Returned",1,0)</f>
        <v>1</v>
      </c>
      <c r="V607" s="23">
        <f>IF(tbl_raw[[#This Row],[Payment_Method]]="COD",1,0)</f>
        <v>0</v>
      </c>
      <c r="W607" s="26">
        <f>MIN(1,(tbl_raw[[#This Row],[Discount_Pct]]*1.4)+(tbl_raw[[#This Row],[COD_Flag]]*0.35))</f>
        <v>0.252</v>
      </c>
    </row>
    <row r="608" spans="1:23" ht="22.8" x14ac:dyDescent="0.3">
      <c r="A608" s="17" t="s">
        <v>1594</v>
      </c>
      <c r="B608" s="18" t="s">
        <v>1015</v>
      </c>
      <c r="C608" s="18" t="s">
        <v>156</v>
      </c>
      <c r="D608" s="18" t="s">
        <v>26</v>
      </c>
      <c r="E608" s="18" t="s">
        <v>27</v>
      </c>
      <c r="F608" s="18" t="s">
        <v>1595</v>
      </c>
      <c r="G608" s="18" t="s">
        <v>38</v>
      </c>
      <c r="H608" s="18" t="s">
        <v>39</v>
      </c>
      <c r="I608" s="18">
        <v>15</v>
      </c>
      <c r="J608" s="19">
        <v>2667</v>
      </c>
      <c r="K608" s="19">
        <v>2187</v>
      </c>
      <c r="L608" s="20">
        <v>0.18</v>
      </c>
      <c r="M608" s="19">
        <v>1379</v>
      </c>
      <c r="N608" s="19">
        <f>(tbl_raw[[#This Row],[Selling_Price]]-tbl_raw[[#This Row],[Cost_Price]])*tbl_raw[[#This Row],[Units_Sold]]</f>
        <v>12120</v>
      </c>
      <c r="O608" s="20">
        <f>IFERROR((tbl_raw[[#This Row],[Selling_Price]]-tbl_raw[[#This Row],[Cost_Price]]) / tbl_raw[[#This Row],[Selling_Price]],0)</f>
        <v>0.36945587562871512</v>
      </c>
      <c r="P608" s="19">
        <v>162</v>
      </c>
      <c r="Q608" s="19">
        <f>tbl_raw[[#This Row],[Gross_Profit]]-(tbl_raw[[#This Row],[Shipping_Cost]]*tbl_raw[[#This Row],[Units_Sold]])</f>
        <v>9690</v>
      </c>
      <c r="R608" s="20">
        <f>IFERROR(tbl_raw[[#This Row],[Net_Profit]]/(tbl_raw[[#This Row],[Selling_Price]]*tbl_raw[[#This Row],[Units_Sold]]),0)</f>
        <v>0.29538180155464105</v>
      </c>
      <c r="S608" s="18" t="s">
        <v>58</v>
      </c>
      <c r="T608" s="18" t="s">
        <v>32</v>
      </c>
      <c r="U608" s="18">
        <f>IF(tbl_raw[[#This Row],[Order_Status]]="Returned",1,0)</f>
        <v>0</v>
      </c>
      <c r="V608" s="18">
        <f>IF(tbl_raw[[#This Row],[Payment_Method]]="COD",1,0)</f>
        <v>0</v>
      </c>
      <c r="W608" s="21">
        <f>MIN(1,(tbl_raw[[#This Row],[Discount_Pct]]*1.4)+(tbl_raw[[#This Row],[COD_Flag]]*0.35))</f>
        <v>0.252</v>
      </c>
    </row>
    <row r="609" spans="1:23" ht="22.8" x14ac:dyDescent="0.3">
      <c r="A609" s="22" t="s">
        <v>1596</v>
      </c>
      <c r="B609" s="23" t="s">
        <v>1597</v>
      </c>
      <c r="C609" s="23" t="s">
        <v>156</v>
      </c>
      <c r="D609" s="23" t="s">
        <v>175</v>
      </c>
      <c r="E609" s="23" t="s">
        <v>225</v>
      </c>
      <c r="F609" s="23" t="s">
        <v>1598</v>
      </c>
      <c r="G609" s="23" t="s">
        <v>81</v>
      </c>
      <c r="H609" s="23" t="s">
        <v>30</v>
      </c>
      <c r="I609" s="23">
        <v>11</v>
      </c>
      <c r="J609" s="24">
        <v>2624</v>
      </c>
      <c r="K609" s="24">
        <v>1889</v>
      </c>
      <c r="L609" s="25">
        <v>0.28000000000000003</v>
      </c>
      <c r="M609" s="24">
        <v>1138</v>
      </c>
      <c r="N609" s="24">
        <f>(tbl_raw[[#This Row],[Selling_Price]]-tbl_raw[[#This Row],[Cost_Price]])*tbl_raw[[#This Row],[Units_Sold]]</f>
        <v>8261</v>
      </c>
      <c r="O609" s="25">
        <f>IFERROR((tbl_raw[[#This Row],[Selling_Price]]-tbl_raw[[#This Row],[Cost_Price]]) / tbl_raw[[#This Row],[Selling_Price]],0)</f>
        <v>0.39756484912652196</v>
      </c>
      <c r="P609" s="24">
        <v>102</v>
      </c>
      <c r="Q609" s="24">
        <f>tbl_raw[[#This Row],[Gross_Profit]]-(tbl_raw[[#This Row],[Shipping_Cost]]*tbl_raw[[#This Row],[Units_Sold]])</f>
        <v>7139</v>
      </c>
      <c r="R609" s="25">
        <f>IFERROR(tbl_raw[[#This Row],[Net_Profit]]/(tbl_raw[[#This Row],[Selling_Price]]*tbl_raw[[#This Row],[Units_Sold]]),0)</f>
        <v>0.34356802541026998</v>
      </c>
      <c r="S609" s="23" t="s">
        <v>58</v>
      </c>
      <c r="T609" s="23" t="s">
        <v>32</v>
      </c>
      <c r="U609" s="23">
        <f>IF(tbl_raw[[#This Row],[Order_Status]]="Returned",1,0)</f>
        <v>0</v>
      </c>
      <c r="V609" s="23">
        <f>IF(tbl_raw[[#This Row],[Payment_Method]]="COD",1,0)</f>
        <v>0</v>
      </c>
      <c r="W609" s="26">
        <f>MIN(1,(tbl_raw[[#This Row],[Discount_Pct]]*1.4)+(tbl_raw[[#This Row],[COD_Flag]]*0.35))</f>
        <v>0.39200000000000002</v>
      </c>
    </row>
    <row r="610" spans="1:23" ht="22.8" x14ac:dyDescent="0.3">
      <c r="A610" s="17" t="s">
        <v>1599</v>
      </c>
      <c r="B610" s="18" t="s">
        <v>1600</v>
      </c>
      <c r="C610" s="18" t="s">
        <v>89</v>
      </c>
      <c r="D610" s="18" t="s">
        <v>53</v>
      </c>
      <c r="E610" s="18" t="s">
        <v>145</v>
      </c>
      <c r="F610" s="18" t="s">
        <v>1601</v>
      </c>
      <c r="G610" s="18" t="s">
        <v>75</v>
      </c>
      <c r="H610" s="18" t="s">
        <v>48</v>
      </c>
      <c r="I610" s="18">
        <v>8</v>
      </c>
      <c r="J610" s="19">
        <v>7679</v>
      </c>
      <c r="K610" s="19">
        <v>4838</v>
      </c>
      <c r="L610" s="20">
        <v>0.37</v>
      </c>
      <c r="M610" s="19">
        <v>5280</v>
      </c>
      <c r="N610" s="19">
        <f>(tbl_raw[[#This Row],[Selling_Price]]-tbl_raw[[#This Row],[Cost_Price]])*tbl_raw[[#This Row],[Units_Sold]]</f>
        <v>-3536</v>
      </c>
      <c r="O610" s="20">
        <f>IFERROR((tbl_raw[[#This Row],[Selling_Price]]-tbl_raw[[#This Row],[Cost_Price]]) / tbl_raw[[#This Row],[Selling_Price]],0)</f>
        <v>-9.136006614303431E-2</v>
      </c>
      <c r="P610" s="19">
        <v>108</v>
      </c>
      <c r="Q610" s="19">
        <f>tbl_raw[[#This Row],[Gross_Profit]]-(tbl_raw[[#This Row],[Shipping_Cost]]*tbl_raw[[#This Row],[Units_Sold]])</f>
        <v>-4400</v>
      </c>
      <c r="R610" s="20">
        <f>IFERROR(tbl_raw[[#This Row],[Net_Profit]]/(tbl_raw[[#This Row],[Selling_Price]]*tbl_raw[[#This Row],[Units_Sold]]),0)</f>
        <v>-0.11368334022323275</v>
      </c>
      <c r="S610" s="18" t="s">
        <v>40</v>
      </c>
      <c r="T610" s="18" t="s">
        <v>59</v>
      </c>
      <c r="U610" s="18">
        <f>IF(tbl_raw[[#This Row],[Order_Status]]="Returned",1,0)</f>
        <v>0</v>
      </c>
      <c r="V610" s="18">
        <f>IF(tbl_raw[[#This Row],[Payment_Method]]="COD",1,0)</f>
        <v>1</v>
      </c>
      <c r="W610" s="21">
        <f>MIN(1,(tbl_raw[[#This Row],[Discount_Pct]]*1.4)+(tbl_raw[[#This Row],[COD_Flag]]*0.35))</f>
        <v>0.86799999999999999</v>
      </c>
    </row>
    <row r="611" spans="1:23" ht="22.8" x14ac:dyDescent="0.3">
      <c r="A611" s="22" t="s">
        <v>1602</v>
      </c>
      <c r="B611" s="23" t="s">
        <v>390</v>
      </c>
      <c r="C611" s="23" t="s">
        <v>199</v>
      </c>
      <c r="D611" s="23" t="s">
        <v>175</v>
      </c>
      <c r="E611" s="23" t="s">
        <v>149</v>
      </c>
      <c r="F611" s="23" t="s">
        <v>1603</v>
      </c>
      <c r="G611" s="23" t="s">
        <v>120</v>
      </c>
      <c r="H611" s="23" t="s">
        <v>39</v>
      </c>
      <c r="I611" s="23">
        <v>3</v>
      </c>
      <c r="J611" s="24">
        <v>7801</v>
      </c>
      <c r="K611" s="24">
        <v>4603</v>
      </c>
      <c r="L611" s="25">
        <v>0.41</v>
      </c>
      <c r="M611" s="24">
        <v>4151</v>
      </c>
      <c r="N611" s="24">
        <f>(tbl_raw[[#This Row],[Selling_Price]]-tbl_raw[[#This Row],[Cost_Price]])*tbl_raw[[#This Row],[Units_Sold]]</f>
        <v>1356</v>
      </c>
      <c r="O611" s="25">
        <f>IFERROR((tbl_raw[[#This Row],[Selling_Price]]-tbl_raw[[#This Row],[Cost_Price]]) / tbl_raw[[#This Row],[Selling_Price]],0)</f>
        <v>9.8196828155550725E-2</v>
      </c>
      <c r="P611" s="24">
        <v>164</v>
      </c>
      <c r="Q611" s="24">
        <f>tbl_raw[[#This Row],[Gross_Profit]]-(tbl_raw[[#This Row],[Shipping_Cost]]*tbl_raw[[#This Row],[Units_Sold]])</f>
        <v>864</v>
      </c>
      <c r="R611" s="25">
        <f>IFERROR(tbl_raw[[#This Row],[Net_Profit]]/(tbl_raw[[#This Row],[Selling_Price]]*tbl_raw[[#This Row],[Units_Sold]]),0)</f>
        <v>6.2567890506191617E-2</v>
      </c>
      <c r="S611" s="23" t="s">
        <v>58</v>
      </c>
      <c r="T611" s="23" t="s">
        <v>32</v>
      </c>
      <c r="U611" s="23">
        <f>IF(tbl_raw[[#This Row],[Order_Status]]="Returned",1,0)</f>
        <v>0</v>
      </c>
      <c r="V611" s="23">
        <f>IF(tbl_raw[[#This Row],[Payment_Method]]="COD",1,0)</f>
        <v>0</v>
      </c>
      <c r="W611" s="26">
        <f>MIN(1,(tbl_raw[[#This Row],[Discount_Pct]]*1.4)+(tbl_raw[[#This Row],[COD_Flag]]*0.35))</f>
        <v>0.57399999999999995</v>
      </c>
    </row>
    <row r="612" spans="1:23" ht="22.8" x14ac:dyDescent="0.3">
      <c r="A612" s="17" t="s">
        <v>1604</v>
      </c>
      <c r="B612" s="18" t="s">
        <v>443</v>
      </c>
      <c r="C612" s="18" t="s">
        <v>117</v>
      </c>
      <c r="D612" s="18" t="s">
        <v>53</v>
      </c>
      <c r="E612" s="18" t="s">
        <v>54</v>
      </c>
      <c r="F612" s="18" t="s">
        <v>1605</v>
      </c>
      <c r="G612" s="18" t="s">
        <v>47</v>
      </c>
      <c r="H612" s="18" t="s">
        <v>48</v>
      </c>
      <c r="I612" s="18">
        <v>3</v>
      </c>
      <c r="J612" s="19">
        <v>994</v>
      </c>
      <c r="K612" s="19">
        <v>964</v>
      </c>
      <c r="L612" s="20">
        <v>0.03</v>
      </c>
      <c r="M612" s="19">
        <v>416</v>
      </c>
      <c r="N612" s="19">
        <f>(tbl_raw[[#This Row],[Selling_Price]]-tbl_raw[[#This Row],[Cost_Price]])*tbl_raw[[#This Row],[Units_Sold]]</f>
        <v>1644</v>
      </c>
      <c r="O612" s="20">
        <f>IFERROR((tbl_raw[[#This Row],[Selling_Price]]-tbl_raw[[#This Row],[Cost_Price]]) / tbl_raw[[#This Row],[Selling_Price]],0)</f>
        <v>0.56846473029045641</v>
      </c>
      <c r="P612" s="19">
        <v>157</v>
      </c>
      <c r="Q612" s="19">
        <f>tbl_raw[[#This Row],[Gross_Profit]]-(tbl_raw[[#This Row],[Shipping_Cost]]*tbl_raw[[#This Row],[Units_Sold]])</f>
        <v>1173</v>
      </c>
      <c r="R612" s="20">
        <f>IFERROR(tbl_raw[[#This Row],[Net_Profit]]/(tbl_raw[[#This Row],[Selling_Price]]*tbl_raw[[#This Row],[Units_Sold]]),0)</f>
        <v>0.40560165975103735</v>
      </c>
      <c r="S612" s="18" t="s">
        <v>31</v>
      </c>
      <c r="T612" s="18" t="s">
        <v>86</v>
      </c>
      <c r="U612" s="18">
        <f>IF(tbl_raw[[#This Row],[Order_Status]]="Returned",1,0)</f>
        <v>1</v>
      </c>
      <c r="V612" s="18">
        <f>IF(tbl_raw[[#This Row],[Payment_Method]]="COD",1,0)</f>
        <v>0</v>
      </c>
      <c r="W612" s="21">
        <f>MIN(1,(tbl_raw[[#This Row],[Discount_Pct]]*1.4)+(tbl_raw[[#This Row],[COD_Flag]]*0.35))</f>
        <v>4.1999999999999996E-2</v>
      </c>
    </row>
    <row r="613" spans="1:23" ht="22.8" x14ac:dyDescent="0.3">
      <c r="A613" s="22" t="s">
        <v>1606</v>
      </c>
      <c r="B613" s="23" t="s">
        <v>163</v>
      </c>
      <c r="C613" s="23" t="s">
        <v>35</v>
      </c>
      <c r="D613" s="23" t="s">
        <v>26</v>
      </c>
      <c r="E613" s="23" t="s">
        <v>168</v>
      </c>
      <c r="F613" s="23" t="s">
        <v>1607</v>
      </c>
      <c r="G613" s="23" t="s">
        <v>75</v>
      </c>
      <c r="H613" s="23" t="s">
        <v>48</v>
      </c>
      <c r="I613" s="23">
        <v>14</v>
      </c>
      <c r="J613" s="24">
        <v>7064</v>
      </c>
      <c r="K613" s="24">
        <v>5086</v>
      </c>
      <c r="L613" s="25">
        <v>0.28000000000000003</v>
      </c>
      <c r="M613" s="24">
        <v>3665</v>
      </c>
      <c r="N613" s="24">
        <f>(tbl_raw[[#This Row],[Selling_Price]]-tbl_raw[[#This Row],[Cost_Price]])*tbl_raw[[#This Row],[Units_Sold]]</f>
        <v>19894</v>
      </c>
      <c r="O613" s="25">
        <f>IFERROR((tbl_raw[[#This Row],[Selling_Price]]-tbl_raw[[#This Row],[Cost_Price]]) / tbl_raw[[#This Row],[Selling_Price]],0)</f>
        <v>0.27939441604404247</v>
      </c>
      <c r="P613" s="24">
        <v>171</v>
      </c>
      <c r="Q613" s="24">
        <f>tbl_raw[[#This Row],[Gross_Profit]]-(tbl_raw[[#This Row],[Shipping_Cost]]*tbl_raw[[#This Row],[Units_Sold]])</f>
        <v>17500</v>
      </c>
      <c r="R613" s="25">
        <f>IFERROR(tbl_raw[[#This Row],[Net_Profit]]/(tbl_raw[[#This Row],[Selling_Price]]*tbl_raw[[#This Row],[Units_Sold]]),0)</f>
        <v>0.24577270939834842</v>
      </c>
      <c r="S613" s="23" t="s">
        <v>58</v>
      </c>
      <c r="T613" s="23" t="s">
        <v>32</v>
      </c>
      <c r="U613" s="23">
        <f>IF(tbl_raw[[#This Row],[Order_Status]]="Returned",1,0)</f>
        <v>0</v>
      </c>
      <c r="V613" s="23">
        <f>IF(tbl_raw[[#This Row],[Payment_Method]]="COD",1,0)</f>
        <v>0</v>
      </c>
      <c r="W613" s="26">
        <f>MIN(1,(tbl_raw[[#This Row],[Discount_Pct]]*1.4)+(tbl_raw[[#This Row],[COD_Flag]]*0.35))</f>
        <v>0.39200000000000002</v>
      </c>
    </row>
    <row r="614" spans="1:23" ht="22.8" x14ac:dyDescent="0.3">
      <c r="A614" s="17" t="s">
        <v>1608</v>
      </c>
      <c r="B614" s="18" t="s">
        <v>1609</v>
      </c>
      <c r="C614" s="18" t="s">
        <v>35</v>
      </c>
      <c r="D614" s="18" t="s">
        <v>175</v>
      </c>
      <c r="E614" s="18" t="s">
        <v>354</v>
      </c>
      <c r="F614" s="18" t="s">
        <v>1610</v>
      </c>
      <c r="G614" s="18" t="s">
        <v>120</v>
      </c>
      <c r="H614" s="18" t="s">
        <v>39</v>
      </c>
      <c r="I614" s="18">
        <v>19</v>
      </c>
      <c r="J614" s="19">
        <v>6357</v>
      </c>
      <c r="K614" s="19">
        <v>5785</v>
      </c>
      <c r="L614" s="20">
        <v>0.09</v>
      </c>
      <c r="M614" s="19">
        <v>3818</v>
      </c>
      <c r="N614" s="19">
        <f>(tbl_raw[[#This Row],[Selling_Price]]-tbl_raw[[#This Row],[Cost_Price]])*tbl_raw[[#This Row],[Units_Sold]]</f>
        <v>37373</v>
      </c>
      <c r="O614" s="20">
        <f>IFERROR((tbl_raw[[#This Row],[Selling_Price]]-tbl_raw[[#This Row],[Cost_Price]]) / tbl_raw[[#This Row],[Selling_Price]],0)</f>
        <v>0.34001728608470183</v>
      </c>
      <c r="P614" s="19">
        <v>126</v>
      </c>
      <c r="Q614" s="19">
        <f>tbl_raw[[#This Row],[Gross_Profit]]-(tbl_raw[[#This Row],[Shipping_Cost]]*tbl_raw[[#This Row],[Units_Sold]])</f>
        <v>34979</v>
      </c>
      <c r="R614" s="20">
        <f>IFERROR(tbl_raw[[#This Row],[Net_Profit]]/(tbl_raw[[#This Row],[Selling_Price]]*tbl_raw[[#This Row],[Units_Sold]]),0)</f>
        <v>0.31823681936041487</v>
      </c>
      <c r="S614" s="18" t="s">
        <v>107</v>
      </c>
      <c r="T614" s="18" t="s">
        <v>32</v>
      </c>
      <c r="U614" s="18">
        <f>IF(tbl_raw[[#This Row],[Order_Status]]="Returned",1,0)</f>
        <v>0</v>
      </c>
      <c r="V614" s="18">
        <f>IF(tbl_raw[[#This Row],[Payment_Method]]="COD",1,0)</f>
        <v>0</v>
      </c>
      <c r="W614" s="21">
        <f>MIN(1,(tbl_raw[[#This Row],[Discount_Pct]]*1.4)+(tbl_raw[[#This Row],[COD_Flag]]*0.35))</f>
        <v>0.126</v>
      </c>
    </row>
    <row r="615" spans="1:23" ht="22.8" x14ac:dyDescent="0.3">
      <c r="A615" s="22" t="s">
        <v>1611</v>
      </c>
      <c r="B615" s="23" t="s">
        <v>390</v>
      </c>
      <c r="C615" s="23" t="s">
        <v>199</v>
      </c>
      <c r="D615" s="23" t="s">
        <v>164</v>
      </c>
      <c r="E615" s="23" t="s">
        <v>165</v>
      </c>
      <c r="F615" s="23" t="s">
        <v>1612</v>
      </c>
      <c r="G615" s="23" t="s">
        <v>139</v>
      </c>
      <c r="H615" s="23" t="s">
        <v>48</v>
      </c>
      <c r="I615" s="23">
        <v>2</v>
      </c>
      <c r="J615" s="24">
        <v>1196</v>
      </c>
      <c r="K615" s="24">
        <v>885</v>
      </c>
      <c r="L615" s="25">
        <v>0.26</v>
      </c>
      <c r="M615" s="24">
        <v>693</v>
      </c>
      <c r="N615" s="24">
        <f>(tbl_raw[[#This Row],[Selling_Price]]-tbl_raw[[#This Row],[Cost_Price]])*tbl_raw[[#This Row],[Units_Sold]]</f>
        <v>384</v>
      </c>
      <c r="O615" s="25">
        <f>IFERROR((tbl_raw[[#This Row],[Selling_Price]]-tbl_raw[[#This Row],[Cost_Price]]) / tbl_raw[[#This Row],[Selling_Price]],0)</f>
        <v>0.21694915254237288</v>
      </c>
      <c r="P615" s="24">
        <v>128</v>
      </c>
      <c r="Q615" s="24">
        <f>tbl_raw[[#This Row],[Gross_Profit]]-(tbl_raw[[#This Row],[Shipping_Cost]]*tbl_raw[[#This Row],[Units_Sold]])</f>
        <v>128</v>
      </c>
      <c r="R615" s="25">
        <f>IFERROR(tbl_raw[[#This Row],[Net_Profit]]/(tbl_raw[[#This Row],[Selling_Price]]*tbl_raw[[#This Row],[Units_Sold]]),0)</f>
        <v>7.2316384180790963E-2</v>
      </c>
      <c r="S615" s="23" t="s">
        <v>107</v>
      </c>
      <c r="T615" s="23" t="s">
        <v>49</v>
      </c>
      <c r="U615" s="23">
        <f>IF(tbl_raw[[#This Row],[Order_Status]]="Returned",1,0)</f>
        <v>0</v>
      </c>
      <c r="V615" s="23">
        <f>IF(tbl_raw[[#This Row],[Payment_Method]]="COD",1,0)</f>
        <v>0</v>
      </c>
      <c r="W615" s="26">
        <f>MIN(1,(tbl_raw[[#This Row],[Discount_Pct]]*1.4)+(tbl_raw[[#This Row],[COD_Flag]]*0.35))</f>
        <v>0.36399999999999999</v>
      </c>
    </row>
    <row r="616" spans="1:23" ht="22.8" x14ac:dyDescent="0.3">
      <c r="A616" s="17" t="s">
        <v>1613</v>
      </c>
      <c r="B616" s="18" t="s">
        <v>1552</v>
      </c>
      <c r="C616" s="18" t="s">
        <v>43</v>
      </c>
      <c r="D616" s="18" t="s">
        <v>62</v>
      </c>
      <c r="E616" s="18" t="s">
        <v>63</v>
      </c>
      <c r="F616" s="18" t="s">
        <v>1614</v>
      </c>
      <c r="G616" s="18" t="s">
        <v>56</v>
      </c>
      <c r="H616" s="18" t="s">
        <v>57</v>
      </c>
      <c r="I616" s="18">
        <v>10</v>
      </c>
      <c r="J616" s="19">
        <v>3077</v>
      </c>
      <c r="K616" s="19">
        <v>3077</v>
      </c>
      <c r="L616" s="20">
        <v>0</v>
      </c>
      <c r="M616" s="19">
        <v>1862</v>
      </c>
      <c r="N616" s="19">
        <f>(tbl_raw[[#This Row],[Selling_Price]]-tbl_raw[[#This Row],[Cost_Price]])*tbl_raw[[#This Row],[Units_Sold]]</f>
        <v>12150</v>
      </c>
      <c r="O616" s="20">
        <f>IFERROR((tbl_raw[[#This Row],[Selling_Price]]-tbl_raw[[#This Row],[Cost_Price]]) / tbl_raw[[#This Row],[Selling_Price]],0)</f>
        <v>0.39486512837179072</v>
      </c>
      <c r="P616" s="19">
        <v>132</v>
      </c>
      <c r="Q616" s="19">
        <f>tbl_raw[[#This Row],[Gross_Profit]]-(tbl_raw[[#This Row],[Shipping_Cost]]*tbl_raw[[#This Row],[Units_Sold]])</f>
        <v>10830</v>
      </c>
      <c r="R616" s="20">
        <f>IFERROR(tbl_raw[[#This Row],[Net_Profit]]/(tbl_raw[[#This Row],[Selling_Price]]*tbl_raw[[#This Row],[Units_Sold]]),0)</f>
        <v>0.35196620084497887</v>
      </c>
      <c r="S616" s="18" t="s">
        <v>58</v>
      </c>
      <c r="T616" s="18" t="s">
        <v>86</v>
      </c>
      <c r="U616" s="18">
        <f>IF(tbl_raw[[#This Row],[Order_Status]]="Returned",1,0)</f>
        <v>1</v>
      </c>
      <c r="V616" s="18">
        <f>IF(tbl_raw[[#This Row],[Payment_Method]]="COD",1,0)</f>
        <v>0</v>
      </c>
      <c r="W616" s="21">
        <f>MIN(1,(tbl_raw[[#This Row],[Discount_Pct]]*1.4)+(tbl_raw[[#This Row],[COD_Flag]]*0.35))</f>
        <v>0</v>
      </c>
    </row>
    <row r="617" spans="1:23" ht="22.8" x14ac:dyDescent="0.3">
      <c r="A617" s="22" t="s">
        <v>1615</v>
      </c>
      <c r="B617" s="23" t="s">
        <v>1616</v>
      </c>
      <c r="C617" s="23" t="s">
        <v>105</v>
      </c>
      <c r="D617" s="23" t="s">
        <v>26</v>
      </c>
      <c r="E617" s="23" t="s">
        <v>168</v>
      </c>
      <c r="F617" s="23" t="s">
        <v>1617</v>
      </c>
      <c r="G617" s="23" t="s">
        <v>29</v>
      </c>
      <c r="H617" s="23" t="s">
        <v>30</v>
      </c>
      <c r="I617" s="23">
        <v>7</v>
      </c>
      <c r="J617" s="24">
        <v>5196</v>
      </c>
      <c r="K617" s="24">
        <v>4728</v>
      </c>
      <c r="L617" s="25">
        <v>0.09</v>
      </c>
      <c r="M617" s="24">
        <v>2203</v>
      </c>
      <c r="N617" s="24">
        <f>(tbl_raw[[#This Row],[Selling_Price]]-tbl_raw[[#This Row],[Cost_Price]])*tbl_raw[[#This Row],[Units_Sold]]</f>
        <v>17675</v>
      </c>
      <c r="O617" s="25">
        <f>IFERROR((tbl_raw[[#This Row],[Selling_Price]]-tbl_raw[[#This Row],[Cost_Price]]) / tbl_raw[[#This Row],[Selling_Price]],0)</f>
        <v>0.53405245346869712</v>
      </c>
      <c r="P617" s="24">
        <v>58</v>
      </c>
      <c r="Q617" s="24">
        <f>tbl_raw[[#This Row],[Gross_Profit]]-(tbl_raw[[#This Row],[Shipping_Cost]]*tbl_raw[[#This Row],[Units_Sold]])</f>
        <v>17269</v>
      </c>
      <c r="R617" s="25">
        <f>IFERROR(tbl_raw[[#This Row],[Net_Profit]]/(tbl_raw[[#This Row],[Selling_Price]]*tbl_raw[[#This Row],[Units_Sold]]),0)</f>
        <v>0.52178510998307948</v>
      </c>
      <c r="S617" s="23" t="s">
        <v>31</v>
      </c>
      <c r="T617" s="23" t="s">
        <v>49</v>
      </c>
      <c r="U617" s="23">
        <f>IF(tbl_raw[[#This Row],[Order_Status]]="Returned",1,0)</f>
        <v>0</v>
      </c>
      <c r="V617" s="23">
        <f>IF(tbl_raw[[#This Row],[Payment_Method]]="COD",1,0)</f>
        <v>0</v>
      </c>
      <c r="W617" s="26">
        <f>MIN(1,(tbl_raw[[#This Row],[Discount_Pct]]*1.4)+(tbl_raw[[#This Row],[COD_Flag]]*0.35))</f>
        <v>0.126</v>
      </c>
    </row>
    <row r="618" spans="1:23" ht="22.8" x14ac:dyDescent="0.3">
      <c r="A618" s="17" t="s">
        <v>1618</v>
      </c>
      <c r="B618" s="18" t="s">
        <v>228</v>
      </c>
      <c r="C618" s="18" t="s">
        <v>199</v>
      </c>
      <c r="D618" s="18" t="s">
        <v>44</v>
      </c>
      <c r="E618" s="18" t="s">
        <v>338</v>
      </c>
      <c r="F618" s="18" t="s">
        <v>1619</v>
      </c>
      <c r="G618" s="18" t="s">
        <v>56</v>
      </c>
      <c r="H618" s="18" t="s">
        <v>57</v>
      </c>
      <c r="I618" s="18">
        <v>20</v>
      </c>
      <c r="J618" s="19">
        <v>2537</v>
      </c>
      <c r="K618" s="19">
        <v>2156</v>
      </c>
      <c r="L618" s="20">
        <v>0.15</v>
      </c>
      <c r="M618" s="19">
        <v>1108</v>
      </c>
      <c r="N618" s="19">
        <f>(tbl_raw[[#This Row],[Selling_Price]]-tbl_raw[[#This Row],[Cost_Price]])*tbl_raw[[#This Row],[Units_Sold]]</f>
        <v>20960</v>
      </c>
      <c r="O618" s="20">
        <f>IFERROR((tbl_raw[[#This Row],[Selling_Price]]-tbl_raw[[#This Row],[Cost_Price]]) / tbl_raw[[#This Row],[Selling_Price]],0)</f>
        <v>0.48608534322820035</v>
      </c>
      <c r="P618" s="19">
        <v>161</v>
      </c>
      <c r="Q618" s="19">
        <f>tbl_raw[[#This Row],[Gross_Profit]]-(tbl_raw[[#This Row],[Shipping_Cost]]*tbl_raw[[#This Row],[Units_Sold]])</f>
        <v>17740</v>
      </c>
      <c r="R618" s="20">
        <f>IFERROR(tbl_raw[[#This Row],[Net_Profit]]/(tbl_raw[[#This Row],[Selling_Price]]*tbl_raw[[#This Row],[Units_Sold]]),0)</f>
        <v>0.41141001855287568</v>
      </c>
      <c r="S618" s="18" t="s">
        <v>58</v>
      </c>
      <c r="T618" s="18" t="s">
        <v>49</v>
      </c>
      <c r="U618" s="18">
        <f>IF(tbl_raw[[#This Row],[Order_Status]]="Returned",1,0)</f>
        <v>0</v>
      </c>
      <c r="V618" s="18">
        <f>IF(tbl_raw[[#This Row],[Payment_Method]]="COD",1,0)</f>
        <v>0</v>
      </c>
      <c r="W618" s="21">
        <f>MIN(1,(tbl_raw[[#This Row],[Discount_Pct]]*1.4)+(tbl_raw[[#This Row],[COD_Flag]]*0.35))</f>
        <v>0.21</v>
      </c>
    </row>
    <row r="619" spans="1:23" ht="22.8" x14ac:dyDescent="0.3">
      <c r="A619" s="22" t="s">
        <v>1620</v>
      </c>
      <c r="B619" s="23" t="s">
        <v>892</v>
      </c>
      <c r="C619" s="23" t="s">
        <v>25</v>
      </c>
      <c r="D619" s="23" t="s">
        <v>94</v>
      </c>
      <c r="E619" s="23" t="s">
        <v>310</v>
      </c>
      <c r="F619" s="23" t="s">
        <v>1621</v>
      </c>
      <c r="G619" s="23" t="s">
        <v>29</v>
      </c>
      <c r="H619" s="23" t="s">
        <v>30</v>
      </c>
      <c r="I619" s="23">
        <v>8</v>
      </c>
      <c r="J619" s="24">
        <v>3950</v>
      </c>
      <c r="K619" s="24">
        <v>2568</v>
      </c>
      <c r="L619" s="25">
        <v>0.35</v>
      </c>
      <c r="M619" s="24">
        <v>2706</v>
      </c>
      <c r="N619" s="24">
        <f>(tbl_raw[[#This Row],[Selling_Price]]-tbl_raw[[#This Row],[Cost_Price]])*tbl_raw[[#This Row],[Units_Sold]]</f>
        <v>-1104</v>
      </c>
      <c r="O619" s="25">
        <f>IFERROR((tbl_raw[[#This Row],[Selling_Price]]-tbl_raw[[#This Row],[Cost_Price]]) / tbl_raw[[#This Row],[Selling_Price]],0)</f>
        <v>-5.3738317757009345E-2</v>
      </c>
      <c r="P619" s="24">
        <v>151</v>
      </c>
      <c r="Q619" s="24">
        <f>tbl_raw[[#This Row],[Gross_Profit]]-(tbl_raw[[#This Row],[Shipping_Cost]]*tbl_raw[[#This Row],[Units_Sold]])</f>
        <v>-2312</v>
      </c>
      <c r="R619" s="25">
        <f>IFERROR(tbl_raw[[#This Row],[Net_Profit]]/(tbl_raw[[#This Row],[Selling_Price]]*tbl_raw[[#This Row],[Units_Sold]]),0)</f>
        <v>-0.11253894080996885</v>
      </c>
      <c r="S619" s="23" t="s">
        <v>31</v>
      </c>
      <c r="T619" s="23" t="s">
        <v>32</v>
      </c>
      <c r="U619" s="23">
        <f>IF(tbl_raw[[#This Row],[Order_Status]]="Returned",1,0)</f>
        <v>0</v>
      </c>
      <c r="V619" s="23">
        <f>IF(tbl_raw[[#This Row],[Payment_Method]]="COD",1,0)</f>
        <v>0</v>
      </c>
      <c r="W619" s="26">
        <f>MIN(1,(tbl_raw[[#This Row],[Discount_Pct]]*1.4)+(tbl_raw[[#This Row],[COD_Flag]]*0.35))</f>
        <v>0.48999999999999994</v>
      </c>
    </row>
    <row r="620" spans="1:23" ht="22.8" x14ac:dyDescent="0.3">
      <c r="A620" s="17" t="s">
        <v>1622</v>
      </c>
      <c r="B620" s="18" t="s">
        <v>446</v>
      </c>
      <c r="C620" s="18" t="s">
        <v>132</v>
      </c>
      <c r="D620" s="18" t="s">
        <v>26</v>
      </c>
      <c r="E620" s="18" t="s">
        <v>125</v>
      </c>
      <c r="F620" s="18" t="s">
        <v>1623</v>
      </c>
      <c r="G620" s="18" t="s">
        <v>139</v>
      </c>
      <c r="H620" s="18" t="s">
        <v>48</v>
      </c>
      <c r="I620" s="18">
        <v>18</v>
      </c>
      <c r="J620" s="19">
        <v>1098</v>
      </c>
      <c r="K620" s="19">
        <v>955</v>
      </c>
      <c r="L620" s="20">
        <v>0.13</v>
      </c>
      <c r="M620" s="19">
        <v>514</v>
      </c>
      <c r="N620" s="19">
        <f>(tbl_raw[[#This Row],[Selling_Price]]-tbl_raw[[#This Row],[Cost_Price]])*tbl_raw[[#This Row],[Units_Sold]]</f>
        <v>7938</v>
      </c>
      <c r="O620" s="20">
        <f>IFERROR((tbl_raw[[#This Row],[Selling_Price]]-tbl_raw[[#This Row],[Cost_Price]]) / tbl_raw[[#This Row],[Selling_Price]],0)</f>
        <v>0.46178010471204189</v>
      </c>
      <c r="P620" s="19">
        <v>118</v>
      </c>
      <c r="Q620" s="19">
        <f>tbl_raw[[#This Row],[Gross_Profit]]-(tbl_raw[[#This Row],[Shipping_Cost]]*tbl_raw[[#This Row],[Units_Sold]])</f>
        <v>5814</v>
      </c>
      <c r="R620" s="20">
        <f>IFERROR(tbl_raw[[#This Row],[Net_Profit]]/(tbl_raw[[#This Row],[Selling_Price]]*tbl_raw[[#This Row],[Units_Sold]]),0)</f>
        <v>0.33821989528795809</v>
      </c>
      <c r="S620" s="18" t="s">
        <v>107</v>
      </c>
      <c r="T620" s="18" t="s">
        <v>32</v>
      </c>
      <c r="U620" s="18">
        <f>IF(tbl_raw[[#This Row],[Order_Status]]="Returned",1,0)</f>
        <v>0</v>
      </c>
      <c r="V620" s="18">
        <f>IF(tbl_raw[[#This Row],[Payment_Method]]="COD",1,0)</f>
        <v>0</v>
      </c>
      <c r="W620" s="21">
        <f>MIN(1,(tbl_raw[[#This Row],[Discount_Pct]]*1.4)+(tbl_raw[[#This Row],[COD_Flag]]*0.35))</f>
        <v>0.182</v>
      </c>
    </row>
    <row r="621" spans="1:23" ht="22.8" x14ac:dyDescent="0.3">
      <c r="A621" s="22" t="s">
        <v>1624</v>
      </c>
      <c r="B621" s="23" t="s">
        <v>667</v>
      </c>
      <c r="C621" s="23" t="s">
        <v>35</v>
      </c>
      <c r="D621" s="23" t="s">
        <v>164</v>
      </c>
      <c r="E621" s="23" t="s">
        <v>165</v>
      </c>
      <c r="F621" s="23" t="s">
        <v>1625</v>
      </c>
      <c r="G621" s="23" t="s">
        <v>81</v>
      </c>
      <c r="H621" s="23" t="s">
        <v>30</v>
      </c>
      <c r="I621" s="23">
        <v>11</v>
      </c>
      <c r="J621" s="24">
        <v>6811</v>
      </c>
      <c r="K621" s="24">
        <v>6062</v>
      </c>
      <c r="L621" s="25">
        <v>0.11</v>
      </c>
      <c r="M621" s="24">
        <v>3192</v>
      </c>
      <c r="N621" s="24">
        <f>(tbl_raw[[#This Row],[Selling_Price]]-tbl_raw[[#This Row],[Cost_Price]])*tbl_raw[[#This Row],[Units_Sold]]</f>
        <v>31570</v>
      </c>
      <c r="O621" s="25">
        <f>IFERROR((tbl_raw[[#This Row],[Selling_Price]]-tbl_raw[[#This Row],[Cost_Price]]) / tbl_raw[[#This Row],[Selling_Price]],0)</f>
        <v>0.47344110854503463</v>
      </c>
      <c r="P621" s="24">
        <v>56</v>
      </c>
      <c r="Q621" s="24">
        <f>tbl_raw[[#This Row],[Gross_Profit]]-(tbl_raw[[#This Row],[Shipping_Cost]]*tbl_raw[[#This Row],[Units_Sold]])</f>
        <v>30954</v>
      </c>
      <c r="R621" s="25">
        <f>IFERROR(tbl_raw[[#This Row],[Net_Profit]]/(tbl_raw[[#This Row],[Selling_Price]]*tbl_raw[[#This Row],[Units_Sold]]),0)</f>
        <v>0.46420323325635104</v>
      </c>
      <c r="S621" s="23" t="s">
        <v>107</v>
      </c>
      <c r="T621" s="23" t="s">
        <v>32</v>
      </c>
      <c r="U621" s="23">
        <f>IF(tbl_raw[[#This Row],[Order_Status]]="Returned",1,0)</f>
        <v>0</v>
      </c>
      <c r="V621" s="23">
        <f>IF(tbl_raw[[#This Row],[Payment_Method]]="COD",1,0)</f>
        <v>0</v>
      </c>
      <c r="W621" s="26">
        <f>MIN(1,(tbl_raw[[#This Row],[Discount_Pct]]*1.4)+(tbl_raw[[#This Row],[COD_Flag]]*0.35))</f>
        <v>0.154</v>
      </c>
    </row>
    <row r="622" spans="1:23" ht="22.8" x14ac:dyDescent="0.3">
      <c r="A622" s="17" t="s">
        <v>1626</v>
      </c>
      <c r="B622" s="18" t="s">
        <v>658</v>
      </c>
      <c r="C622" s="18" t="s">
        <v>25</v>
      </c>
      <c r="D622" s="18" t="s">
        <v>78</v>
      </c>
      <c r="E622" s="18" t="s">
        <v>296</v>
      </c>
      <c r="F622" s="18" t="s">
        <v>1627</v>
      </c>
      <c r="G622" s="18" t="s">
        <v>29</v>
      </c>
      <c r="H622" s="18" t="s">
        <v>30</v>
      </c>
      <c r="I622" s="18">
        <v>10</v>
      </c>
      <c r="J622" s="19">
        <v>3758</v>
      </c>
      <c r="K622" s="19">
        <v>3119</v>
      </c>
      <c r="L622" s="20">
        <v>0.17</v>
      </c>
      <c r="M622" s="19">
        <v>1993</v>
      </c>
      <c r="N622" s="19">
        <f>(tbl_raw[[#This Row],[Selling_Price]]-tbl_raw[[#This Row],[Cost_Price]])*tbl_raw[[#This Row],[Units_Sold]]</f>
        <v>11260</v>
      </c>
      <c r="O622" s="20">
        <f>IFERROR((tbl_raw[[#This Row],[Selling_Price]]-tbl_raw[[#This Row],[Cost_Price]]) / tbl_raw[[#This Row],[Selling_Price]],0)</f>
        <v>0.36101314523885863</v>
      </c>
      <c r="P622" s="19">
        <v>56</v>
      </c>
      <c r="Q622" s="19">
        <f>tbl_raw[[#This Row],[Gross_Profit]]-(tbl_raw[[#This Row],[Shipping_Cost]]*tbl_raw[[#This Row],[Units_Sold]])</f>
        <v>10700</v>
      </c>
      <c r="R622" s="20">
        <f>IFERROR(tbl_raw[[#This Row],[Net_Profit]]/(tbl_raw[[#This Row],[Selling_Price]]*tbl_raw[[#This Row],[Units_Sold]]),0)</f>
        <v>0.34305867265149087</v>
      </c>
      <c r="S622" s="18" t="s">
        <v>65</v>
      </c>
      <c r="T622" s="18" t="s">
        <v>49</v>
      </c>
      <c r="U622" s="18">
        <f>IF(tbl_raw[[#This Row],[Order_Status]]="Returned",1,0)</f>
        <v>0</v>
      </c>
      <c r="V622" s="18">
        <f>IF(tbl_raw[[#This Row],[Payment_Method]]="COD",1,0)</f>
        <v>0</v>
      </c>
      <c r="W622" s="21">
        <f>MIN(1,(tbl_raw[[#This Row],[Discount_Pct]]*1.4)+(tbl_raw[[#This Row],[COD_Flag]]*0.35))</f>
        <v>0.23799999999999999</v>
      </c>
    </row>
    <row r="623" spans="1:23" ht="22.8" x14ac:dyDescent="0.3">
      <c r="A623" s="22" t="s">
        <v>1628</v>
      </c>
      <c r="B623" s="23" t="s">
        <v>183</v>
      </c>
      <c r="C623" s="23" t="s">
        <v>52</v>
      </c>
      <c r="D623" s="23" t="s">
        <v>175</v>
      </c>
      <c r="E623" s="23" t="s">
        <v>354</v>
      </c>
      <c r="F623" s="23" t="s">
        <v>1629</v>
      </c>
      <c r="G623" s="23" t="s">
        <v>81</v>
      </c>
      <c r="H623" s="23" t="s">
        <v>30</v>
      </c>
      <c r="I623" s="23">
        <v>7</v>
      </c>
      <c r="J623" s="24">
        <v>1695</v>
      </c>
      <c r="K623" s="24">
        <v>1407</v>
      </c>
      <c r="L623" s="25">
        <v>0.17</v>
      </c>
      <c r="M623" s="24">
        <v>900</v>
      </c>
      <c r="N623" s="24">
        <f>(tbl_raw[[#This Row],[Selling_Price]]-tbl_raw[[#This Row],[Cost_Price]])*tbl_raw[[#This Row],[Units_Sold]]</f>
        <v>3549</v>
      </c>
      <c r="O623" s="25">
        <f>IFERROR((tbl_raw[[#This Row],[Selling_Price]]-tbl_raw[[#This Row],[Cost_Price]]) / tbl_raw[[#This Row],[Selling_Price]],0)</f>
        <v>0.36034115138592748</v>
      </c>
      <c r="P623" s="24">
        <v>120</v>
      </c>
      <c r="Q623" s="24">
        <f>tbl_raw[[#This Row],[Gross_Profit]]-(tbl_raw[[#This Row],[Shipping_Cost]]*tbl_raw[[#This Row],[Units_Sold]])</f>
        <v>2709</v>
      </c>
      <c r="R623" s="25">
        <f>IFERROR(tbl_raw[[#This Row],[Net_Profit]]/(tbl_raw[[#This Row],[Selling_Price]]*tbl_raw[[#This Row],[Units_Sold]]),0)</f>
        <v>0.27505330490405117</v>
      </c>
      <c r="S623" s="23" t="s">
        <v>40</v>
      </c>
      <c r="T623" s="23" t="s">
        <v>59</v>
      </c>
      <c r="U623" s="23">
        <f>IF(tbl_raw[[#This Row],[Order_Status]]="Returned",1,0)</f>
        <v>0</v>
      </c>
      <c r="V623" s="23">
        <f>IF(tbl_raw[[#This Row],[Payment_Method]]="COD",1,0)</f>
        <v>1</v>
      </c>
      <c r="W623" s="26">
        <f>MIN(1,(tbl_raw[[#This Row],[Discount_Pct]]*1.4)+(tbl_raw[[#This Row],[COD_Flag]]*0.35))</f>
        <v>0.58799999999999997</v>
      </c>
    </row>
    <row r="624" spans="1:23" ht="22.8" x14ac:dyDescent="0.3">
      <c r="A624" s="17" t="s">
        <v>1630</v>
      </c>
      <c r="B624" s="18" t="s">
        <v>768</v>
      </c>
      <c r="C624" s="18" t="s">
        <v>199</v>
      </c>
      <c r="D624" s="18" t="s">
        <v>53</v>
      </c>
      <c r="E624" s="18" t="s">
        <v>145</v>
      </c>
      <c r="F624" s="18" t="s">
        <v>1631</v>
      </c>
      <c r="G624" s="18" t="s">
        <v>29</v>
      </c>
      <c r="H624" s="18" t="s">
        <v>30</v>
      </c>
      <c r="I624" s="18">
        <v>2</v>
      </c>
      <c r="J624" s="19">
        <v>5110</v>
      </c>
      <c r="K624" s="19">
        <v>4446</v>
      </c>
      <c r="L624" s="20">
        <v>0.13</v>
      </c>
      <c r="M624" s="19">
        <v>2270</v>
      </c>
      <c r="N624" s="19">
        <f>(tbl_raw[[#This Row],[Selling_Price]]-tbl_raw[[#This Row],[Cost_Price]])*tbl_raw[[#This Row],[Units_Sold]]</f>
        <v>4352</v>
      </c>
      <c r="O624" s="20">
        <f>IFERROR((tbl_raw[[#This Row],[Selling_Price]]-tbl_raw[[#This Row],[Cost_Price]]) / tbl_raw[[#This Row],[Selling_Price]],0)</f>
        <v>0.48942869995501576</v>
      </c>
      <c r="P624" s="19">
        <v>106</v>
      </c>
      <c r="Q624" s="19">
        <f>tbl_raw[[#This Row],[Gross_Profit]]-(tbl_raw[[#This Row],[Shipping_Cost]]*tbl_raw[[#This Row],[Units_Sold]])</f>
        <v>4140</v>
      </c>
      <c r="R624" s="20">
        <f>IFERROR(tbl_raw[[#This Row],[Net_Profit]]/(tbl_raw[[#This Row],[Selling_Price]]*tbl_raw[[#This Row],[Units_Sold]]),0)</f>
        <v>0.46558704453441296</v>
      </c>
      <c r="S624" s="18" t="s">
        <v>65</v>
      </c>
      <c r="T624" s="18" t="s">
        <v>32</v>
      </c>
      <c r="U624" s="18">
        <f>IF(tbl_raw[[#This Row],[Order_Status]]="Returned",1,0)</f>
        <v>0</v>
      </c>
      <c r="V624" s="18">
        <f>IF(tbl_raw[[#This Row],[Payment_Method]]="COD",1,0)</f>
        <v>0</v>
      </c>
      <c r="W624" s="21">
        <f>MIN(1,(tbl_raw[[#This Row],[Discount_Pct]]*1.4)+(tbl_raw[[#This Row],[COD_Flag]]*0.35))</f>
        <v>0.182</v>
      </c>
    </row>
    <row r="625" spans="1:23" ht="22.8" x14ac:dyDescent="0.3">
      <c r="A625" s="22" t="s">
        <v>1632</v>
      </c>
      <c r="B625" s="23" t="s">
        <v>452</v>
      </c>
      <c r="C625" s="23" t="s">
        <v>72</v>
      </c>
      <c r="D625" s="23" t="s">
        <v>62</v>
      </c>
      <c r="E625" s="23" t="s">
        <v>133</v>
      </c>
      <c r="F625" s="23" t="s">
        <v>1633</v>
      </c>
      <c r="G625" s="23" t="s">
        <v>81</v>
      </c>
      <c r="H625" s="23" t="s">
        <v>30</v>
      </c>
      <c r="I625" s="23">
        <v>17</v>
      </c>
      <c r="J625" s="24">
        <v>3227</v>
      </c>
      <c r="K625" s="24">
        <v>1936</v>
      </c>
      <c r="L625" s="25">
        <v>0.4</v>
      </c>
      <c r="M625" s="24">
        <v>2139</v>
      </c>
      <c r="N625" s="24">
        <f>(tbl_raw[[#This Row],[Selling_Price]]-tbl_raw[[#This Row],[Cost_Price]])*tbl_raw[[#This Row],[Units_Sold]]</f>
        <v>-3451</v>
      </c>
      <c r="O625" s="25">
        <f>IFERROR((tbl_raw[[#This Row],[Selling_Price]]-tbl_raw[[#This Row],[Cost_Price]]) / tbl_raw[[#This Row],[Selling_Price]],0)</f>
        <v>-0.10485537190082644</v>
      </c>
      <c r="P625" s="24">
        <v>86</v>
      </c>
      <c r="Q625" s="24">
        <f>tbl_raw[[#This Row],[Gross_Profit]]-(tbl_raw[[#This Row],[Shipping_Cost]]*tbl_raw[[#This Row],[Units_Sold]])</f>
        <v>-4913</v>
      </c>
      <c r="R625" s="25">
        <f>IFERROR(tbl_raw[[#This Row],[Net_Profit]]/(tbl_raw[[#This Row],[Selling_Price]]*tbl_raw[[#This Row],[Units_Sold]]),0)</f>
        <v>-0.14927685950413222</v>
      </c>
      <c r="S625" s="23" t="s">
        <v>65</v>
      </c>
      <c r="T625" s="23" t="s">
        <v>32</v>
      </c>
      <c r="U625" s="23">
        <f>IF(tbl_raw[[#This Row],[Order_Status]]="Returned",1,0)</f>
        <v>0</v>
      </c>
      <c r="V625" s="23">
        <f>IF(tbl_raw[[#This Row],[Payment_Method]]="COD",1,0)</f>
        <v>0</v>
      </c>
      <c r="W625" s="26">
        <f>MIN(1,(tbl_raw[[#This Row],[Discount_Pct]]*1.4)+(tbl_raw[[#This Row],[COD_Flag]]*0.35))</f>
        <v>0.55999999999999994</v>
      </c>
    </row>
    <row r="626" spans="1:23" ht="22.8" x14ac:dyDescent="0.3">
      <c r="A626" s="17" t="s">
        <v>1634</v>
      </c>
      <c r="B626" s="18" t="s">
        <v>324</v>
      </c>
      <c r="C626" s="18" t="s">
        <v>89</v>
      </c>
      <c r="D626" s="18" t="s">
        <v>62</v>
      </c>
      <c r="E626" s="18" t="s">
        <v>68</v>
      </c>
      <c r="F626" s="18" t="s">
        <v>1635</v>
      </c>
      <c r="G626" s="18" t="s">
        <v>143</v>
      </c>
      <c r="H626" s="18" t="s">
        <v>30</v>
      </c>
      <c r="I626" s="18">
        <v>19</v>
      </c>
      <c r="J626" s="19">
        <v>3327</v>
      </c>
      <c r="K626" s="19">
        <v>1963</v>
      </c>
      <c r="L626" s="20">
        <v>0.41</v>
      </c>
      <c r="M626" s="19">
        <v>2011</v>
      </c>
      <c r="N626" s="19">
        <f>(tbl_raw[[#This Row],[Selling_Price]]-tbl_raw[[#This Row],[Cost_Price]])*tbl_raw[[#This Row],[Units_Sold]]</f>
        <v>-912</v>
      </c>
      <c r="O626" s="20">
        <f>IFERROR((tbl_raw[[#This Row],[Selling_Price]]-tbl_raw[[#This Row],[Cost_Price]]) / tbl_raw[[#This Row],[Selling_Price]],0)</f>
        <v>-2.445236882322975E-2</v>
      </c>
      <c r="P626" s="19">
        <v>35</v>
      </c>
      <c r="Q626" s="19">
        <f>tbl_raw[[#This Row],[Gross_Profit]]-(tbl_raw[[#This Row],[Shipping_Cost]]*tbl_raw[[#This Row],[Units_Sold]])</f>
        <v>-1577</v>
      </c>
      <c r="R626" s="20">
        <f>IFERROR(tbl_raw[[#This Row],[Net_Profit]]/(tbl_raw[[#This Row],[Selling_Price]]*tbl_raw[[#This Row],[Units_Sold]]),0)</f>
        <v>-4.2282221090168111E-2</v>
      </c>
      <c r="S626" s="18" t="s">
        <v>40</v>
      </c>
      <c r="T626" s="18" t="s">
        <v>32</v>
      </c>
      <c r="U626" s="18">
        <f>IF(tbl_raw[[#This Row],[Order_Status]]="Returned",1,0)</f>
        <v>0</v>
      </c>
      <c r="V626" s="18">
        <f>IF(tbl_raw[[#This Row],[Payment_Method]]="COD",1,0)</f>
        <v>1</v>
      </c>
      <c r="W626" s="21">
        <f>MIN(1,(tbl_raw[[#This Row],[Discount_Pct]]*1.4)+(tbl_raw[[#This Row],[COD_Flag]]*0.35))</f>
        <v>0.92399999999999993</v>
      </c>
    </row>
    <row r="627" spans="1:23" ht="22.8" x14ac:dyDescent="0.3">
      <c r="A627" s="22" t="s">
        <v>1636</v>
      </c>
      <c r="B627" s="23" t="s">
        <v>241</v>
      </c>
      <c r="C627" s="23" t="s">
        <v>35</v>
      </c>
      <c r="D627" s="23" t="s">
        <v>94</v>
      </c>
      <c r="E627" s="23" t="s">
        <v>180</v>
      </c>
      <c r="F627" s="23" t="s">
        <v>1637</v>
      </c>
      <c r="G627" s="23" t="s">
        <v>47</v>
      </c>
      <c r="H627" s="23" t="s">
        <v>48</v>
      </c>
      <c r="I627" s="23">
        <v>19</v>
      </c>
      <c r="J627" s="24">
        <v>1426</v>
      </c>
      <c r="K627" s="24">
        <v>884</v>
      </c>
      <c r="L627" s="25">
        <v>0.38</v>
      </c>
      <c r="M627" s="24">
        <v>697</v>
      </c>
      <c r="N627" s="24">
        <f>(tbl_raw[[#This Row],[Selling_Price]]-tbl_raw[[#This Row],[Cost_Price]])*tbl_raw[[#This Row],[Units_Sold]]</f>
        <v>3553</v>
      </c>
      <c r="O627" s="25">
        <f>IFERROR((tbl_raw[[#This Row],[Selling_Price]]-tbl_raw[[#This Row],[Cost_Price]]) / tbl_raw[[#This Row],[Selling_Price]],0)</f>
        <v>0.21153846153846154</v>
      </c>
      <c r="P627" s="24">
        <v>43</v>
      </c>
      <c r="Q627" s="24">
        <f>tbl_raw[[#This Row],[Gross_Profit]]-(tbl_raw[[#This Row],[Shipping_Cost]]*tbl_raw[[#This Row],[Units_Sold]])</f>
        <v>2736</v>
      </c>
      <c r="R627" s="25">
        <f>IFERROR(tbl_raw[[#This Row],[Net_Profit]]/(tbl_raw[[#This Row],[Selling_Price]]*tbl_raw[[#This Row],[Units_Sold]]),0)</f>
        <v>0.16289592760180996</v>
      </c>
      <c r="S627" s="23" t="s">
        <v>58</v>
      </c>
      <c r="T627" s="23" t="s">
        <v>32</v>
      </c>
      <c r="U627" s="23">
        <f>IF(tbl_raw[[#This Row],[Order_Status]]="Returned",1,0)</f>
        <v>0</v>
      </c>
      <c r="V627" s="23">
        <f>IF(tbl_raw[[#This Row],[Payment_Method]]="COD",1,0)</f>
        <v>0</v>
      </c>
      <c r="W627" s="26">
        <f>MIN(1,(tbl_raw[[#This Row],[Discount_Pct]]*1.4)+(tbl_raw[[#This Row],[COD_Flag]]*0.35))</f>
        <v>0.53199999999999992</v>
      </c>
    </row>
    <row r="628" spans="1:23" ht="22.8" x14ac:dyDescent="0.3">
      <c r="A628" s="17" t="s">
        <v>1638</v>
      </c>
      <c r="B628" s="18" t="s">
        <v>348</v>
      </c>
      <c r="C628" s="18" t="s">
        <v>35</v>
      </c>
      <c r="D628" s="18" t="s">
        <v>26</v>
      </c>
      <c r="E628" s="18" t="s">
        <v>168</v>
      </c>
      <c r="F628" s="18" t="s">
        <v>1639</v>
      </c>
      <c r="G628" s="18" t="s">
        <v>102</v>
      </c>
      <c r="H628" s="18" t="s">
        <v>39</v>
      </c>
      <c r="I628" s="18">
        <v>11</v>
      </c>
      <c r="J628" s="19">
        <v>3524</v>
      </c>
      <c r="K628" s="19">
        <v>2784</v>
      </c>
      <c r="L628" s="20">
        <v>0.21</v>
      </c>
      <c r="M628" s="19">
        <v>1914</v>
      </c>
      <c r="N628" s="19">
        <f>(tbl_raw[[#This Row],[Selling_Price]]-tbl_raw[[#This Row],[Cost_Price]])*tbl_raw[[#This Row],[Units_Sold]]</f>
        <v>9570</v>
      </c>
      <c r="O628" s="20">
        <f>IFERROR((tbl_raw[[#This Row],[Selling_Price]]-tbl_raw[[#This Row],[Cost_Price]]) / tbl_raw[[#This Row],[Selling_Price]],0)</f>
        <v>0.3125</v>
      </c>
      <c r="P628" s="19">
        <v>151</v>
      </c>
      <c r="Q628" s="19">
        <f>tbl_raw[[#This Row],[Gross_Profit]]-(tbl_raw[[#This Row],[Shipping_Cost]]*tbl_raw[[#This Row],[Units_Sold]])</f>
        <v>7909</v>
      </c>
      <c r="R628" s="20">
        <f>IFERROR(tbl_raw[[#This Row],[Net_Profit]]/(tbl_raw[[#This Row],[Selling_Price]]*tbl_raw[[#This Row],[Units_Sold]]),0)</f>
        <v>0.25826149425287354</v>
      </c>
      <c r="S628" s="18" t="s">
        <v>107</v>
      </c>
      <c r="T628" s="18" t="s">
        <v>32</v>
      </c>
      <c r="U628" s="18">
        <f>IF(tbl_raw[[#This Row],[Order_Status]]="Returned",1,0)</f>
        <v>0</v>
      </c>
      <c r="V628" s="18">
        <f>IF(tbl_raw[[#This Row],[Payment_Method]]="COD",1,0)</f>
        <v>0</v>
      </c>
      <c r="W628" s="21">
        <f>MIN(1,(tbl_raw[[#This Row],[Discount_Pct]]*1.4)+(tbl_raw[[#This Row],[COD_Flag]]*0.35))</f>
        <v>0.29399999999999998</v>
      </c>
    </row>
    <row r="629" spans="1:23" ht="22.8" x14ac:dyDescent="0.3">
      <c r="A629" s="22" t="s">
        <v>1640</v>
      </c>
      <c r="B629" s="23" t="s">
        <v>213</v>
      </c>
      <c r="C629" s="23" t="s">
        <v>117</v>
      </c>
      <c r="D629" s="23" t="s">
        <v>53</v>
      </c>
      <c r="E629" s="23" t="s">
        <v>149</v>
      </c>
      <c r="F629" s="23" t="s">
        <v>1641</v>
      </c>
      <c r="G629" s="23" t="s">
        <v>120</v>
      </c>
      <c r="H629" s="23" t="s">
        <v>39</v>
      </c>
      <c r="I629" s="23">
        <v>10</v>
      </c>
      <c r="J629" s="24">
        <v>6772</v>
      </c>
      <c r="K629" s="24">
        <v>5214</v>
      </c>
      <c r="L629" s="25">
        <v>0.23</v>
      </c>
      <c r="M629" s="24">
        <v>4234</v>
      </c>
      <c r="N629" s="24">
        <f>(tbl_raw[[#This Row],[Selling_Price]]-tbl_raw[[#This Row],[Cost_Price]])*tbl_raw[[#This Row],[Units_Sold]]</f>
        <v>9800</v>
      </c>
      <c r="O629" s="25">
        <f>IFERROR((tbl_raw[[#This Row],[Selling_Price]]-tbl_raw[[#This Row],[Cost_Price]]) / tbl_raw[[#This Row],[Selling_Price]],0)</f>
        <v>0.18795550441120062</v>
      </c>
      <c r="P629" s="24">
        <v>148</v>
      </c>
      <c r="Q629" s="24">
        <f>tbl_raw[[#This Row],[Gross_Profit]]-(tbl_raw[[#This Row],[Shipping_Cost]]*tbl_raw[[#This Row],[Units_Sold]])</f>
        <v>8320</v>
      </c>
      <c r="R629" s="25">
        <f>IFERROR(tbl_raw[[#This Row],[Net_Profit]]/(tbl_raw[[#This Row],[Selling_Price]]*tbl_raw[[#This Row],[Units_Sold]]),0)</f>
        <v>0.1595703874184887</v>
      </c>
      <c r="S629" s="23" t="s">
        <v>40</v>
      </c>
      <c r="T629" s="23" t="s">
        <v>32</v>
      </c>
      <c r="U629" s="23">
        <f>IF(tbl_raw[[#This Row],[Order_Status]]="Returned",1,0)</f>
        <v>0</v>
      </c>
      <c r="V629" s="23">
        <f>IF(tbl_raw[[#This Row],[Payment_Method]]="COD",1,0)</f>
        <v>1</v>
      </c>
      <c r="W629" s="26">
        <f>MIN(1,(tbl_raw[[#This Row],[Discount_Pct]]*1.4)+(tbl_raw[[#This Row],[COD_Flag]]*0.35))</f>
        <v>0.67199999999999993</v>
      </c>
    </row>
    <row r="630" spans="1:23" ht="22.8" x14ac:dyDescent="0.3">
      <c r="A630" s="17" t="s">
        <v>1642</v>
      </c>
      <c r="B630" s="18" t="s">
        <v>727</v>
      </c>
      <c r="C630" s="18" t="s">
        <v>132</v>
      </c>
      <c r="D630" s="18" t="s">
        <v>94</v>
      </c>
      <c r="E630" s="18" t="s">
        <v>180</v>
      </c>
      <c r="F630" s="18" t="s">
        <v>1643</v>
      </c>
      <c r="G630" s="18" t="s">
        <v>56</v>
      </c>
      <c r="H630" s="18" t="s">
        <v>57</v>
      </c>
      <c r="I630" s="18">
        <v>9</v>
      </c>
      <c r="J630" s="19">
        <v>2561</v>
      </c>
      <c r="K630" s="19">
        <v>1613</v>
      </c>
      <c r="L630" s="20">
        <v>0.37</v>
      </c>
      <c r="M630" s="19">
        <v>1637</v>
      </c>
      <c r="N630" s="19">
        <f>(tbl_raw[[#This Row],[Selling_Price]]-tbl_raw[[#This Row],[Cost_Price]])*tbl_raw[[#This Row],[Units_Sold]]</f>
        <v>-216</v>
      </c>
      <c r="O630" s="20">
        <f>IFERROR((tbl_raw[[#This Row],[Selling_Price]]-tbl_raw[[#This Row],[Cost_Price]]) / tbl_raw[[#This Row],[Selling_Price]],0)</f>
        <v>-1.4879107253564786E-2</v>
      </c>
      <c r="P630" s="19">
        <v>71</v>
      </c>
      <c r="Q630" s="19">
        <f>tbl_raw[[#This Row],[Gross_Profit]]-(tbl_raw[[#This Row],[Shipping_Cost]]*tbl_raw[[#This Row],[Units_Sold]])</f>
        <v>-855</v>
      </c>
      <c r="R630" s="20">
        <f>IFERROR(tbl_raw[[#This Row],[Net_Profit]]/(tbl_raw[[#This Row],[Selling_Price]]*tbl_raw[[#This Row],[Units_Sold]]),0)</f>
        <v>-5.8896466212027279E-2</v>
      </c>
      <c r="S630" s="18" t="s">
        <v>65</v>
      </c>
      <c r="T630" s="18" t="s">
        <v>49</v>
      </c>
      <c r="U630" s="18">
        <f>IF(tbl_raw[[#This Row],[Order_Status]]="Returned",1,0)</f>
        <v>0</v>
      </c>
      <c r="V630" s="18">
        <f>IF(tbl_raw[[#This Row],[Payment_Method]]="COD",1,0)</f>
        <v>0</v>
      </c>
      <c r="W630" s="21">
        <f>MIN(1,(tbl_raw[[#This Row],[Discount_Pct]]*1.4)+(tbl_raw[[#This Row],[COD_Flag]]*0.35))</f>
        <v>0.51800000000000002</v>
      </c>
    </row>
    <row r="631" spans="1:23" ht="22.8" x14ac:dyDescent="0.3">
      <c r="A631" s="22" t="s">
        <v>1644</v>
      </c>
      <c r="B631" s="23" t="s">
        <v>1645</v>
      </c>
      <c r="C631" s="23" t="s">
        <v>156</v>
      </c>
      <c r="D631" s="23" t="s">
        <v>53</v>
      </c>
      <c r="E631" s="23" t="s">
        <v>149</v>
      </c>
      <c r="F631" s="23" t="s">
        <v>1646</v>
      </c>
      <c r="G631" s="23" t="s">
        <v>143</v>
      </c>
      <c r="H631" s="23" t="s">
        <v>30</v>
      </c>
      <c r="I631" s="23">
        <v>10</v>
      </c>
      <c r="J631" s="24">
        <v>6614</v>
      </c>
      <c r="K631" s="24">
        <v>4299</v>
      </c>
      <c r="L631" s="25">
        <v>0.35</v>
      </c>
      <c r="M631" s="24">
        <v>3580</v>
      </c>
      <c r="N631" s="24">
        <f>(tbl_raw[[#This Row],[Selling_Price]]-tbl_raw[[#This Row],[Cost_Price]])*tbl_raw[[#This Row],[Units_Sold]]</f>
        <v>7190</v>
      </c>
      <c r="O631" s="25">
        <f>IFERROR((tbl_raw[[#This Row],[Selling_Price]]-tbl_raw[[#This Row],[Cost_Price]]) / tbl_raw[[#This Row],[Selling_Price]],0)</f>
        <v>0.16724819725517562</v>
      </c>
      <c r="P631" s="24">
        <v>91</v>
      </c>
      <c r="Q631" s="24">
        <f>tbl_raw[[#This Row],[Gross_Profit]]-(tbl_raw[[#This Row],[Shipping_Cost]]*tbl_raw[[#This Row],[Units_Sold]])</f>
        <v>6280</v>
      </c>
      <c r="R631" s="25">
        <f>IFERROR(tbl_raw[[#This Row],[Net_Profit]]/(tbl_raw[[#This Row],[Selling_Price]]*tbl_raw[[#This Row],[Units_Sold]]),0)</f>
        <v>0.14608048383344963</v>
      </c>
      <c r="S631" s="23" t="s">
        <v>65</v>
      </c>
      <c r="T631" s="23" t="s">
        <v>32</v>
      </c>
      <c r="U631" s="23">
        <f>IF(tbl_raw[[#This Row],[Order_Status]]="Returned",1,0)</f>
        <v>0</v>
      </c>
      <c r="V631" s="23">
        <f>IF(tbl_raw[[#This Row],[Payment_Method]]="COD",1,0)</f>
        <v>0</v>
      </c>
      <c r="W631" s="26">
        <f>MIN(1,(tbl_raw[[#This Row],[Discount_Pct]]*1.4)+(tbl_raw[[#This Row],[COD_Flag]]*0.35))</f>
        <v>0.48999999999999994</v>
      </c>
    </row>
    <row r="632" spans="1:23" ht="22.8" x14ac:dyDescent="0.3">
      <c r="A632" s="17" t="s">
        <v>1647</v>
      </c>
      <c r="B632" s="18" t="s">
        <v>475</v>
      </c>
      <c r="C632" s="18" t="s">
        <v>25</v>
      </c>
      <c r="D632" s="18" t="s">
        <v>164</v>
      </c>
      <c r="E632" s="18" t="s">
        <v>251</v>
      </c>
      <c r="F632" s="18" t="s">
        <v>1648</v>
      </c>
      <c r="G632" s="18" t="s">
        <v>29</v>
      </c>
      <c r="H632" s="18" t="s">
        <v>30</v>
      </c>
      <c r="I632" s="18">
        <v>7</v>
      </c>
      <c r="J632" s="19">
        <v>3901</v>
      </c>
      <c r="K632" s="19">
        <v>3004</v>
      </c>
      <c r="L632" s="20">
        <v>0.23</v>
      </c>
      <c r="M632" s="19">
        <v>2634</v>
      </c>
      <c r="N632" s="19">
        <f>(tbl_raw[[#This Row],[Selling_Price]]-tbl_raw[[#This Row],[Cost_Price]])*tbl_raw[[#This Row],[Units_Sold]]</f>
        <v>2590</v>
      </c>
      <c r="O632" s="20">
        <f>IFERROR((tbl_raw[[#This Row],[Selling_Price]]-tbl_raw[[#This Row],[Cost_Price]]) / tbl_raw[[#This Row],[Selling_Price]],0)</f>
        <v>0.12316910785619174</v>
      </c>
      <c r="P632" s="19">
        <v>144</v>
      </c>
      <c r="Q632" s="19">
        <f>tbl_raw[[#This Row],[Gross_Profit]]-(tbl_raw[[#This Row],[Shipping_Cost]]*tbl_raw[[#This Row],[Units_Sold]])</f>
        <v>1582</v>
      </c>
      <c r="R632" s="20">
        <f>IFERROR(tbl_raw[[#This Row],[Net_Profit]]/(tbl_raw[[#This Row],[Selling_Price]]*tbl_raw[[#This Row],[Units_Sold]]),0)</f>
        <v>7.5233022636484681E-2</v>
      </c>
      <c r="S632" s="18" t="s">
        <v>31</v>
      </c>
      <c r="T632" s="18" t="s">
        <v>32</v>
      </c>
      <c r="U632" s="18">
        <f>IF(tbl_raw[[#This Row],[Order_Status]]="Returned",1,0)</f>
        <v>0</v>
      </c>
      <c r="V632" s="18">
        <f>IF(tbl_raw[[#This Row],[Payment_Method]]="COD",1,0)</f>
        <v>0</v>
      </c>
      <c r="W632" s="21">
        <f>MIN(1,(tbl_raw[[#This Row],[Discount_Pct]]*1.4)+(tbl_raw[[#This Row],[COD_Flag]]*0.35))</f>
        <v>0.32200000000000001</v>
      </c>
    </row>
    <row r="633" spans="1:23" ht="22.8" x14ac:dyDescent="0.3">
      <c r="A633" s="22" t="s">
        <v>1649</v>
      </c>
      <c r="B633" s="23" t="s">
        <v>438</v>
      </c>
      <c r="C633" s="23" t="s">
        <v>35</v>
      </c>
      <c r="D633" s="23" t="s">
        <v>78</v>
      </c>
      <c r="E633" s="23" t="s">
        <v>118</v>
      </c>
      <c r="F633" s="23" t="s">
        <v>1650</v>
      </c>
      <c r="G633" s="23" t="s">
        <v>75</v>
      </c>
      <c r="H633" s="23" t="s">
        <v>48</v>
      </c>
      <c r="I633" s="23">
        <v>18</v>
      </c>
      <c r="J633" s="24">
        <v>435</v>
      </c>
      <c r="K633" s="24">
        <v>409</v>
      </c>
      <c r="L633" s="25">
        <v>0.06</v>
      </c>
      <c r="M633" s="24">
        <v>307</v>
      </c>
      <c r="N633" s="24">
        <f>(tbl_raw[[#This Row],[Selling_Price]]-tbl_raw[[#This Row],[Cost_Price]])*tbl_raw[[#This Row],[Units_Sold]]</f>
        <v>1836</v>
      </c>
      <c r="O633" s="25">
        <f>IFERROR((tbl_raw[[#This Row],[Selling_Price]]-tbl_raw[[#This Row],[Cost_Price]]) / tbl_raw[[#This Row],[Selling_Price]],0)</f>
        <v>0.24938875305623473</v>
      </c>
      <c r="P633" s="24">
        <v>76</v>
      </c>
      <c r="Q633" s="24">
        <f>tbl_raw[[#This Row],[Gross_Profit]]-(tbl_raw[[#This Row],[Shipping_Cost]]*tbl_raw[[#This Row],[Units_Sold]])</f>
        <v>468</v>
      </c>
      <c r="R633" s="25">
        <f>IFERROR(tbl_raw[[#This Row],[Net_Profit]]/(tbl_raw[[#This Row],[Selling_Price]]*tbl_raw[[#This Row],[Units_Sold]]),0)</f>
        <v>6.3569682151589244E-2</v>
      </c>
      <c r="S633" s="23" t="s">
        <v>58</v>
      </c>
      <c r="T633" s="23" t="s">
        <v>32</v>
      </c>
      <c r="U633" s="23">
        <f>IF(tbl_raw[[#This Row],[Order_Status]]="Returned",1,0)</f>
        <v>0</v>
      </c>
      <c r="V633" s="23">
        <f>IF(tbl_raw[[#This Row],[Payment_Method]]="COD",1,0)</f>
        <v>0</v>
      </c>
      <c r="W633" s="26">
        <f>MIN(1,(tbl_raw[[#This Row],[Discount_Pct]]*1.4)+(tbl_raw[[#This Row],[COD_Flag]]*0.35))</f>
        <v>8.3999999999999991E-2</v>
      </c>
    </row>
    <row r="634" spans="1:23" ht="22.8" x14ac:dyDescent="0.3">
      <c r="A634" s="17" t="s">
        <v>1651</v>
      </c>
      <c r="B634" s="18" t="s">
        <v>1035</v>
      </c>
      <c r="C634" s="18" t="s">
        <v>89</v>
      </c>
      <c r="D634" s="18" t="s">
        <v>94</v>
      </c>
      <c r="E634" s="18" t="s">
        <v>310</v>
      </c>
      <c r="F634" s="18" t="s">
        <v>1652</v>
      </c>
      <c r="G634" s="18" t="s">
        <v>47</v>
      </c>
      <c r="H634" s="18" t="s">
        <v>48</v>
      </c>
      <c r="I634" s="18">
        <v>18</v>
      </c>
      <c r="J634" s="19">
        <v>2537</v>
      </c>
      <c r="K634" s="19">
        <v>1877</v>
      </c>
      <c r="L634" s="20">
        <v>0.26</v>
      </c>
      <c r="M634" s="19">
        <v>1519</v>
      </c>
      <c r="N634" s="19">
        <f>(tbl_raw[[#This Row],[Selling_Price]]-tbl_raw[[#This Row],[Cost_Price]])*tbl_raw[[#This Row],[Units_Sold]]</f>
        <v>6444</v>
      </c>
      <c r="O634" s="20">
        <f>IFERROR((tbl_raw[[#This Row],[Selling_Price]]-tbl_raw[[#This Row],[Cost_Price]]) / tbl_raw[[#This Row],[Selling_Price]],0)</f>
        <v>0.19072988811933936</v>
      </c>
      <c r="P634" s="19">
        <v>35</v>
      </c>
      <c r="Q634" s="19">
        <f>tbl_raw[[#This Row],[Gross_Profit]]-(tbl_raw[[#This Row],[Shipping_Cost]]*tbl_raw[[#This Row],[Units_Sold]])</f>
        <v>5814</v>
      </c>
      <c r="R634" s="20">
        <f>IFERROR(tbl_raw[[#This Row],[Net_Profit]]/(tbl_raw[[#This Row],[Selling_Price]]*tbl_raw[[#This Row],[Units_Sold]]),0)</f>
        <v>0.17208311134789558</v>
      </c>
      <c r="S634" s="18" t="s">
        <v>40</v>
      </c>
      <c r="T634" s="18" t="s">
        <v>49</v>
      </c>
      <c r="U634" s="18">
        <f>IF(tbl_raw[[#This Row],[Order_Status]]="Returned",1,0)</f>
        <v>0</v>
      </c>
      <c r="V634" s="18">
        <f>IF(tbl_raw[[#This Row],[Payment_Method]]="COD",1,0)</f>
        <v>1</v>
      </c>
      <c r="W634" s="21">
        <f>MIN(1,(tbl_raw[[#This Row],[Discount_Pct]]*1.4)+(tbl_raw[[#This Row],[COD_Flag]]*0.35))</f>
        <v>0.71399999999999997</v>
      </c>
    </row>
    <row r="635" spans="1:23" ht="22.8" x14ac:dyDescent="0.3">
      <c r="A635" s="22" t="s">
        <v>1653</v>
      </c>
      <c r="B635" s="23" t="s">
        <v>316</v>
      </c>
      <c r="C635" s="23" t="s">
        <v>89</v>
      </c>
      <c r="D635" s="23" t="s">
        <v>78</v>
      </c>
      <c r="E635" s="23" t="s">
        <v>534</v>
      </c>
      <c r="F635" s="23" t="s">
        <v>1654</v>
      </c>
      <c r="G635" s="23" t="s">
        <v>47</v>
      </c>
      <c r="H635" s="23" t="s">
        <v>48</v>
      </c>
      <c r="I635" s="23">
        <v>3</v>
      </c>
      <c r="J635" s="24">
        <v>4369</v>
      </c>
      <c r="K635" s="24">
        <v>4019</v>
      </c>
      <c r="L635" s="25">
        <v>0.08</v>
      </c>
      <c r="M635" s="24">
        <v>1914</v>
      </c>
      <c r="N635" s="24">
        <f>(tbl_raw[[#This Row],[Selling_Price]]-tbl_raw[[#This Row],[Cost_Price]])*tbl_raw[[#This Row],[Units_Sold]]</f>
        <v>6315</v>
      </c>
      <c r="O635" s="25">
        <f>IFERROR((tbl_raw[[#This Row],[Selling_Price]]-tbl_raw[[#This Row],[Cost_Price]]) / tbl_raw[[#This Row],[Selling_Price]],0)</f>
        <v>0.52376212988305548</v>
      </c>
      <c r="P635" s="24">
        <v>115</v>
      </c>
      <c r="Q635" s="24">
        <f>tbl_raw[[#This Row],[Gross_Profit]]-(tbl_raw[[#This Row],[Shipping_Cost]]*tbl_raw[[#This Row],[Units_Sold]])</f>
        <v>5970</v>
      </c>
      <c r="R635" s="25">
        <f>IFERROR(tbl_raw[[#This Row],[Net_Profit]]/(tbl_raw[[#This Row],[Selling_Price]]*tbl_raw[[#This Row],[Units_Sold]]),0)</f>
        <v>0.49514804677780544</v>
      </c>
      <c r="S635" s="23" t="s">
        <v>31</v>
      </c>
      <c r="T635" s="23" t="s">
        <v>32</v>
      </c>
      <c r="U635" s="23">
        <f>IF(tbl_raw[[#This Row],[Order_Status]]="Returned",1,0)</f>
        <v>0</v>
      </c>
      <c r="V635" s="23">
        <f>IF(tbl_raw[[#This Row],[Payment_Method]]="COD",1,0)</f>
        <v>0</v>
      </c>
      <c r="W635" s="26">
        <f>MIN(1,(tbl_raw[[#This Row],[Discount_Pct]]*1.4)+(tbl_raw[[#This Row],[COD_Flag]]*0.35))</f>
        <v>0.11199999999999999</v>
      </c>
    </row>
    <row r="636" spans="1:23" ht="22.8" x14ac:dyDescent="0.3">
      <c r="A636" s="17" t="s">
        <v>1655</v>
      </c>
      <c r="B636" s="18" t="s">
        <v>875</v>
      </c>
      <c r="C636" s="18" t="s">
        <v>43</v>
      </c>
      <c r="D636" s="18" t="s">
        <v>164</v>
      </c>
      <c r="E636" s="18" t="s">
        <v>265</v>
      </c>
      <c r="F636" s="18" t="s">
        <v>1656</v>
      </c>
      <c r="G636" s="18" t="s">
        <v>102</v>
      </c>
      <c r="H636" s="18" t="s">
        <v>39</v>
      </c>
      <c r="I636" s="18">
        <v>16</v>
      </c>
      <c r="J636" s="19">
        <v>409</v>
      </c>
      <c r="K636" s="19">
        <v>372</v>
      </c>
      <c r="L636" s="20">
        <v>0.09</v>
      </c>
      <c r="M636" s="19">
        <v>294</v>
      </c>
      <c r="N636" s="19">
        <f>(tbl_raw[[#This Row],[Selling_Price]]-tbl_raw[[#This Row],[Cost_Price]])*tbl_raw[[#This Row],[Units_Sold]]</f>
        <v>1248</v>
      </c>
      <c r="O636" s="20">
        <f>IFERROR((tbl_raw[[#This Row],[Selling_Price]]-tbl_raw[[#This Row],[Cost_Price]]) / tbl_raw[[#This Row],[Selling_Price]],0)</f>
        <v>0.20967741935483872</v>
      </c>
      <c r="P636" s="19">
        <v>88</v>
      </c>
      <c r="Q636" s="19">
        <f>tbl_raw[[#This Row],[Gross_Profit]]-(tbl_raw[[#This Row],[Shipping_Cost]]*tbl_raw[[#This Row],[Units_Sold]])</f>
        <v>-160</v>
      </c>
      <c r="R636" s="20">
        <f>IFERROR(tbl_raw[[#This Row],[Net_Profit]]/(tbl_raw[[#This Row],[Selling_Price]]*tbl_raw[[#This Row],[Units_Sold]]),0)</f>
        <v>-2.6881720430107527E-2</v>
      </c>
      <c r="S636" s="18" t="s">
        <v>40</v>
      </c>
      <c r="T636" s="18" t="s">
        <v>86</v>
      </c>
      <c r="U636" s="18">
        <f>IF(tbl_raw[[#This Row],[Order_Status]]="Returned",1,0)</f>
        <v>1</v>
      </c>
      <c r="V636" s="18">
        <f>IF(tbl_raw[[#This Row],[Payment_Method]]="COD",1,0)</f>
        <v>1</v>
      </c>
      <c r="W636" s="21">
        <f>MIN(1,(tbl_raw[[#This Row],[Discount_Pct]]*1.4)+(tbl_raw[[#This Row],[COD_Flag]]*0.35))</f>
        <v>0.47599999999999998</v>
      </c>
    </row>
    <row r="637" spans="1:23" ht="22.8" x14ac:dyDescent="0.3">
      <c r="A637" s="22" t="s">
        <v>1657</v>
      </c>
      <c r="B637" s="23" t="s">
        <v>351</v>
      </c>
      <c r="C637" s="23" t="s">
        <v>72</v>
      </c>
      <c r="D637" s="23" t="s">
        <v>26</v>
      </c>
      <c r="E637" s="23" t="s">
        <v>27</v>
      </c>
      <c r="F637" s="23" t="s">
        <v>1658</v>
      </c>
      <c r="G637" s="23" t="s">
        <v>139</v>
      </c>
      <c r="H637" s="23" t="s">
        <v>48</v>
      </c>
      <c r="I637" s="23">
        <v>6</v>
      </c>
      <c r="J637" s="24">
        <v>2749</v>
      </c>
      <c r="K637" s="24">
        <v>1622</v>
      </c>
      <c r="L637" s="25">
        <v>0.41</v>
      </c>
      <c r="M637" s="24">
        <v>1476</v>
      </c>
      <c r="N637" s="24">
        <f>(tbl_raw[[#This Row],[Selling_Price]]-tbl_raw[[#This Row],[Cost_Price]])*tbl_raw[[#This Row],[Units_Sold]]</f>
        <v>876</v>
      </c>
      <c r="O637" s="25">
        <f>IFERROR((tbl_raw[[#This Row],[Selling_Price]]-tbl_raw[[#This Row],[Cost_Price]]) / tbl_raw[[#This Row],[Selling_Price]],0)</f>
        <v>9.0012330456226877E-2</v>
      </c>
      <c r="P637" s="24">
        <v>178</v>
      </c>
      <c r="Q637" s="24">
        <f>tbl_raw[[#This Row],[Gross_Profit]]-(tbl_raw[[#This Row],[Shipping_Cost]]*tbl_raw[[#This Row],[Units_Sold]])</f>
        <v>-192</v>
      </c>
      <c r="R637" s="25">
        <f>IFERROR(tbl_raw[[#This Row],[Net_Profit]]/(tbl_raw[[#This Row],[Selling_Price]]*tbl_raw[[#This Row],[Units_Sold]]),0)</f>
        <v>-1.9728729963008632E-2</v>
      </c>
      <c r="S637" s="23" t="s">
        <v>40</v>
      </c>
      <c r="T637" s="23" t="s">
        <v>32</v>
      </c>
      <c r="U637" s="23">
        <f>IF(tbl_raw[[#This Row],[Order_Status]]="Returned",1,0)</f>
        <v>0</v>
      </c>
      <c r="V637" s="23">
        <f>IF(tbl_raw[[#This Row],[Payment_Method]]="COD",1,0)</f>
        <v>1</v>
      </c>
      <c r="W637" s="26">
        <f>MIN(1,(tbl_raw[[#This Row],[Discount_Pct]]*1.4)+(tbl_raw[[#This Row],[COD_Flag]]*0.35))</f>
        <v>0.92399999999999993</v>
      </c>
    </row>
    <row r="638" spans="1:23" ht="22.8" x14ac:dyDescent="0.3">
      <c r="A638" s="17" t="s">
        <v>1659</v>
      </c>
      <c r="B638" s="18" t="s">
        <v>83</v>
      </c>
      <c r="C638" s="18" t="s">
        <v>72</v>
      </c>
      <c r="D638" s="18" t="s">
        <v>94</v>
      </c>
      <c r="E638" s="18" t="s">
        <v>95</v>
      </c>
      <c r="F638" s="18" t="s">
        <v>1660</v>
      </c>
      <c r="G638" s="18" t="s">
        <v>29</v>
      </c>
      <c r="H638" s="18" t="s">
        <v>30</v>
      </c>
      <c r="I638" s="18">
        <v>10</v>
      </c>
      <c r="J638" s="19">
        <v>3571</v>
      </c>
      <c r="K638" s="19">
        <v>2428</v>
      </c>
      <c r="L638" s="20">
        <v>0.32</v>
      </c>
      <c r="M638" s="19">
        <v>2022</v>
      </c>
      <c r="N638" s="19">
        <f>(tbl_raw[[#This Row],[Selling_Price]]-tbl_raw[[#This Row],[Cost_Price]])*tbl_raw[[#This Row],[Units_Sold]]</f>
        <v>4060</v>
      </c>
      <c r="O638" s="20">
        <f>IFERROR((tbl_raw[[#This Row],[Selling_Price]]-tbl_raw[[#This Row],[Cost_Price]]) / tbl_raw[[#This Row],[Selling_Price]],0)</f>
        <v>0.1672158154859967</v>
      </c>
      <c r="P638" s="19">
        <v>121</v>
      </c>
      <c r="Q638" s="19">
        <f>tbl_raw[[#This Row],[Gross_Profit]]-(tbl_raw[[#This Row],[Shipping_Cost]]*tbl_raw[[#This Row],[Units_Sold]])</f>
        <v>2850</v>
      </c>
      <c r="R638" s="20">
        <f>IFERROR(tbl_raw[[#This Row],[Net_Profit]]/(tbl_raw[[#This Row],[Selling_Price]]*tbl_raw[[#This Row],[Units_Sold]]),0)</f>
        <v>0.11738056013179572</v>
      </c>
      <c r="S638" s="18" t="s">
        <v>107</v>
      </c>
      <c r="T638" s="18" t="s">
        <v>32</v>
      </c>
      <c r="U638" s="18">
        <f>IF(tbl_raw[[#This Row],[Order_Status]]="Returned",1,0)</f>
        <v>0</v>
      </c>
      <c r="V638" s="18">
        <f>IF(tbl_raw[[#This Row],[Payment_Method]]="COD",1,0)</f>
        <v>0</v>
      </c>
      <c r="W638" s="21">
        <f>MIN(1,(tbl_raw[[#This Row],[Discount_Pct]]*1.4)+(tbl_raw[[#This Row],[COD_Flag]]*0.35))</f>
        <v>0.44799999999999995</v>
      </c>
    </row>
    <row r="639" spans="1:23" ht="22.8" x14ac:dyDescent="0.3">
      <c r="A639" s="22" t="s">
        <v>1661</v>
      </c>
      <c r="B639" s="23" t="s">
        <v>1092</v>
      </c>
      <c r="C639" s="23" t="s">
        <v>25</v>
      </c>
      <c r="D639" s="23" t="s">
        <v>53</v>
      </c>
      <c r="E639" s="23" t="s">
        <v>145</v>
      </c>
      <c r="F639" s="23" t="s">
        <v>1662</v>
      </c>
      <c r="G639" s="23" t="s">
        <v>81</v>
      </c>
      <c r="H639" s="23" t="s">
        <v>30</v>
      </c>
      <c r="I639" s="23">
        <v>15</v>
      </c>
      <c r="J639" s="24">
        <v>699</v>
      </c>
      <c r="K639" s="24">
        <v>573</v>
      </c>
      <c r="L639" s="25">
        <v>0.18</v>
      </c>
      <c r="M639" s="24">
        <v>477</v>
      </c>
      <c r="N639" s="24">
        <f>(tbl_raw[[#This Row],[Selling_Price]]-tbl_raw[[#This Row],[Cost_Price]])*tbl_raw[[#This Row],[Units_Sold]]</f>
        <v>1440</v>
      </c>
      <c r="O639" s="25">
        <f>IFERROR((tbl_raw[[#This Row],[Selling_Price]]-tbl_raw[[#This Row],[Cost_Price]]) / tbl_raw[[#This Row],[Selling_Price]],0)</f>
        <v>0.16753926701570682</v>
      </c>
      <c r="P639" s="24">
        <v>109</v>
      </c>
      <c r="Q639" s="24">
        <f>tbl_raw[[#This Row],[Gross_Profit]]-(tbl_raw[[#This Row],[Shipping_Cost]]*tbl_raw[[#This Row],[Units_Sold]])</f>
        <v>-195</v>
      </c>
      <c r="R639" s="25">
        <f>IFERROR(tbl_raw[[#This Row],[Net_Profit]]/(tbl_raw[[#This Row],[Selling_Price]]*tbl_raw[[#This Row],[Units_Sold]]),0)</f>
        <v>-2.2687609075043629E-2</v>
      </c>
      <c r="S639" s="23" t="s">
        <v>65</v>
      </c>
      <c r="T639" s="23" t="s">
        <v>32</v>
      </c>
      <c r="U639" s="23">
        <f>IF(tbl_raw[[#This Row],[Order_Status]]="Returned",1,0)</f>
        <v>0</v>
      </c>
      <c r="V639" s="23">
        <f>IF(tbl_raw[[#This Row],[Payment_Method]]="COD",1,0)</f>
        <v>0</v>
      </c>
      <c r="W639" s="26">
        <f>MIN(1,(tbl_raw[[#This Row],[Discount_Pct]]*1.4)+(tbl_raw[[#This Row],[COD_Flag]]*0.35))</f>
        <v>0.252</v>
      </c>
    </row>
    <row r="640" spans="1:23" ht="22.8" x14ac:dyDescent="0.3">
      <c r="A640" s="17" t="s">
        <v>1663</v>
      </c>
      <c r="B640" s="18" t="s">
        <v>484</v>
      </c>
      <c r="C640" s="18" t="s">
        <v>199</v>
      </c>
      <c r="D640" s="18" t="s">
        <v>175</v>
      </c>
      <c r="E640" s="18" t="s">
        <v>190</v>
      </c>
      <c r="F640" s="18" t="s">
        <v>1664</v>
      </c>
      <c r="G640" s="18" t="s">
        <v>75</v>
      </c>
      <c r="H640" s="18" t="s">
        <v>48</v>
      </c>
      <c r="I640" s="18">
        <v>12</v>
      </c>
      <c r="J640" s="19">
        <v>5662</v>
      </c>
      <c r="K640" s="19">
        <v>3850</v>
      </c>
      <c r="L640" s="20">
        <v>0.32</v>
      </c>
      <c r="M640" s="19">
        <v>2854</v>
      </c>
      <c r="N640" s="19">
        <f>(tbl_raw[[#This Row],[Selling_Price]]-tbl_raw[[#This Row],[Cost_Price]])*tbl_raw[[#This Row],[Units_Sold]]</f>
        <v>11952</v>
      </c>
      <c r="O640" s="20">
        <f>IFERROR((tbl_raw[[#This Row],[Selling_Price]]-tbl_raw[[#This Row],[Cost_Price]]) / tbl_raw[[#This Row],[Selling_Price]],0)</f>
        <v>0.25870129870129871</v>
      </c>
      <c r="P640" s="19">
        <v>122</v>
      </c>
      <c r="Q640" s="19">
        <f>tbl_raw[[#This Row],[Gross_Profit]]-(tbl_raw[[#This Row],[Shipping_Cost]]*tbl_raw[[#This Row],[Units_Sold]])</f>
        <v>10488</v>
      </c>
      <c r="R640" s="20">
        <f>IFERROR(tbl_raw[[#This Row],[Net_Profit]]/(tbl_raw[[#This Row],[Selling_Price]]*tbl_raw[[#This Row],[Units_Sold]]),0)</f>
        <v>0.227012987012987</v>
      </c>
      <c r="S640" s="18" t="s">
        <v>40</v>
      </c>
      <c r="T640" s="18" t="s">
        <v>32</v>
      </c>
      <c r="U640" s="18">
        <f>IF(tbl_raw[[#This Row],[Order_Status]]="Returned",1,0)</f>
        <v>0</v>
      </c>
      <c r="V640" s="18">
        <f>IF(tbl_raw[[#This Row],[Payment_Method]]="COD",1,0)</f>
        <v>1</v>
      </c>
      <c r="W640" s="21">
        <f>MIN(1,(tbl_raw[[#This Row],[Discount_Pct]]*1.4)+(tbl_raw[[#This Row],[COD_Flag]]*0.35))</f>
        <v>0.79799999999999993</v>
      </c>
    </row>
    <row r="641" spans="1:23" ht="22.8" x14ac:dyDescent="0.3">
      <c r="A641" s="22" t="s">
        <v>1665</v>
      </c>
      <c r="B641" s="23" t="s">
        <v>1151</v>
      </c>
      <c r="C641" s="23" t="s">
        <v>199</v>
      </c>
      <c r="D641" s="23" t="s">
        <v>78</v>
      </c>
      <c r="E641" s="23" t="s">
        <v>534</v>
      </c>
      <c r="F641" s="23" t="s">
        <v>1666</v>
      </c>
      <c r="G641" s="23" t="s">
        <v>81</v>
      </c>
      <c r="H641" s="23" t="s">
        <v>30</v>
      </c>
      <c r="I641" s="23">
        <v>19</v>
      </c>
      <c r="J641" s="24">
        <v>945</v>
      </c>
      <c r="K641" s="24">
        <v>652</v>
      </c>
      <c r="L641" s="25">
        <v>0.31</v>
      </c>
      <c r="M641" s="24">
        <v>392</v>
      </c>
      <c r="N641" s="24">
        <f>(tbl_raw[[#This Row],[Selling_Price]]-tbl_raw[[#This Row],[Cost_Price]])*tbl_raw[[#This Row],[Units_Sold]]</f>
        <v>4940</v>
      </c>
      <c r="O641" s="25">
        <f>IFERROR((tbl_raw[[#This Row],[Selling_Price]]-tbl_raw[[#This Row],[Cost_Price]]) / tbl_raw[[#This Row],[Selling_Price]],0)</f>
        <v>0.3987730061349693</v>
      </c>
      <c r="P641" s="24">
        <v>163</v>
      </c>
      <c r="Q641" s="24">
        <f>tbl_raw[[#This Row],[Gross_Profit]]-(tbl_raw[[#This Row],[Shipping_Cost]]*tbl_raw[[#This Row],[Units_Sold]])</f>
        <v>1843</v>
      </c>
      <c r="R641" s="25">
        <f>IFERROR(tbl_raw[[#This Row],[Net_Profit]]/(tbl_raw[[#This Row],[Selling_Price]]*tbl_raw[[#This Row],[Units_Sold]]),0)</f>
        <v>0.14877300613496933</v>
      </c>
      <c r="S641" s="23" t="s">
        <v>40</v>
      </c>
      <c r="T641" s="23" t="s">
        <v>86</v>
      </c>
      <c r="U641" s="23">
        <f>IF(tbl_raw[[#This Row],[Order_Status]]="Returned",1,0)</f>
        <v>1</v>
      </c>
      <c r="V641" s="23">
        <f>IF(tbl_raw[[#This Row],[Payment_Method]]="COD",1,0)</f>
        <v>1</v>
      </c>
      <c r="W641" s="26">
        <f>MIN(1,(tbl_raw[[#This Row],[Discount_Pct]]*1.4)+(tbl_raw[[#This Row],[COD_Flag]]*0.35))</f>
        <v>0.78400000000000003</v>
      </c>
    </row>
    <row r="642" spans="1:23" ht="22.8" x14ac:dyDescent="0.3">
      <c r="A642" s="17" t="s">
        <v>1667</v>
      </c>
      <c r="B642" s="18" t="s">
        <v>1668</v>
      </c>
      <c r="C642" s="18" t="s">
        <v>99</v>
      </c>
      <c r="D642" s="18" t="s">
        <v>175</v>
      </c>
      <c r="E642" s="18" t="s">
        <v>225</v>
      </c>
      <c r="F642" s="18" t="s">
        <v>1669</v>
      </c>
      <c r="G642" s="18" t="s">
        <v>47</v>
      </c>
      <c r="H642" s="18" t="s">
        <v>48</v>
      </c>
      <c r="I642" s="18">
        <v>18</v>
      </c>
      <c r="J642" s="19">
        <v>1146</v>
      </c>
      <c r="K642" s="19">
        <v>951</v>
      </c>
      <c r="L642" s="20">
        <v>0.17</v>
      </c>
      <c r="M642" s="19">
        <v>761</v>
      </c>
      <c r="N642" s="19">
        <f>(tbl_raw[[#This Row],[Selling_Price]]-tbl_raw[[#This Row],[Cost_Price]])*tbl_raw[[#This Row],[Units_Sold]]</f>
        <v>3420</v>
      </c>
      <c r="O642" s="20">
        <f>IFERROR((tbl_raw[[#This Row],[Selling_Price]]-tbl_raw[[#This Row],[Cost_Price]]) / tbl_raw[[#This Row],[Selling_Price]],0)</f>
        <v>0.19978969505783387</v>
      </c>
      <c r="P642" s="19">
        <v>106</v>
      </c>
      <c r="Q642" s="19">
        <f>tbl_raw[[#This Row],[Gross_Profit]]-(tbl_raw[[#This Row],[Shipping_Cost]]*tbl_raw[[#This Row],[Units_Sold]])</f>
        <v>1512</v>
      </c>
      <c r="R642" s="20">
        <f>IFERROR(tbl_raw[[#This Row],[Net_Profit]]/(tbl_raw[[#This Row],[Selling_Price]]*tbl_raw[[#This Row],[Units_Sold]]),0)</f>
        <v>8.8328075709779186E-2</v>
      </c>
      <c r="S642" s="18" t="s">
        <v>107</v>
      </c>
      <c r="T642" s="18" t="s">
        <v>32</v>
      </c>
      <c r="U642" s="18">
        <f>IF(tbl_raw[[#This Row],[Order_Status]]="Returned",1,0)</f>
        <v>0</v>
      </c>
      <c r="V642" s="18">
        <f>IF(tbl_raw[[#This Row],[Payment_Method]]="COD",1,0)</f>
        <v>0</v>
      </c>
      <c r="W642" s="21">
        <f>MIN(1,(tbl_raw[[#This Row],[Discount_Pct]]*1.4)+(tbl_raw[[#This Row],[COD_Flag]]*0.35))</f>
        <v>0.23799999999999999</v>
      </c>
    </row>
    <row r="643" spans="1:23" ht="22.8" x14ac:dyDescent="0.3">
      <c r="A643" s="22" t="s">
        <v>1670</v>
      </c>
      <c r="B643" s="23" t="s">
        <v>34</v>
      </c>
      <c r="C643" s="23" t="s">
        <v>35</v>
      </c>
      <c r="D643" s="23" t="s">
        <v>26</v>
      </c>
      <c r="E643" s="23" t="s">
        <v>168</v>
      </c>
      <c r="F643" s="23" t="s">
        <v>1671</v>
      </c>
      <c r="G643" s="23" t="s">
        <v>120</v>
      </c>
      <c r="H643" s="23" t="s">
        <v>39</v>
      </c>
      <c r="I643" s="23">
        <v>15</v>
      </c>
      <c r="J643" s="24">
        <v>3173</v>
      </c>
      <c r="K643" s="24">
        <v>2094</v>
      </c>
      <c r="L643" s="25">
        <v>0.34</v>
      </c>
      <c r="M643" s="24">
        <v>2220</v>
      </c>
      <c r="N643" s="24">
        <f>(tbl_raw[[#This Row],[Selling_Price]]-tbl_raw[[#This Row],[Cost_Price]])*tbl_raw[[#This Row],[Units_Sold]]</f>
        <v>-1890</v>
      </c>
      <c r="O643" s="25">
        <f>IFERROR((tbl_raw[[#This Row],[Selling_Price]]-tbl_raw[[#This Row],[Cost_Price]]) / tbl_raw[[#This Row],[Selling_Price]],0)</f>
        <v>-6.0171919770773637E-2</v>
      </c>
      <c r="P643" s="24">
        <v>90</v>
      </c>
      <c r="Q643" s="24">
        <f>tbl_raw[[#This Row],[Gross_Profit]]-(tbl_raw[[#This Row],[Shipping_Cost]]*tbl_raw[[#This Row],[Units_Sold]])</f>
        <v>-3240</v>
      </c>
      <c r="R643" s="25">
        <f>IFERROR(tbl_raw[[#This Row],[Net_Profit]]/(tbl_raw[[#This Row],[Selling_Price]]*tbl_raw[[#This Row],[Units_Sold]]),0)</f>
        <v>-0.10315186246418338</v>
      </c>
      <c r="S643" s="23" t="s">
        <v>58</v>
      </c>
      <c r="T643" s="23" t="s">
        <v>32</v>
      </c>
      <c r="U643" s="23">
        <f>IF(tbl_raw[[#This Row],[Order_Status]]="Returned",1,0)</f>
        <v>0</v>
      </c>
      <c r="V643" s="23">
        <f>IF(tbl_raw[[#This Row],[Payment_Method]]="COD",1,0)</f>
        <v>0</v>
      </c>
      <c r="W643" s="26">
        <f>MIN(1,(tbl_raw[[#This Row],[Discount_Pct]]*1.4)+(tbl_raw[[#This Row],[COD_Flag]]*0.35))</f>
        <v>0.47599999999999998</v>
      </c>
    </row>
    <row r="644" spans="1:23" ht="22.8" x14ac:dyDescent="0.3">
      <c r="A644" s="17" t="s">
        <v>1672</v>
      </c>
      <c r="B644" s="18" t="s">
        <v>1324</v>
      </c>
      <c r="C644" s="18" t="s">
        <v>43</v>
      </c>
      <c r="D644" s="18" t="s">
        <v>62</v>
      </c>
      <c r="E644" s="18" t="s">
        <v>68</v>
      </c>
      <c r="F644" s="18" t="s">
        <v>1673</v>
      </c>
      <c r="G644" s="18" t="s">
        <v>120</v>
      </c>
      <c r="H644" s="18" t="s">
        <v>39</v>
      </c>
      <c r="I644" s="18">
        <v>3</v>
      </c>
      <c r="J644" s="19">
        <v>4478</v>
      </c>
      <c r="K644" s="19">
        <v>3985</v>
      </c>
      <c r="L644" s="20">
        <v>0.11</v>
      </c>
      <c r="M644" s="19">
        <v>3280</v>
      </c>
      <c r="N644" s="19">
        <f>(tbl_raw[[#This Row],[Selling_Price]]-tbl_raw[[#This Row],[Cost_Price]])*tbl_raw[[#This Row],[Units_Sold]]</f>
        <v>2115</v>
      </c>
      <c r="O644" s="20">
        <f>IFERROR((tbl_raw[[#This Row],[Selling_Price]]-tbl_raw[[#This Row],[Cost_Price]]) / tbl_raw[[#This Row],[Selling_Price]],0)</f>
        <v>0.17691342534504392</v>
      </c>
      <c r="P644" s="19">
        <v>51</v>
      </c>
      <c r="Q644" s="19">
        <f>tbl_raw[[#This Row],[Gross_Profit]]-(tbl_raw[[#This Row],[Shipping_Cost]]*tbl_raw[[#This Row],[Units_Sold]])</f>
        <v>1962</v>
      </c>
      <c r="R644" s="20">
        <f>IFERROR(tbl_raw[[#This Row],[Net_Profit]]/(tbl_raw[[#This Row],[Selling_Price]]*tbl_raw[[#This Row],[Units_Sold]]),0)</f>
        <v>0.16411543287327479</v>
      </c>
      <c r="S644" s="18" t="s">
        <v>107</v>
      </c>
      <c r="T644" s="18" t="s">
        <v>32</v>
      </c>
      <c r="U644" s="18">
        <f>IF(tbl_raw[[#This Row],[Order_Status]]="Returned",1,0)</f>
        <v>0</v>
      </c>
      <c r="V644" s="18">
        <f>IF(tbl_raw[[#This Row],[Payment_Method]]="COD",1,0)</f>
        <v>0</v>
      </c>
      <c r="W644" s="21">
        <f>MIN(1,(tbl_raw[[#This Row],[Discount_Pct]]*1.4)+(tbl_raw[[#This Row],[COD_Flag]]*0.35))</f>
        <v>0.154</v>
      </c>
    </row>
    <row r="645" spans="1:23" ht="22.8" x14ac:dyDescent="0.3">
      <c r="A645" s="22" t="s">
        <v>1674</v>
      </c>
      <c r="B645" s="23" t="s">
        <v>1567</v>
      </c>
      <c r="C645" s="23" t="s">
        <v>132</v>
      </c>
      <c r="D645" s="23" t="s">
        <v>175</v>
      </c>
      <c r="E645" s="23" t="s">
        <v>225</v>
      </c>
      <c r="F645" s="23" t="s">
        <v>1675</v>
      </c>
      <c r="G645" s="23" t="s">
        <v>120</v>
      </c>
      <c r="H645" s="23" t="s">
        <v>39</v>
      </c>
      <c r="I645" s="23">
        <v>18</v>
      </c>
      <c r="J645" s="24">
        <v>5983</v>
      </c>
      <c r="K645" s="24">
        <v>5504</v>
      </c>
      <c r="L645" s="25">
        <v>0.08</v>
      </c>
      <c r="M645" s="24">
        <v>3799</v>
      </c>
      <c r="N645" s="24">
        <f>(tbl_raw[[#This Row],[Selling_Price]]-tbl_raw[[#This Row],[Cost_Price]])*tbl_raw[[#This Row],[Units_Sold]]</f>
        <v>30690</v>
      </c>
      <c r="O645" s="25">
        <f>IFERROR((tbl_raw[[#This Row],[Selling_Price]]-tbl_raw[[#This Row],[Cost_Price]]) / tbl_raw[[#This Row],[Selling_Price]],0)</f>
        <v>0.30977470930232559</v>
      </c>
      <c r="P645" s="24">
        <v>32</v>
      </c>
      <c r="Q645" s="24">
        <f>tbl_raw[[#This Row],[Gross_Profit]]-(tbl_raw[[#This Row],[Shipping_Cost]]*tbl_raw[[#This Row],[Units_Sold]])</f>
        <v>30114</v>
      </c>
      <c r="R645" s="25">
        <f>IFERROR(tbl_raw[[#This Row],[Net_Profit]]/(tbl_raw[[#This Row],[Selling_Price]]*tbl_raw[[#This Row],[Units_Sold]]),0)</f>
        <v>0.30396075581395349</v>
      </c>
      <c r="S645" s="23" t="s">
        <v>107</v>
      </c>
      <c r="T645" s="23" t="s">
        <v>32</v>
      </c>
      <c r="U645" s="23">
        <f>IF(tbl_raw[[#This Row],[Order_Status]]="Returned",1,0)</f>
        <v>0</v>
      </c>
      <c r="V645" s="23">
        <f>IF(tbl_raw[[#This Row],[Payment_Method]]="COD",1,0)</f>
        <v>0</v>
      </c>
      <c r="W645" s="26">
        <f>MIN(1,(tbl_raw[[#This Row],[Discount_Pct]]*1.4)+(tbl_raw[[#This Row],[COD_Flag]]*0.35))</f>
        <v>0.11199999999999999</v>
      </c>
    </row>
    <row r="646" spans="1:23" ht="22.8" x14ac:dyDescent="0.3">
      <c r="A646" s="17" t="s">
        <v>1676</v>
      </c>
      <c r="B646" s="18" t="s">
        <v>408</v>
      </c>
      <c r="C646" s="18" t="s">
        <v>35</v>
      </c>
      <c r="D646" s="18" t="s">
        <v>26</v>
      </c>
      <c r="E646" s="18" t="s">
        <v>36</v>
      </c>
      <c r="F646" s="18" t="s">
        <v>1677</v>
      </c>
      <c r="G646" s="18" t="s">
        <v>75</v>
      </c>
      <c r="H646" s="18" t="s">
        <v>48</v>
      </c>
      <c r="I646" s="18">
        <v>2</v>
      </c>
      <c r="J646" s="19">
        <v>6725</v>
      </c>
      <c r="K646" s="19">
        <v>4237</v>
      </c>
      <c r="L646" s="20">
        <v>0.37</v>
      </c>
      <c r="M646" s="19">
        <v>4199</v>
      </c>
      <c r="N646" s="19">
        <f>(tbl_raw[[#This Row],[Selling_Price]]-tbl_raw[[#This Row],[Cost_Price]])*tbl_raw[[#This Row],[Units_Sold]]</f>
        <v>76</v>
      </c>
      <c r="O646" s="20">
        <f>IFERROR((tbl_raw[[#This Row],[Selling_Price]]-tbl_raw[[#This Row],[Cost_Price]]) / tbl_raw[[#This Row],[Selling_Price]],0)</f>
        <v>8.9686098654708519E-3</v>
      </c>
      <c r="P646" s="19">
        <v>137</v>
      </c>
      <c r="Q646" s="19">
        <f>tbl_raw[[#This Row],[Gross_Profit]]-(tbl_raw[[#This Row],[Shipping_Cost]]*tbl_raw[[#This Row],[Units_Sold]])</f>
        <v>-198</v>
      </c>
      <c r="R646" s="20">
        <f>IFERROR(tbl_raw[[#This Row],[Net_Profit]]/(tbl_raw[[#This Row],[Selling_Price]]*tbl_raw[[#This Row],[Units_Sold]]),0)</f>
        <v>-2.3365588860042481E-2</v>
      </c>
      <c r="S646" s="18" t="s">
        <v>58</v>
      </c>
      <c r="T646" s="18" t="s">
        <v>32</v>
      </c>
      <c r="U646" s="18">
        <f>IF(tbl_raw[[#This Row],[Order_Status]]="Returned",1,0)</f>
        <v>0</v>
      </c>
      <c r="V646" s="18">
        <f>IF(tbl_raw[[#This Row],[Payment_Method]]="COD",1,0)</f>
        <v>0</v>
      </c>
      <c r="W646" s="21">
        <f>MIN(1,(tbl_raw[[#This Row],[Discount_Pct]]*1.4)+(tbl_raw[[#This Row],[COD_Flag]]*0.35))</f>
        <v>0.51800000000000002</v>
      </c>
    </row>
    <row r="647" spans="1:23" ht="22.8" x14ac:dyDescent="0.3">
      <c r="A647" s="22" t="s">
        <v>1678</v>
      </c>
      <c r="B647" s="23" t="s">
        <v>1567</v>
      </c>
      <c r="C647" s="23" t="s">
        <v>132</v>
      </c>
      <c r="D647" s="23" t="s">
        <v>26</v>
      </c>
      <c r="E647" s="23" t="s">
        <v>125</v>
      </c>
      <c r="F647" s="23" t="s">
        <v>1679</v>
      </c>
      <c r="G647" s="23" t="s">
        <v>47</v>
      </c>
      <c r="H647" s="23" t="s">
        <v>48</v>
      </c>
      <c r="I647" s="23">
        <v>7</v>
      </c>
      <c r="J647" s="24">
        <v>7445</v>
      </c>
      <c r="K647" s="24">
        <v>6179</v>
      </c>
      <c r="L647" s="25">
        <v>0.17</v>
      </c>
      <c r="M647" s="24">
        <v>3600</v>
      </c>
      <c r="N647" s="24">
        <f>(tbl_raw[[#This Row],[Selling_Price]]-tbl_raw[[#This Row],[Cost_Price]])*tbl_raw[[#This Row],[Units_Sold]]</f>
        <v>18053</v>
      </c>
      <c r="O647" s="25">
        <f>IFERROR((tbl_raw[[#This Row],[Selling_Price]]-tbl_raw[[#This Row],[Cost_Price]]) / tbl_raw[[#This Row],[Selling_Price]],0)</f>
        <v>0.41738145330959703</v>
      </c>
      <c r="P647" s="24">
        <v>44</v>
      </c>
      <c r="Q647" s="24">
        <f>tbl_raw[[#This Row],[Gross_Profit]]-(tbl_raw[[#This Row],[Shipping_Cost]]*tbl_raw[[#This Row],[Units_Sold]])</f>
        <v>17745</v>
      </c>
      <c r="R647" s="25">
        <f>IFERROR(tbl_raw[[#This Row],[Net_Profit]]/(tbl_raw[[#This Row],[Selling_Price]]*tbl_raw[[#This Row],[Units_Sold]]),0)</f>
        <v>0.41026055996115879</v>
      </c>
      <c r="S647" s="23" t="s">
        <v>31</v>
      </c>
      <c r="T647" s="23" t="s">
        <v>32</v>
      </c>
      <c r="U647" s="23">
        <f>IF(tbl_raw[[#This Row],[Order_Status]]="Returned",1,0)</f>
        <v>0</v>
      </c>
      <c r="V647" s="23">
        <f>IF(tbl_raw[[#This Row],[Payment_Method]]="COD",1,0)</f>
        <v>0</v>
      </c>
      <c r="W647" s="26">
        <f>MIN(1,(tbl_raw[[#This Row],[Discount_Pct]]*1.4)+(tbl_raw[[#This Row],[COD_Flag]]*0.35))</f>
        <v>0.23799999999999999</v>
      </c>
    </row>
    <row r="648" spans="1:23" ht="22.8" x14ac:dyDescent="0.3">
      <c r="A648" s="17" t="s">
        <v>1680</v>
      </c>
      <c r="B648" s="18" t="s">
        <v>935</v>
      </c>
      <c r="C648" s="18" t="s">
        <v>35</v>
      </c>
      <c r="D648" s="18" t="s">
        <v>175</v>
      </c>
      <c r="E648" s="18" t="s">
        <v>225</v>
      </c>
      <c r="F648" s="18" t="s">
        <v>1681</v>
      </c>
      <c r="G648" s="18" t="s">
        <v>81</v>
      </c>
      <c r="H648" s="18" t="s">
        <v>30</v>
      </c>
      <c r="I648" s="18">
        <v>6</v>
      </c>
      <c r="J648" s="19">
        <v>543</v>
      </c>
      <c r="K648" s="19">
        <v>418</v>
      </c>
      <c r="L648" s="20">
        <v>0.23</v>
      </c>
      <c r="M648" s="19">
        <v>372</v>
      </c>
      <c r="N648" s="19">
        <f>(tbl_raw[[#This Row],[Selling_Price]]-tbl_raw[[#This Row],[Cost_Price]])*tbl_raw[[#This Row],[Units_Sold]]</f>
        <v>276</v>
      </c>
      <c r="O648" s="20">
        <f>IFERROR((tbl_raw[[#This Row],[Selling_Price]]-tbl_raw[[#This Row],[Cost_Price]]) / tbl_raw[[#This Row],[Selling_Price]],0)</f>
        <v>0.11004784688995216</v>
      </c>
      <c r="P648" s="19">
        <v>78</v>
      </c>
      <c r="Q648" s="19">
        <f>tbl_raw[[#This Row],[Gross_Profit]]-(tbl_raw[[#This Row],[Shipping_Cost]]*tbl_raw[[#This Row],[Units_Sold]])</f>
        <v>-192</v>
      </c>
      <c r="R648" s="20">
        <f>IFERROR(tbl_raw[[#This Row],[Net_Profit]]/(tbl_raw[[#This Row],[Selling_Price]]*tbl_raw[[#This Row],[Units_Sold]]),0)</f>
        <v>-7.6555023923444973E-2</v>
      </c>
      <c r="S648" s="18" t="s">
        <v>40</v>
      </c>
      <c r="T648" s="18" t="s">
        <v>49</v>
      </c>
      <c r="U648" s="18">
        <f>IF(tbl_raw[[#This Row],[Order_Status]]="Returned",1,0)</f>
        <v>0</v>
      </c>
      <c r="V648" s="18">
        <f>IF(tbl_raw[[#This Row],[Payment_Method]]="COD",1,0)</f>
        <v>1</v>
      </c>
      <c r="W648" s="21">
        <f>MIN(1,(tbl_raw[[#This Row],[Discount_Pct]]*1.4)+(tbl_raw[[#This Row],[COD_Flag]]*0.35))</f>
        <v>0.67199999999999993</v>
      </c>
    </row>
    <row r="649" spans="1:23" ht="22.8" x14ac:dyDescent="0.3">
      <c r="A649" s="22" t="s">
        <v>1682</v>
      </c>
      <c r="B649" s="23" t="s">
        <v>940</v>
      </c>
      <c r="C649" s="23" t="s">
        <v>52</v>
      </c>
      <c r="D649" s="23" t="s">
        <v>175</v>
      </c>
      <c r="E649" s="23" t="s">
        <v>225</v>
      </c>
      <c r="F649" s="23" t="s">
        <v>1683</v>
      </c>
      <c r="G649" s="23" t="s">
        <v>120</v>
      </c>
      <c r="H649" s="23" t="s">
        <v>39</v>
      </c>
      <c r="I649" s="23">
        <v>12</v>
      </c>
      <c r="J649" s="24">
        <v>2722</v>
      </c>
      <c r="K649" s="24">
        <v>2695</v>
      </c>
      <c r="L649" s="25">
        <v>0.01</v>
      </c>
      <c r="M649" s="24">
        <v>1712</v>
      </c>
      <c r="N649" s="24">
        <f>(tbl_raw[[#This Row],[Selling_Price]]-tbl_raw[[#This Row],[Cost_Price]])*tbl_raw[[#This Row],[Units_Sold]]</f>
        <v>11796</v>
      </c>
      <c r="O649" s="25">
        <f>IFERROR((tbl_raw[[#This Row],[Selling_Price]]-tbl_raw[[#This Row],[Cost_Price]]) / tbl_raw[[#This Row],[Selling_Price]],0)</f>
        <v>0.36474953617810763</v>
      </c>
      <c r="P649" s="24">
        <v>32</v>
      </c>
      <c r="Q649" s="24">
        <f>tbl_raw[[#This Row],[Gross_Profit]]-(tbl_raw[[#This Row],[Shipping_Cost]]*tbl_raw[[#This Row],[Units_Sold]])</f>
        <v>11412</v>
      </c>
      <c r="R649" s="25">
        <f>IFERROR(tbl_raw[[#This Row],[Net_Profit]]/(tbl_raw[[#This Row],[Selling_Price]]*tbl_raw[[#This Row],[Units_Sold]]),0)</f>
        <v>0.35287569573283861</v>
      </c>
      <c r="S649" s="23" t="s">
        <v>40</v>
      </c>
      <c r="T649" s="23" t="s">
        <v>32</v>
      </c>
      <c r="U649" s="23">
        <f>IF(tbl_raw[[#This Row],[Order_Status]]="Returned",1,0)</f>
        <v>0</v>
      </c>
      <c r="V649" s="23">
        <f>IF(tbl_raw[[#This Row],[Payment_Method]]="COD",1,0)</f>
        <v>1</v>
      </c>
      <c r="W649" s="26">
        <f>MIN(1,(tbl_raw[[#This Row],[Discount_Pct]]*1.4)+(tbl_raw[[#This Row],[COD_Flag]]*0.35))</f>
        <v>0.36399999999999999</v>
      </c>
    </row>
    <row r="650" spans="1:23" ht="22.8" x14ac:dyDescent="0.3">
      <c r="A650" s="17" t="s">
        <v>1684</v>
      </c>
      <c r="B650" s="18" t="s">
        <v>530</v>
      </c>
      <c r="C650" s="18" t="s">
        <v>99</v>
      </c>
      <c r="D650" s="18" t="s">
        <v>44</v>
      </c>
      <c r="E650" s="18" t="s">
        <v>45</v>
      </c>
      <c r="F650" s="18" t="s">
        <v>1685</v>
      </c>
      <c r="G650" s="18" t="s">
        <v>29</v>
      </c>
      <c r="H650" s="18" t="s">
        <v>30</v>
      </c>
      <c r="I650" s="18">
        <v>14</v>
      </c>
      <c r="J650" s="19">
        <v>2552</v>
      </c>
      <c r="K650" s="19">
        <v>1863</v>
      </c>
      <c r="L650" s="20">
        <v>0.27</v>
      </c>
      <c r="M650" s="19">
        <v>1899</v>
      </c>
      <c r="N650" s="19">
        <f>(tbl_raw[[#This Row],[Selling_Price]]-tbl_raw[[#This Row],[Cost_Price]])*tbl_raw[[#This Row],[Units_Sold]]</f>
        <v>-504</v>
      </c>
      <c r="O650" s="20">
        <f>IFERROR((tbl_raw[[#This Row],[Selling_Price]]-tbl_raw[[#This Row],[Cost_Price]]) / tbl_raw[[#This Row],[Selling_Price]],0)</f>
        <v>-1.932367149758454E-2</v>
      </c>
      <c r="P650" s="19">
        <v>45</v>
      </c>
      <c r="Q650" s="19">
        <f>tbl_raw[[#This Row],[Gross_Profit]]-(tbl_raw[[#This Row],[Shipping_Cost]]*tbl_raw[[#This Row],[Units_Sold]])</f>
        <v>-1134</v>
      </c>
      <c r="R650" s="20">
        <f>IFERROR(tbl_raw[[#This Row],[Net_Profit]]/(tbl_raw[[#This Row],[Selling_Price]]*tbl_raw[[#This Row],[Units_Sold]]),0)</f>
        <v>-4.3478260869565216E-2</v>
      </c>
      <c r="S650" s="18" t="s">
        <v>65</v>
      </c>
      <c r="T650" s="18" t="s">
        <v>49</v>
      </c>
      <c r="U650" s="18">
        <f>IF(tbl_raw[[#This Row],[Order_Status]]="Returned",1,0)</f>
        <v>0</v>
      </c>
      <c r="V650" s="18">
        <f>IF(tbl_raw[[#This Row],[Payment_Method]]="COD",1,0)</f>
        <v>0</v>
      </c>
      <c r="W650" s="21">
        <f>MIN(1,(tbl_raw[[#This Row],[Discount_Pct]]*1.4)+(tbl_raw[[#This Row],[COD_Flag]]*0.35))</f>
        <v>0.378</v>
      </c>
    </row>
    <row r="651" spans="1:23" ht="22.8" x14ac:dyDescent="0.3">
      <c r="A651" s="22" t="s">
        <v>1686</v>
      </c>
      <c r="B651" s="23" t="s">
        <v>1285</v>
      </c>
      <c r="C651" s="23" t="s">
        <v>199</v>
      </c>
      <c r="D651" s="23" t="s">
        <v>53</v>
      </c>
      <c r="E651" s="23" t="s">
        <v>149</v>
      </c>
      <c r="F651" s="23" t="s">
        <v>1687</v>
      </c>
      <c r="G651" s="23" t="s">
        <v>56</v>
      </c>
      <c r="H651" s="23" t="s">
        <v>57</v>
      </c>
      <c r="I651" s="23">
        <v>13</v>
      </c>
      <c r="J651" s="24">
        <v>5488</v>
      </c>
      <c r="K651" s="24">
        <v>3073</v>
      </c>
      <c r="L651" s="25">
        <v>0.44</v>
      </c>
      <c r="M651" s="24">
        <v>3528</v>
      </c>
      <c r="N651" s="24">
        <f>(tbl_raw[[#This Row],[Selling_Price]]-tbl_raw[[#This Row],[Cost_Price]])*tbl_raw[[#This Row],[Units_Sold]]</f>
        <v>-5915</v>
      </c>
      <c r="O651" s="25">
        <f>IFERROR((tbl_raw[[#This Row],[Selling_Price]]-tbl_raw[[#This Row],[Cost_Price]]) / tbl_raw[[#This Row],[Selling_Price]],0)</f>
        <v>-0.1480637813211845</v>
      </c>
      <c r="P651" s="24">
        <v>80</v>
      </c>
      <c r="Q651" s="24">
        <f>tbl_raw[[#This Row],[Gross_Profit]]-(tbl_raw[[#This Row],[Shipping_Cost]]*tbl_raw[[#This Row],[Units_Sold]])</f>
        <v>-6955</v>
      </c>
      <c r="R651" s="25">
        <f>IFERROR(tbl_raw[[#This Row],[Net_Profit]]/(tbl_raw[[#This Row],[Selling_Price]]*tbl_raw[[#This Row],[Units_Sold]]),0)</f>
        <v>-0.17409697364139279</v>
      </c>
      <c r="S651" s="23" t="s">
        <v>107</v>
      </c>
      <c r="T651" s="23" t="s">
        <v>32</v>
      </c>
      <c r="U651" s="23">
        <f>IF(tbl_raw[[#This Row],[Order_Status]]="Returned",1,0)</f>
        <v>0</v>
      </c>
      <c r="V651" s="23">
        <f>IF(tbl_raw[[#This Row],[Payment_Method]]="COD",1,0)</f>
        <v>0</v>
      </c>
      <c r="W651" s="26">
        <f>MIN(1,(tbl_raw[[#This Row],[Discount_Pct]]*1.4)+(tbl_raw[[#This Row],[COD_Flag]]*0.35))</f>
        <v>0.61599999999999999</v>
      </c>
    </row>
    <row r="652" spans="1:23" ht="22.8" x14ac:dyDescent="0.3">
      <c r="A652" s="17" t="s">
        <v>1688</v>
      </c>
      <c r="B652" s="18" t="s">
        <v>611</v>
      </c>
      <c r="C652" s="18" t="s">
        <v>72</v>
      </c>
      <c r="D652" s="18" t="s">
        <v>26</v>
      </c>
      <c r="E652" s="18" t="s">
        <v>36</v>
      </c>
      <c r="F652" s="18" t="s">
        <v>1689</v>
      </c>
      <c r="G652" s="18" t="s">
        <v>75</v>
      </c>
      <c r="H652" s="18" t="s">
        <v>48</v>
      </c>
      <c r="I652" s="18">
        <v>13</v>
      </c>
      <c r="J652" s="19">
        <v>4186</v>
      </c>
      <c r="K652" s="19">
        <v>2805</v>
      </c>
      <c r="L652" s="20">
        <v>0.33</v>
      </c>
      <c r="M652" s="19">
        <v>2412</v>
      </c>
      <c r="N652" s="19">
        <f>(tbl_raw[[#This Row],[Selling_Price]]-tbl_raw[[#This Row],[Cost_Price]])*tbl_raw[[#This Row],[Units_Sold]]</f>
        <v>5109</v>
      </c>
      <c r="O652" s="20">
        <f>IFERROR((tbl_raw[[#This Row],[Selling_Price]]-tbl_raw[[#This Row],[Cost_Price]]) / tbl_raw[[#This Row],[Selling_Price]],0)</f>
        <v>0.14010695187165775</v>
      </c>
      <c r="P652" s="19">
        <v>136</v>
      </c>
      <c r="Q652" s="19">
        <f>tbl_raw[[#This Row],[Gross_Profit]]-(tbl_raw[[#This Row],[Shipping_Cost]]*tbl_raw[[#This Row],[Units_Sold]])</f>
        <v>3341</v>
      </c>
      <c r="R652" s="20">
        <f>IFERROR(tbl_raw[[#This Row],[Net_Profit]]/(tbl_raw[[#This Row],[Selling_Price]]*tbl_raw[[#This Row],[Units_Sold]]),0)</f>
        <v>9.1622103386809275E-2</v>
      </c>
      <c r="S652" s="18" t="s">
        <v>58</v>
      </c>
      <c r="T652" s="18" t="s">
        <v>32</v>
      </c>
      <c r="U652" s="18">
        <f>IF(tbl_raw[[#This Row],[Order_Status]]="Returned",1,0)</f>
        <v>0</v>
      </c>
      <c r="V652" s="18">
        <f>IF(tbl_raw[[#This Row],[Payment_Method]]="COD",1,0)</f>
        <v>0</v>
      </c>
      <c r="W652" s="21">
        <f>MIN(1,(tbl_raw[[#This Row],[Discount_Pct]]*1.4)+(tbl_raw[[#This Row],[COD_Flag]]*0.35))</f>
        <v>0.46199999999999997</v>
      </c>
    </row>
    <row r="653" spans="1:23" ht="22.8" x14ac:dyDescent="0.3">
      <c r="A653" s="22" t="s">
        <v>1690</v>
      </c>
      <c r="B653" s="23" t="s">
        <v>949</v>
      </c>
      <c r="C653" s="23" t="s">
        <v>72</v>
      </c>
      <c r="D653" s="23" t="s">
        <v>94</v>
      </c>
      <c r="E653" s="23" t="s">
        <v>310</v>
      </c>
      <c r="F653" s="23" t="s">
        <v>1691</v>
      </c>
      <c r="G653" s="23" t="s">
        <v>29</v>
      </c>
      <c r="H653" s="23" t="s">
        <v>30</v>
      </c>
      <c r="I653" s="23">
        <v>20</v>
      </c>
      <c r="J653" s="24">
        <v>819</v>
      </c>
      <c r="K653" s="24">
        <v>770</v>
      </c>
      <c r="L653" s="25">
        <v>0.06</v>
      </c>
      <c r="M653" s="24">
        <v>471</v>
      </c>
      <c r="N653" s="24">
        <f>(tbl_raw[[#This Row],[Selling_Price]]-tbl_raw[[#This Row],[Cost_Price]])*tbl_raw[[#This Row],[Units_Sold]]</f>
        <v>5980</v>
      </c>
      <c r="O653" s="25">
        <f>IFERROR((tbl_raw[[#This Row],[Selling_Price]]-tbl_raw[[#This Row],[Cost_Price]]) / tbl_raw[[#This Row],[Selling_Price]],0)</f>
        <v>0.38831168831168833</v>
      </c>
      <c r="P653" s="24">
        <v>60</v>
      </c>
      <c r="Q653" s="24">
        <f>tbl_raw[[#This Row],[Gross_Profit]]-(tbl_raw[[#This Row],[Shipping_Cost]]*tbl_raw[[#This Row],[Units_Sold]])</f>
        <v>4780</v>
      </c>
      <c r="R653" s="25">
        <f>IFERROR(tbl_raw[[#This Row],[Net_Profit]]/(tbl_raw[[#This Row],[Selling_Price]]*tbl_raw[[#This Row],[Units_Sold]]),0)</f>
        <v>0.31038961038961038</v>
      </c>
      <c r="S653" s="23" t="s">
        <v>31</v>
      </c>
      <c r="T653" s="23" t="s">
        <v>32</v>
      </c>
      <c r="U653" s="23">
        <f>IF(tbl_raw[[#This Row],[Order_Status]]="Returned",1,0)</f>
        <v>0</v>
      </c>
      <c r="V653" s="23">
        <f>IF(tbl_raw[[#This Row],[Payment_Method]]="COD",1,0)</f>
        <v>0</v>
      </c>
      <c r="W653" s="26">
        <f>MIN(1,(tbl_raw[[#This Row],[Discount_Pct]]*1.4)+(tbl_raw[[#This Row],[COD_Flag]]*0.35))</f>
        <v>8.3999999999999991E-2</v>
      </c>
    </row>
    <row r="654" spans="1:23" ht="22.8" x14ac:dyDescent="0.3">
      <c r="A654" s="17" t="s">
        <v>1692</v>
      </c>
      <c r="B654" s="18" t="s">
        <v>704</v>
      </c>
      <c r="C654" s="18" t="s">
        <v>156</v>
      </c>
      <c r="D654" s="18" t="s">
        <v>62</v>
      </c>
      <c r="E654" s="18" t="s">
        <v>63</v>
      </c>
      <c r="F654" s="18" t="s">
        <v>1693</v>
      </c>
      <c r="G654" s="18" t="s">
        <v>143</v>
      </c>
      <c r="H654" s="18" t="s">
        <v>30</v>
      </c>
      <c r="I654" s="18">
        <v>11</v>
      </c>
      <c r="J654" s="19">
        <v>5220</v>
      </c>
      <c r="K654" s="19">
        <v>3445</v>
      </c>
      <c r="L654" s="20">
        <v>0.34</v>
      </c>
      <c r="M654" s="19">
        <v>3040</v>
      </c>
      <c r="N654" s="19">
        <f>(tbl_raw[[#This Row],[Selling_Price]]-tbl_raw[[#This Row],[Cost_Price]])*tbl_raw[[#This Row],[Units_Sold]]</f>
        <v>4455</v>
      </c>
      <c r="O654" s="20">
        <f>IFERROR((tbl_raw[[#This Row],[Selling_Price]]-tbl_raw[[#This Row],[Cost_Price]]) / tbl_raw[[#This Row],[Selling_Price]],0)</f>
        <v>0.11756168359941944</v>
      </c>
      <c r="P654" s="19">
        <v>177</v>
      </c>
      <c r="Q654" s="19">
        <f>tbl_raw[[#This Row],[Gross_Profit]]-(tbl_raw[[#This Row],[Shipping_Cost]]*tbl_raw[[#This Row],[Units_Sold]])</f>
        <v>2508</v>
      </c>
      <c r="R654" s="20">
        <f>IFERROR(tbl_raw[[#This Row],[Net_Profit]]/(tbl_raw[[#This Row],[Selling_Price]]*tbl_raw[[#This Row],[Units_Sold]]),0)</f>
        <v>6.6182873730043543E-2</v>
      </c>
      <c r="S654" s="18" t="s">
        <v>107</v>
      </c>
      <c r="T654" s="18" t="s">
        <v>32</v>
      </c>
      <c r="U654" s="18">
        <f>IF(tbl_raw[[#This Row],[Order_Status]]="Returned",1,0)</f>
        <v>0</v>
      </c>
      <c r="V654" s="18">
        <f>IF(tbl_raw[[#This Row],[Payment_Method]]="COD",1,0)</f>
        <v>0</v>
      </c>
      <c r="W654" s="21">
        <f>MIN(1,(tbl_raw[[#This Row],[Discount_Pct]]*1.4)+(tbl_raw[[#This Row],[COD_Flag]]*0.35))</f>
        <v>0.47599999999999998</v>
      </c>
    </row>
    <row r="655" spans="1:23" ht="22.8" x14ac:dyDescent="0.3">
      <c r="A655" s="22" t="s">
        <v>1694</v>
      </c>
      <c r="B655" s="23" t="s">
        <v>1318</v>
      </c>
      <c r="C655" s="23" t="s">
        <v>156</v>
      </c>
      <c r="D655" s="23" t="s">
        <v>44</v>
      </c>
      <c r="E655" s="23" t="s">
        <v>73</v>
      </c>
      <c r="F655" s="23" t="s">
        <v>1695</v>
      </c>
      <c r="G655" s="23" t="s">
        <v>38</v>
      </c>
      <c r="H655" s="23" t="s">
        <v>39</v>
      </c>
      <c r="I655" s="23">
        <v>2</v>
      </c>
      <c r="J655" s="24">
        <v>7272</v>
      </c>
      <c r="K655" s="24">
        <v>5090</v>
      </c>
      <c r="L655" s="25">
        <v>0.3</v>
      </c>
      <c r="M655" s="24">
        <v>3541</v>
      </c>
      <c r="N655" s="24">
        <f>(tbl_raw[[#This Row],[Selling_Price]]-tbl_raw[[#This Row],[Cost_Price]])*tbl_raw[[#This Row],[Units_Sold]]</f>
        <v>3098</v>
      </c>
      <c r="O655" s="25">
        <f>IFERROR((tbl_raw[[#This Row],[Selling_Price]]-tbl_raw[[#This Row],[Cost_Price]]) / tbl_raw[[#This Row],[Selling_Price]],0)</f>
        <v>0.30432220039292729</v>
      </c>
      <c r="P655" s="24">
        <v>133</v>
      </c>
      <c r="Q655" s="24">
        <f>tbl_raw[[#This Row],[Gross_Profit]]-(tbl_raw[[#This Row],[Shipping_Cost]]*tbl_raw[[#This Row],[Units_Sold]])</f>
        <v>2832</v>
      </c>
      <c r="R655" s="25">
        <f>IFERROR(tbl_raw[[#This Row],[Net_Profit]]/(tbl_raw[[#This Row],[Selling_Price]]*tbl_raw[[#This Row],[Units_Sold]]),0)</f>
        <v>0.2781925343811395</v>
      </c>
      <c r="S655" s="23" t="s">
        <v>40</v>
      </c>
      <c r="T655" s="23" t="s">
        <v>32</v>
      </c>
      <c r="U655" s="23">
        <f>IF(tbl_raw[[#This Row],[Order_Status]]="Returned",1,0)</f>
        <v>0</v>
      </c>
      <c r="V655" s="23">
        <f>IF(tbl_raw[[#This Row],[Payment_Method]]="COD",1,0)</f>
        <v>1</v>
      </c>
      <c r="W655" s="26">
        <f>MIN(1,(tbl_raw[[#This Row],[Discount_Pct]]*1.4)+(tbl_raw[[#This Row],[COD_Flag]]*0.35))</f>
        <v>0.77</v>
      </c>
    </row>
    <row r="656" spans="1:23" ht="22.8" x14ac:dyDescent="0.3">
      <c r="A656" s="17" t="s">
        <v>1696</v>
      </c>
      <c r="B656" s="18" t="s">
        <v>224</v>
      </c>
      <c r="C656" s="18" t="s">
        <v>89</v>
      </c>
      <c r="D656" s="18" t="s">
        <v>62</v>
      </c>
      <c r="E656" s="18" t="s">
        <v>110</v>
      </c>
      <c r="F656" s="18" t="s">
        <v>1697</v>
      </c>
      <c r="G656" s="18" t="s">
        <v>75</v>
      </c>
      <c r="H656" s="18" t="s">
        <v>48</v>
      </c>
      <c r="I656" s="18">
        <v>3</v>
      </c>
      <c r="J656" s="19">
        <v>7639</v>
      </c>
      <c r="K656" s="19">
        <v>7486</v>
      </c>
      <c r="L656" s="20">
        <v>0.02</v>
      </c>
      <c r="M656" s="19">
        <v>5708</v>
      </c>
      <c r="N656" s="19">
        <f>(tbl_raw[[#This Row],[Selling_Price]]-tbl_raw[[#This Row],[Cost_Price]])*tbl_raw[[#This Row],[Units_Sold]]</f>
        <v>5334</v>
      </c>
      <c r="O656" s="20">
        <f>IFERROR((tbl_raw[[#This Row],[Selling_Price]]-tbl_raw[[#This Row],[Cost_Price]]) / tbl_raw[[#This Row],[Selling_Price]],0)</f>
        <v>0.23751001870157629</v>
      </c>
      <c r="P656" s="19">
        <v>171</v>
      </c>
      <c r="Q656" s="19">
        <f>tbl_raw[[#This Row],[Gross_Profit]]-(tbl_raw[[#This Row],[Shipping_Cost]]*tbl_raw[[#This Row],[Units_Sold]])</f>
        <v>4821</v>
      </c>
      <c r="R656" s="20">
        <f>IFERROR(tbl_raw[[#This Row],[Net_Profit]]/(tbl_raw[[#This Row],[Selling_Price]]*tbl_raw[[#This Row],[Units_Sold]]),0)</f>
        <v>0.21466737910766764</v>
      </c>
      <c r="S656" s="18" t="s">
        <v>40</v>
      </c>
      <c r="T656" s="18" t="s">
        <v>32</v>
      </c>
      <c r="U656" s="18">
        <f>IF(tbl_raw[[#This Row],[Order_Status]]="Returned",1,0)</f>
        <v>0</v>
      </c>
      <c r="V656" s="18">
        <f>IF(tbl_raw[[#This Row],[Payment_Method]]="COD",1,0)</f>
        <v>1</v>
      </c>
      <c r="W656" s="21">
        <f>MIN(1,(tbl_raw[[#This Row],[Discount_Pct]]*1.4)+(tbl_raw[[#This Row],[COD_Flag]]*0.35))</f>
        <v>0.378</v>
      </c>
    </row>
    <row r="657" spans="1:23" ht="22.8" x14ac:dyDescent="0.3">
      <c r="A657" s="22" t="s">
        <v>1698</v>
      </c>
      <c r="B657" s="23" t="s">
        <v>1102</v>
      </c>
      <c r="C657" s="23" t="s">
        <v>35</v>
      </c>
      <c r="D657" s="23" t="s">
        <v>175</v>
      </c>
      <c r="E657" s="23" t="s">
        <v>149</v>
      </c>
      <c r="F657" s="23" t="s">
        <v>1699</v>
      </c>
      <c r="G657" s="23" t="s">
        <v>75</v>
      </c>
      <c r="H657" s="23" t="s">
        <v>48</v>
      </c>
      <c r="I657" s="23">
        <v>10</v>
      </c>
      <c r="J657" s="24">
        <v>1480</v>
      </c>
      <c r="K657" s="24">
        <v>1347</v>
      </c>
      <c r="L657" s="25">
        <v>0.09</v>
      </c>
      <c r="M657" s="24">
        <v>812</v>
      </c>
      <c r="N657" s="24">
        <f>(tbl_raw[[#This Row],[Selling_Price]]-tbl_raw[[#This Row],[Cost_Price]])*tbl_raw[[#This Row],[Units_Sold]]</f>
        <v>5350</v>
      </c>
      <c r="O657" s="25">
        <f>IFERROR((tbl_raw[[#This Row],[Selling_Price]]-tbl_raw[[#This Row],[Cost_Price]]) / tbl_raw[[#This Row],[Selling_Price]],0)</f>
        <v>0.39717891610987377</v>
      </c>
      <c r="P657" s="24">
        <v>121</v>
      </c>
      <c r="Q657" s="24">
        <f>tbl_raw[[#This Row],[Gross_Profit]]-(tbl_raw[[#This Row],[Shipping_Cost]]*tbl_raw[[#This Row],[Units_Sold]])</f>
        <v>4140</v>
      </c>
      <c r="R657" s="25">
        <f>IFERROR(tbl_raw[[#This Row],[Net_Profit]]/(tbl_raw[[#This Row],[Selling_Price]]*tbl_raw[[#This Row],[Units_Sold]]),0)</f>
        <v>0.30734966592427615</v>
      </c>
      <c r="S657" s="23" t="s">
        <v>107</v>
      </c>
      <c r="T657" s="23" t="s">
        <v>32</v>
      </c>
      <c r="U657" s="23">
        <f>IF(tbl_raw[[#This Row],[Order_Status]]="Returned",1,0)</f>
        <v>0</v>
      </c>
      <c r="V657" s="23">
        <f>IF(tbl_raw[[#This Row],[Payment_Method]]="COD",1,0)</f>
        <v>0</v>
      </c>
      <c r="W657" s="26">
        <f>MIN(1,(tbl_raw[[#This Row],[Discount_Pct]]*1.4)+(tbl_raw[[#This Row],[COD_Flag]]*0.35))</f>
        <v>0.126</v>
      </c>
    </row>
    <row r="658" spans="1:23" ht="22.8" x14ac:dyDescent="0.3">
      <c r="A658" s="17" t="s">
        <v>1700</v>
      </c>
      <c r="B658" s="18" t="s">
        <v>405</v>
      </c>
      <c r="C658" s="18" t="s">
        <v>25</v>
      </c>
      <c r="D658" s="18" t="s">
        <v>53</v>
      </c>
      <c r="E658" s="18" t="s">
        <v>90</v>
      </c>
      <c r="F658" s="18" t="s">
        <v>1701</v>
      </c>
      <c r="G658" s="18" t="s">
        <v>56</v>
      </c>
      <c r="H658" s="18" t="s">
        <v>57</v>
      </c>
      <c r="I658" s="18">
        <v>13</v>
      </c>
      <c r="J658" s="19">
        <v>3146</v>
      </c>
      <c r="K658" s="19">
        <v>2485</v>
      </c>
      <c r="L658" s="20">
        <v>0.21</v>
      </c>
      <c r="M658" s="19">
        <v>1724</v>
      </c>
      <c r="N658" s="19">
        <f>(tbl_raw[[#This Row],[Selling_Price]]-tbl_raw[[#This Row],[Cost_Price]])*tbl_raw[[#This Row],[Units_Sold]]</f>
        <v>9893</v>
      </c>
      <c r="O658" s="20">
        <f>IFERROR((tbl_raw[[#This Row],[Selling_Price]]-tbl_raw[[#This Row],[Cost_Price]]) / tbl_raw[[#This Row],[Selling_Price]],0)</f>
        <v>0.3062374245472837</v>
      </c>
      <c r="P658" s="19">
        <v>121</v>
      </c>
      <c r="Q658" s="19">
        <f>tbl_raw[[#This Row],[Gross_Profit]]-(tbl_raw[[#This Row],[Shipping_Cost]]*tbl_raw[[#This Row],[Units_Sold]])</f>
        <v>8320</v>
      </c>
      <c r="R658" s="20">
        <f>IFERROR(tbl_raw[[#This Row],[Net_Profit]]/(tbl_raw[[#This Row],[Selling_Price]]*tbl_raw[[#This Row],[Units_Sold]]),0)</f>
        <v>0.25754527162977869</v>
      </c>
      <c r="S658" s="18" t="s">
        <v>31</v>
      </c>
      <c r="T658" s="18" t="s">
        <v>86</v>
      </c>
      <c r="U658" s="18">
        <f>IF(tbl_raw[[#This Row],[Order_Status]]="Returned",1,0)</f>
        <v>1</v>
      </c>
      <c r="V658" s="18">
        <f>IF(tbl_raw[[#This Row],[Payment_Method]]="COD",1,0)</f>
        <v>0</v>
      </c>
      <c r="W658" s="21">
        <f>MIN(1,(tbl_raw[[#This Row],[Discount_Pct]]*1.4)+(tbl_raw[[#This Row],[COD_Flag]]*0.35))</f>
        <v>0.29399999999999998</v>
      </c>
    </row>
    <row r="659" spans="1:23" ht="22.8" x14ac:dyDescent="0.3">
      <c r="A659" s="22" t="s">
        <v>1702</v>
      </c>
      <c r="B659" s="23" t="s">
        <v>494</v>
      </c>
      <c r="C659" s="23" t="s">
        <v>117</v>
      </c>
      <c r="D659" s="23" t="s">
        <v>78</v>
      </c>
      <c r="E659" s="23" t="s">
        <v>534</v>
      </c>
      <c r="F659" s="23" t="s">
        <v>1703</v>
      </c>
      <c r="G659" s="23" t="s">
        <v>120</v>
      </c>
      <c r="H659" s="23" t="s">
        <v>39</v>
      </c>
      <c r="I659" s="23">
        <v>10</v>
      </c>
      <c r="J659" s="24">
        <v>4842</v>
      </c>
      <c r="K659" s="24">
        <v>4503</v>
      </c>
      <c r="L659" s="25">
        <v>7.0000000000000007E-2</v>
      </c>
      <c r="M659" s="24">
        <v>3168</v>
      </c>
      <c r="N659" s="24">
        <f>(tbl_raw[[#This Row],[Selling_Price]]-tbl_raw[[#This Row],[Cost_Price]])*tbl_raw[[#This Row],[Units_Sold]]</f>
        <v>13350</v>
      </c>
      <c r="O659" s="25">
        <f>IFERROR((tbl_raw[[#This Row],[Selling_Price]]-tbl_raw[[#This Row],[Cost_Price]]) / tbl_raw[[#This Row],[Selling_Price]],0)</f>
        <v>0.29646902065289804</v>
      </c>
      <c r="P659" s="24">
        <v>69</v>
      </c>
      <c r="Q659" s="24">
        <f>tbl_raw[[#This Row],[Gross_Profit]]-(tbl_raw[[#This Row],[Shipping_Cost]]*tbl_raw[[#This Row],[Units_Sold]])</f>
        <v>12660</v>
      </c>
      <c r="R659" s="25">
        <f>IFERROR(tbl_raw[[#This Row],[Net_Profit]]/(tbl_raw[[#This Row],[Selling_Price]]*tbl_raw[[#This Row],[Units_Sold]]),0)</f>
        <v>0.2811459027315123</v>
      </c>
      <c r="S659" s="23" t="s">
        <v>31</v>
      </c>
      <c r="T659" s="23" t="s">
        <v>32</v>
      </c>
      <c r="U659" s="23">
        <f>IF(tbl_raw[[#This Row],[Order_Status]]="Returned",1,0)</f>
        <v>0</v>
      </c>
      <c r="V659" s="23">
        <f>IF(tbl_raw[[#This Row],[Payment_Method]]="COD",1,0)</f>
        <v>0</v>
      </c>
      <c r="W659" s="26">
        <f>MIN(1,(tbl_raw[[#This Row],[Discount_Pct]]*1.4)+(tbl_raw[[#This Row],[COD_Flag]]*0.35))</f>
        <v>9.8000000000000004E-2</v>
      </c>
    </row>
    <row r="660" spans="1:23" ht="22.8" x14ac:dyDescent="0.3">
      <c r="A660" s="17" t="s">
        <v>1704</v>
      </c>
      <c r="B660" s="18" t="s">
        <v>1705</v>
      </c>
      <c r="C660" s="18" t="s">
        <v>105</v>
      </c>
      <c r="D660" s="18" t="s">
        <v>62</v>
      </c>
      <c r="E660" s="18" t="s">
        <v>110</v>
      </c>
      <c r="F660" s="18" t="s">
        <v>1706</v>
      </c>
      <c r="G660" s="18" t="s">
        <v>81</v>
      </c>
      <c r="H660" s="18" t="s">
        <v>30</v>
      </c>
      <c r="I660" s="18">
        <v>16</v>
      </c>
      <c r="J660" s="19">
        <v>1727</v>
      </c>
      <c r="K660" s="19">
        <v>1019</v>
      </c>
      <c r="L660" s="20">
        <v>0.41</v>
      </c>
      <c r="M660" s="19">
        <v>693</v>
      </c>
      <c r="N660" s="19">
        <f>(tbl_raw[[#This Row],[Selling_Price]]-tbl_raw[[#This Row],[Cost_Price]])*tbl_raw[[#This Row],[Units_Sold]]</f>
        <v>5216</v>
      </c>
      <c r="O660" s="20">
        <f>IFERROR((tbl_raw[[#This Row],[Selling_Price]]-tbl_raw[[#This Row],[Cost_Price]]) / tbl_raw[[#This Row],[Selling_Price]],0)</f>
        <v>0.31992149165848871</v>
      </c>
      <c r="P660" s="19">
        <v>159</v>
      </c>
      <c r="Q660" s="19">
        <f>tbl_raw[[#This Row],[Gross_Profit]]-(tbl_raw[[#This Row],[Shipping_Cost]]*tbl_raw[[#This Row],[Units_Sold]])</f>
        <v>2672</v>
      </c>
      <c r="R660" s="20">
        <f>IFERROR(tbl_raw[[#This Row],[Net_Profit]]/(tbl_raw[[#This Row],[Selling_Price]]*tbl_raw[[#This Row],[Units_Sold]]),0)</f>
        <v>0.16388616290480865</v>
      </c>
      <c r="S660" s="18" t="s">
        <v>107</v>
      </c>
      <c r="T660" s="18" t="s">
        <v>49</v>
      </c>
      <c r="U660" s="18">
        <f>IF(tbl_raw[[#This Row],[Order_Status]]="Returned",1,0)</f>
        <v>0</v>
      </c>
      <c r="V660" s="18">
        <f>IF(tbl_raw[[#This Row],[Payment_Method]]="COD",1,0)</f>
        <v>0</v>
      </c>
      <c r="W660" s="21">
        <f>MIN(1,(tbl_raw[[#This Row],[Discount_Pct]]*1.4)+(tbl_raw[[#This Row],[COD_Flag]]*0.35))</f>
        <v>0.57399999999999995</v>
      </c>
    </row>
    <row r="661" spans="1:23" ht="22.8" x14ac:dyDescent="0.3">
      <c r="A661" s="22" t="s">
        <v>1707</v>
      </c>
      <c r="B661" s="23" t="s">
        <v>1708</v>
      </c>
      <c r="C661" s="23" t="s">
        <v>52</v>
      </c>
      <c r="D661" s="23" t="s">
        <v>44</v>
      </c>
      <c r="E661" s="23" t="s">
        <v>275</v>
      </c>
      <c r="F661" s="23" t="s">
        <v>1709</v>
      </c>
      <c r="G661" s="23" t="s">
        <v>143</v>
      </c>
      <c r="H661" s="23" t="s">
        <v>30</v>
      </c>
      <c r="I661" s="23">
        <v>19</v>
      </c>
      <c r="J661" s="24">
        <v>756</v>
      </c>
      <c r="K661" s="24">
        <v>454</v>
      </c>
      <c r="L661" s="25">
        <v>0.4</v>
      </c>
      <c r="M661" s="24">
        <v>565</v>
      </c>
      <c r="N661" s="24">
        <f>(tbl_raw[[#This Row],[Selling_Price]]-tbl_raw[[#This Row],[Cost_Price]])*tbl_raw[[#This Row],[Units_Sold]]</f>
        <v>-2109</v>
      </c>
      <c r="O661" s="25">
        <f>IFERROR((tbl_raw[[#This Row],[Selling_Price]]-tbl_raw[[#This Row],[Cost_Price]]) / tbl_raw[[#This Row],[Selling_Price]],0)</f>
        <v>-0.24449339207048459</v>
      </c>
      <c r="P661" s="24">
        <v>49</v>
      </c>
      <c r="Q661" s="24">
        <f>tbl_raw[[#This Row],[Gross_Profit]]-(tbl_raw[[#This Row],[Shipping_Cost]]*tbl_raw[[#This Row],[Units_Sold]])</f>
        <v>-3040</v>
      </c>
      <c r="R661" s="25">
        <f>IFERROR(tbl_raw[[#This Row],[Net_Profit]]/(tbl_raw[[#This Row],[Selling_Price]]*tbl_raw[[#This Row],[Units_Sold]]),0)</f>
        <v>-0.3524229074889868</v>
      </c>
      <c r="S661" s="23" t="s">
        <v>65</v>
      </c>
      <c r="T661" s="23" t="s">
        <v>86</v>
      </c>
      <c r="U661" s="23">
        <f>IF(tbl_raw[[#This Row],[Order_Status]]="Returned",1,0)</f>
        <v>1</v>
      </c>
      <c r="V661" s="23">
        <f>IF(tbl_raw[[#This Row],[Payment_Method]]="COD",1,0)</f>
        <v>0</v>
      </c>
      <c r="W661" s="26">
        <f>MIN(1,(tbl_raw[[#This Row],[Discount_Pct]]*1.4)+(tbl_raw[[#This Row],[COD_Flag]]*0.35))</f>
        <v>0.55999999999999994</v>
      </c>
    </row>
    <row r="662" spans="1:23" ht="22.8" x14ac:dyDescent="0.3">
      <c r="A662" s="17" t="s">
        <v>1710</v>
      </c>
      <c r="B662" s="18" t="s">
        <v>319</v>
      </c>
      <c r="C662" s="18" t="s">
        <v>99</v>
      </c>
      <c r="D662" s="18" t="s">
        <v>44</v>
      </c>
      <c r="E662" s="18" t="s">
        <v>338</v>
      </c>
      <c r="F662" s="18" t="s">
        <v>1711</v>
      </c>
      <c r="G662" s="18" t="s">
        <v>75</v>
      </c>
      <c r="H662" s="18" t="s">
        <v>48</v>
      </c>
      <c r="I662" s="18">
        <v>12</v>
      </c>
      <c r="J662" s="19">
        <v>5632</v>
      </c>
      <c r="K662" s="19">
        <v>3999</v>
      </c>
      <c r="L662" s="20">
        <v>0.28999999999999998</v>
      </c>
      <c r="M662" s="19">
        <v>4079</v>
      </c>
      <c r="N662" s="19">
        <f>(tbl_raw[[#This Row],[Selling_Price]]-tbl_raw[[#This Row],[Cost_Price]])*tbl_raw[[#This Row],[Units_Sold]]</f>
        <v>-960</v>
      </c>
      <c r="O662" s="20">
        <f>IFERROR((tbl_raw[[#This Row],[Selling_Price]]-tbl_raw[[#This Row],[Cost_Price]]) / tbl_raw[[#This Row],[Selling_Price]],0)</f>
        <v>-2.0005001250312578E-2</v>
      </c>
      <c r="P662" s="19">
        <v>140</v>
      </c>
      <c r="Q662" s="19">
        <f>tbl_raw[[#This Row],[Gross_Profit]]-(tbl_raw[[#This Row],[Shipping_Cost]]*tbl_raw[[#This Row],[Units_Sold]])</f>
        <v>-2640</v>
      </c>
      <c r="R662" s="20">
        <f>IFERROR(tbl_raw[[#This Row],[Net_Profit]]/(tbl_raw[[#This Row],[Selling_Price]]*tbl_raw[[#This Row],[Units_Sold]]),0)</f>
        <v>-5.501375343835959E-2</v>
      </c>
      <c r="S662" s="18" t="s">
        <v>40</v>
      </c>
      <c r="T662" s="18" t="s">
        <v>49</v>
      </c>
      <c r="U662" s="18">
        <f>IF(tbl_raw[[#This Row],[Order_Status]]="Returned",1,0)</f>
        <v>0</v>
      </c>
      <c r="V662" s="18">
        <f>IF(tbl_raw[[#This Row],[Payment_Method]]="COD",1,0)</f>
        <v>1</v>
      </c>
      <c r="W662" s="21">
        <f>MIN(1,(tbl_raw[[#This Row],[Discount_Pct]]*1.4)+(tbl_raw[[#This Row],[COD_Flag]]*0.35))</f>
        <v>0.75600000000000001</v>
      </c>
    </row>
    <row r="663" spans="1:23" ht="22.8" x14ac:dyDescent="0.3">
      <c r="A663" s="22" t="s">
        <v>1712</v>
      </c>
      <c r="B663" s="23" t="s">
        <v>573</v>
      </c>
      <c r="C663" s="23" t="s">
        <v>89</v>
      </c>
      <c r="D663" s="23" t="s">
        <v>26</v>
      </c>
      <c r="E663" s="23" t="s">
        <v>100</v>
      </c>
      <c r="F663" s="23" t="s">
        <v>1713</v>
      </c>
      <c r="G663" s="23" t="s">
        <v>102</v>
      </c>
      <c r="H663" s="23" t="s">
        <v>39</v>
      </c>
      <c r="I663" s="23">
        <v>15</v>
      </c>
      <c r="J663" s="24">
        <v>7565</v>
      </c>
      <c r="K663" s="24">
        <v>7035</v>
      </c>
      <c r="L663" s="25">
        <v>7.0000000000000007E-2</v>
      </c>
      <c r="M663" s="24">
        <v>3681</v>
      </c>
      <c r="N663" s="24">
        <f>(tbl_raw[[#This Row],[Selling_Price]]-tbl_raw[[#This Row],[Cost_Price]])*tbl_raw[[#This Row],[Units_Sold]]</f>
        <v>50310</v>
      </c>
      <c r="O663" s="25">
        <f>IFERROR((tbl_raw[[#This Row],[Selling_Price]]-tbl_raw[[#This Row],[Cost_Price]]) / tbl_raw[[#This Row],[Selling_Price]],0)</f>
        <v>0.47675906183368871</v>
      </c>
      <c r="P663" s="24">
        <v>117</v>
      </c>
      <c r="Q663" s="24">
        <f>tbl_raw[[#This Row],[Gross_Profit]]-(tbl_raw[[#This Row],[Shipping_Cost]]*tbl_raw[[#This Row],[Units_Sold]])</f>
        <v>48555</v>
      </c>
      <c r="R663" s="25">
        <f>IFERROR(tbl_raw[[#This Row],[Net_Profit]]/(tbl_raw[[#This Row],[Selling_Price]]*tbl_raw[[#This Row],[Units_Sold]]),0)</f>
        <v>0.46012793176972283</v>
      </c>
      <c r="S663" s="23" t="s">
        <v>40</v>
      </c>
      <c r="T663" s="23" t="s">
        <v>59</v>
      </c>
      <c r="U663" s="23">
        <f>IF(tbl_raw[[#This Row],[Order_Status]]="Returned",1,0)</f>
        <v>0</v>
      </c>
      <c r="V663" s="23">
        <f>IF(tbl_raw[[#This Row],[Payment_Method]]="COD",1,0)</f>
        <v>1</v>
      </c>
      <c r="W663" s="26">
        <f>MIN(1,(tbl_raw[[#This Row],[Discount_Pct]]*1.4)+(tbl_raw[[#This Row],[COD_Flag]]*0.35))</f>
        <v>0.44799999999999995</v>
      </c>
    </row>
    <row r="664" spans="1:23" ht="22.8" x14ac:dyDescent="0.3">
      <c r="A664" s="17" t="s">
        <v>1714</v>
      </c>
      <c r="B664" s="18" t="s">
        <v>1161</v>
      </c>
      <c r="C664" s="18" t="s">
        <v>25</v>
      </c>
      <c r="D664" s="18" t="s">
        <v>78</v>
      </c>
      <c r="E664" s="18" t="s">
        <v>534</v>
      </c>
      <c r="F664" s="18" t="s">
        <v>1715</v>
      </c>
      <c r="G664" s="18" t="s">
        <v>102</v>
      </c>
      <c r="H664" s="18" t="s">
        <v>39</v>
      </c>
      <c r="I664" s="18">
        <v>3</v>
      </c>
      <c r="J664" s="19">
        <v>4245</v>
      </c>
      <c r="K664" s="19">
        <v>3905</v>
      </c>
      <c r="L664" s="20">
        <v>0.08</v>
      </c>
      <c r="M664" s="19">
        <v>2326</v>
      </c>
      <c r="N664" s="19">
        <f>(tbl_raw[[#This Row],[Selling_Price]]-tbl_raw[[#This Row],[Cost_Price]])*tbl_raw[[#This Row],[Units_Sold]]</f>
        <v>4737</v>
      </c>
      <c r="O664" s="20">
        <f>IFERROR((tbl_raw[[#This Row],[Selling_Price]]-tbl_raw[[#This Row],[Cost_Price]]) / tbl_raw[[#This Row],[Selling_Price]],0)</f>
        <v>0.40435339308578744</v>
      </c>
      <c r="P664" s="19">
        <v>154</v>
      </c>
      <c r="Q664" s="19">
        <f>tbl_raw[[#This Row],[Gross_Profit]]-(tbl_raw[[#This Row],[Shipping_Cost]]*tbl_raw[[#This Row],[Units_Sold]])</f>
        <v>4275</v>
      </c>
      <c r="R664" s="20">
        <f>IFERROR(tbl_raw[[#This Row],[Net_Profit]]/(tbl_raw[[#This Row],[Selling_Price]]*tbl_raw[[#This Row],[Units_Sold]]),0)</f>
        <v>0.36491677336747758</v>
      </c>
      <c r="S664" s="18" t="s">
        <v>107</v>
      </c>
      <c r="T664" s="18" t="s">
        <v>32</v>
      </c>
      <c r="U664" s="18">
        <f>IF(tbl_raw[[#This Row],[Order_Status]]="Returned",1,0)</f>
        <v>0</v>
      </c>
      <c r="V664" s="18">
        <f>IF(tbl_raw[[#This Row],[Payment_Method]]="COD",1,0)</f>
        <v>0</v>
      </c>
      <c r="W664" s="21">
        <f>MIN(1,(tbl_raw[[#This Row],[Discount_Pct]]*1.4)+(tbl_raw[[#This Row],[COD_Flag]]*0.35))</f>
        <v>0.11199999999999999</v>
      </c>
    </row>
    <row r="665" spans="1:23" ht="22.8" x14ac:dyDescent="0.3">
      <c r="A665" s="22" t="s">
        <v>1716</v>
      </c>
      <c r="B665" s="23" t="s">
        <v>678</v>
      </c>
      <c r="C665" s="23" t="s">
        <v>105</v>
      </c>
      <c r="D665" s="23" t="s">
        <v>78</v>
      </c>
      <c r="E665" s="23" t="s">
        <v>84</v>
      </c>
      <c r="F665" s="23" t="s">
        <v>1717</v>
      </c>
      <c r="G665" s="23" t="s">
        <v>47</v>
      </c>
      <c r="H665" s="23" t="s">
        <v>48</v>
      </c>
      <c r="I665" s="23">
        <v>3</v>
      </c>
      <c r="J665" s="24">
        <v>1052</v>
      </c>
      <c r="K665" s="24">
        <v>778</v>
      </c>
      <c r="L665" s="25">
        <v>0.26</v>
      </c>
      <c r="M665" s="24">
        <v>714</v>
      </c>
      <c r="N665" s="24">
        <f>(tbl_raw[[#This Row],[Selling_Price]]-tbl_raw[[#This Row],[Cost_Price]])*tbl_raw[[#This Row],[Units_Sold]]</f>
        <v>192</v>
      </c>
      <c r="O665" s="25">
        <f>IFERROR((tbl_raw[[#This Row],[Selling_Price]]-tbl_raw[[#This Row],[Cost_Price]]) / tbl_raw[[#This Row],[Selling_Price]],0)</f>
        <v>8.2262210796915161E-2</v>
      </c>
      <c r="P665" s="24">
        <v>152</v>
      </c>
      <c r="Q665" s="24">
        <f>tbl_raw[[#This Row],[Gross_Profit]]-(tbl_raw[[#This Row],[Shipping_Cost]]*tbl_raw[[#This Row],[Units_Sold]])</f>
        <v>-264</v>
      </c>
      <c r="R665" s="25">
        <f>IFERROR(tbl_raw[[#This Row],[Net_Profit]]/(tbl_raw[[#This Row],[Selling_Price]]*tbl_raw[[#This Row],[Units_Sold]]),0)</f>
        <v>-0.11311053984575835</v>
      </c>
      <c r="S665" s="23" t="s">
        <v>107</v>
      </c>
      <c r="T665" s="23" t="s">
        <v>49</v>
      </c>
      <c r="U665" s="23">
        <f>IF(tbl_raw[[#This Row],[Order_Status]]="Returned",1,0)</f>
        <v>0</v>
      </c>
      <c r="V665" s="23">
        <f>IF(tbl_raw[[#This Row],[Payment_Method]]="COD",1,0)</f>
        <v>0</v>
      </c>
      <c r="W665" s="26">
        <f>MIN(1,(tbl_raw[[#This Row],[Discount_Pct]]*1.4)+(tbl_raw[[#This Row],[COD_Flag]]*0.35))</f>
        <v>0.36399999999999999</v>
      </c>
    </row>
    <row r="666" spans="1:23" ht="22.8" x14ac:dyDescent="0.3">
      <c r="A666" s="17" t="s">
        <v>1718</v>
      </c>
      <c r="B666" s="18" t="s">
        <v>183</v>
      </c>
      <c r="C666" s="18" t="s">
        <v>52</v>
      </c>
      <c r="D666" s="18" t="s">
        <v>53</v>
      </c>
      <c r="E666" s="18" t="s">
        <v>149</v>
      </c>
      <c r="F666" s="18" t="s">
        <v>1719</v>
      </c>
      <c r="G666" s="18" t="s">
        <v>75</v>
      </c>
      <c r="H666" s="18" t="s">
        <v>48</v>
      </c>
      <c r="I666" s="18">
        <v>1</v>
      </c>
      <c r="J666" s="19">
        <v>956</v>
      </c>
      <c r="K666" s="19">
        <v>621</v>
      </c>
      <c r="L666" s="20">
        <v>0.35</v>
      </c>
      <c r="M666" s="19">
        <v>522</v>
      </c>
      <c r="N666" s="19">
        <f>(tbl_raw[[#This Row],[Selling_Price]]-tbl_raw[[#This Row],[Cost_Price]])*tbl_raw[[#This Row],[Units_Sold]]</f>
        <v>99</v>
      </c>
      <c r="O666" s="20">
        <f>IFERROR((tbl_raw[[#This Row],[Selling_Price]]-tbl_raw[[#This Row],[Cost_Price]]) / tbl_raw[[#This Row],[Selling_Price]],0)</f>
        <v>0.15942028985507245</v>
      </c>
      <c r="P666" s="19">
        <v>93</v>
      </c>
      <c r="Q666" s="19">
        <f>tbl_raw[[#This Row],[Gross_Profit]]-(tbl_raw[[#This Row],[Shipping_Cost]]*tbl_raw[[#This Row],[Units_Sold]])</f>
        <v>6</v>
      </c>
      <c r="R666" s="20">
        <f>IFERROR(tbl_raw[[#This Row],[Net_Profit]]/(tbl_raw[[#This Row],[Selling_Price]]*tbl_raw[[#This Row],[Units_Sold]]),0)</f>
        <v>9.6618357487922701E-3</v>
      </c>
      <c r="S666" s="18" t="s">
        <v>107</v>
      </c>
      <c r="T666" s="18" t="s">
        <v>32</v>
      </c>
      <c r="U666" s="18">
        <f>IF(tbl_raw[[#This Row],[Order_Status]]="Returned",1,0)</f>
        <v>0</v>
      </c>
      <c r="V666" s="18">
        <f>IF(tbl_raw[[#This Row],[Payment_Method]]="COD",1,0)</f>
        <v>0</v>
      </c>
      <c r="W666" s="21">
        <f>MIN(1,(tbl_raw[[#This Row],[Discount_Pct]]*1.4)+(tbl_raw[[#This Row],[COD_Flag]]*0.35))</f>
        <v>0.48999999999999994</v>
      </c>
    </row>
    <row r="667" spans="1:23" ht="22.8" x14ac:dyDescent="0.3">
      <c r="A667" s="22" t="s">
        <v>1720</v>
      </c>
      <c r="B667" s="23" t="s">
        <v>224</v>
      </c>
      <c r="C667" s="23" t="s">
        <v>89</v>
      </c>
      <c r="D667" s="23" t="s">
        <v>164</v>
      </c>
      <c r="E667" s="23" t="s">
        <v>165</v>
      </c>
      <c r="F667" s="23" t="s">
        <v>1721</v>
      </c>
      <c r="G667" s="23" t="s">
        <v>81</v>
      </c>
      <c r="H667" s="23" t="s">
        <v>30</v>
      </c>
      <c r="I667" s="23">
        <v>17</v>
      </c>
      <c r="J667" s="24">
        <v>7598</v>
      </c>
      <c r="K667" s="24">
        <v>6078</v>
      </c>
      <c r="L667" s="25">
        <v>0.2</v>
      </c>
      <c r="M667" s="24">
        <v>5205</v>
      </c>
      <c r="N667" s="24">
        <f>(tbl_raw[[#This Row],[Selling_Price]]-tbl_raw[[#This Row],[Cost_Price]])*tbl_raw[[#This Row],[Units_Sold]]</f>
        <v>14841</v>
      </c>
      <c r="O667" s="25">
        <f>IFERROR((tbl_raw[[#This Row],[Selling_Price]]-tbl_raw[[#This Row],[Cost_Price]]) / tbl_raw[[#This Row],[Selling_Price]],0)</f>
        <v>0.14363277393879564</v>
      </c>
      <c r="P667" s="24">
        <v>58</v>
      </c>
      <c r="Q667" s="24">
        <f>tbl_raw[[#This Row],[Gross_Profit]]-(tbl_raw[[#This Row],[Shipping_Cost]]*tbl_raw[[#This Row],[Units_Sold]])</f>
        <v>13855</v>
      </c>
      <c r="R667" s="25">
        <f>IFERROR(tbl_raw[[#This Row],[Net_Profit]]/(tbl_raw[[#This Row],[Selling_Price]]*tbl_raw[[#This Row],[Units_Sold]]),0)</f>
        <v>0.13409016123724909</v>
      </c>
      <c r="S667" s="23" t="s">
        <v>58</v>
      </c>
      <c r="T667" s="23" t="s">
        <v>86</v>
      </c>
      <c r="U667" s="23">
        <f>IF(tbl_raw[[#This Row],[Order_Status]]="Returned",1,0)</f>
        <v>1</v>
      </c>
      <c r="V667" s="23">
        <f>IF(tbl_raw[[#This Row],[Payment_Method]]="COD",1,0)</f>
        <v>0</v>
      </c>
      <c r="W667" s="26">
        <f>MIN(1,(tbl_raw[[#This Row],[Discount_Pct]]*1.4)+(tbl_raw[[#This Row],[COD_Flag]]*0.35))</f>
        <v>0.27999999999999997</v>
      </c>
    </row>
    <row r="668" spans="1:23" ht="22.8" x14ac:dyDescent="0.3">
      <c r="A668" s="17" t="s">
        <v>1722</v>
      </c>
      <c r="B668" s="18" t="s">
        <v>141</v>
      </c>
      <c r="C668" s="18" t="s">
        <v>35</v>
      </c>
      <c r="D668" s="18" t="s">
        <v>78</v>
      </c>
      <c r="E668" s="18" t="s">
        <v>534</v>
      </c>
      <c r="F668" s="18" t="s">
        <v>1723</v>
      </c>
      <c r="G668" s="18" t="s">
        <v>102</v>
      </c>
      <c r="H668" s="18" t="s">
        <v>39</v>
      </c>
      <c r="I668" s="18">
        <v>4</v>
      </c>
      <c r="J668" s="19">
        <v>6973</v>
      </c>
      <c r="K668" s="19">
        <v>6485</v>
      </c>
      <c r="L668" s="20">
        <v>7.0000000000000007E-2</v>
      </c>
      <c r="M668" s="19">
        <v>3505</v>
      </c>
      <c r="N668" s="19">
        <f>(tbl_raw[[#This Row],[Selling_Price]]-tbl_raw[[#This Row],[Cost_Price]])*tbl_raw[[#This Row],[Units_Sold]]</f>
        <v>11920</v>
      </c>
      <c r="O668" s="20">
        <f>IFERROR((tbl_raw[[#This Row],[Selling_Price]]-tbl_raw[[#This Row],[Cost_Price]]) / tbl_raw[[#This Row],[Selling_Price]],0)</f>
        <v>0.45952197378565923</v>
      </c>
      <c r="P668" s="19">
        <v>87</v>
      </c>
      <c r="Q668" s="19">
        <f>tbl_raw[[#This Row],[Gross_Profit]]-(tbl_raw[[#This Row],[Shipping_Cost]]*tbl_raw[[#This Row],[Units_Sold]])</f>
        <v>11572</v>
      </c>
      <c r="R668" s="20">
        <f>IFERROR(tbl_raw[[#This Row],[Net_Profit]]/(tbl_raw[[#This Row],[Selling_Price]]*tbl_raw[[#This Row],[Units_Sold]]),0)</f>
        <v>0.44610639938319196</v>
      </c>
      <c r="S668" s="18" t="s">
        <v>107</v>
      </c>
      <c r="T668" s="18" t="s">
        <v>32</v>
      </c>
      <c r="U668" s="18">
        <f>IF(tbl_raw[[#This Row],[Order_Status]]="Returned",1,0)</f>
        <v>0</v>
      </c>
      <c r="V668" s="18">
        <f>IF(tbl_raw[[#This Row],[Payment_Method]]="COD",1,0)</f>
        <v>0</v>
      </c>
      <c r="W668" s="21">
        <f>MIN(1,(tbl_raw[[#This Row],[Discount_Pct]]*1.4)+(tbl_raw[[#This Row],[COD_Flag]]*0.35))</f>
        <v>9.8000000000000004E-2</v>
      </c>
    </row>
    <row r="669" spans="1:23" ht="22.8" x14ac:dyDescent="0.3">
      <c r="A669" s="22" t="s">
        <v>1724</v>
      </c>
      <c r="B669" s="23" t="s">
        <v>589</v>
      </c>
      <c r="C669" s="23" t="s">
        <v>35</v>
      </c>
      <c r="D669" s="23" t="s">
        <v>62</v>
      </c>
      <c r="E669" s="23" t="s">
        <v>110</v>
      </c>
      <c r="F669" s="23" t="s">
        <v>1725</v>
      </c>
      <c r="G669" s="23" t="s">
        <v>139</v>
      </c>
      <c r="H669" s="23" t="s">
        <v>48</v>
      </c>
      <c r="I669" s="23">
        <v>9</v>
      </c>
      <c r="J669" s="24">
        <v>6064</v>
      </c>
      <c r="K669" s="24">
        <v>6064</v>
      </c>
      <c r="L669" s="25">
        <v>0</v>
      </c>
      <c r="M669" s="24">
        <v>3662</v>
      </c>
      <c r="N669" s="24">
        <f>(tbl_raw[[#This Row],[Selling_Price]]-tbl_raw[[#This Row],[Cost_Price]])*tbl_raw[[#This Row],[Units_Sold]]</f>
        <v>21618</v>
      </c>
      <c r="O669" s="25">
        <f>IFERROR((tbl_raw[[#This Row],[Selling_Price]]-tbl_raw[[#This Row],[Cost_Price]]) / tbl_raw[[#This Row],[Selling_Price]],0)</f>
        <v>0.39610817941952509</v>
      </c>
      <c r="P669" s="24">
        <v>178</v>
      </c>
      <c r="Q669" s="24">
        <f>tbl_raw[[#This Row],[Gross_Profit]]-(tbl_raw[[#This Row],[Shipping_Cost]]*tbl_raw[[#This Row],[Units_Sold]])</f>
        <v>20016</v>
      </c>
      <c r="R669" s="25">
        <f>IFERROR(tbl_raw[[#This Row],[Net_Profit]]/(tbl_raw[[#This Row],[Selling_Price]]*tbl_raw[[#This Row],[Units_Sold]]),0)</f>
        <v>0.36675461741424803</v>
      </c>
      <c r="S669" s="23" t="s">
        <v>58</v>
      </c>
      <c r="T669" s="23" t="s">
        <v>86</v>
      </c>
      <c r="U669" s="23">
        <f>IF(tbl_raw[[#This Row],[Order_Status]]="Returned",1,0)</f>
        <v>1</v>
      </c>
      <c r="V669" s="23">
        <f>IF(tbl_raw[[#This Row],[Payment_Method]]="COD",1,0)</f>
        <v>0</v>
      </c>
      <c r="W669" s="26">
        <f>MIN(1,(tbl_raw[[#This Row],[Discount_Pct]]*1.4)+(tbl_raw[[#This Row],[COD_Flag]]*0.35))</f>
        <v>0</v>
      </c>
    </row>
    <row r="670" spans="1:23" ht="22.8" x14ac:dyDescent="0.3">
      <c r="A670" s="17" t="s">
        <v>1726</v>
      </c>
      <c r="B670" s="18" t="s">
        <v>309</v>
      </c>
      <c r="C670" s="18" t="s">
        <v>52</v>
      </c>
      <c r="D670" s="18" t="s">
        <v>53</v>
      </c>
      <c r="E670" s="18" t="s">
        <v>90</v>
      </c>
      <c r="F670" s="18" t="s">
        <v>1727</v>
      </c>
      <c r="G670" s="18" t="s">
        <v>56</v>
      </c>
      <c r="H670" s="18" t="s">
        <v>57</v>
      </c>
      <c r="I670" s="18">
        <v>20</v>
      </c>
      <c r="J670" s="19">
        <v>3550</v>
      </c>
      <c r="K670" s="19">
        <v>2946</v>
      </c>
      <c r="L670" s="20">
        <v>0.17</v>
      </c>
      <c r="M670" s="19">
        <v>2526</v>
      </c>
      <c r="N670" s="19">
        <f>(tbl_raw[[#This Row],[Selling_Price]]-tbl_raw[[#This Row],[Cost_Price]])*tbl_raw[[#This Row],[Units_Sold]]</f>
        <v>8400</v>
      </c>
      <c r="O670" s="20">
        <f>IFERROR((tbl_raw[[#This Row],[Selling_Price]]-tbl_raw[[#This Row],[Cost_Price]]) / tbl_raw[[#This Row],[Selling_Price]],0)</f>
        <v>0.1425661914460285</v>
      </c>
      <c r="P670" s="19">
        <v>180</v>
      </c>
      <c r="Q670" s="19">
        <f>tbl_raw[[#This Row],[Gross_Profit]]-(tbl_raw[[#This Row],[Shipping_Cost]]*tbl_raw[[#This Row],[Units_Sold]])</f>
        <v>4800</v>
      </c>
      <c r="R670" s="20">
        <f>IFERROR(tbl_raw[[#This Row],[Net_Profit]]/(tbl_raw[[#This Row],[Selling_Price]]*tbl_raw[[#This Row],[Units_Sold]]),0)</f>
        <v>8.1466395112016296E-2</v>
      </c>
      <c r="S670" s="18" t="s">
        <v>40</v>
      </c>
      <c r="T670" s="18" t="s">
        <v>86</v>
      </c>
      <c r="U670" s="18">
        <f>IF(tbl_raw[[#This Row],[Order_Status]]="Returned",1,0)</f>
        <v>1</v>
      </c>
      <c r="V670" s="18">
        <f>IF(tbl_raw[[#This Row],[Payment_Method]]="COD",1,0)</f>
        <v>1</v>
      </c>
      <c r="W670" s="21">
        <f>MIN(1,(tbl_raw[[#This Row],[Discount_Pct]]*1.4)+(tbl_raw[[#This Row],[COD_Flag]]*0.35))</f>
        <v>0.58799999999999997</v>
      </c>
    </row>
    <row r="671" spans="1:23" ht="22.8" x14ac:dyDescent="0.3">
      <c r="A671" s="22" t="s">
        <v>1728</v>
      </c>
      <c r="B671" s="23" t="s">
        <v>309</v>
      </c>
      <c r="C671" s="23" t="s">
        <v>52</v>
      </c>
      <c r="D671" s="23" t="s">
        <v>26</v>
      </c>
      <c r="E671" s="23" t="s">
        <v>27</v>
      </c>
      <c r="F671" s="23" t="s">
        <v>1729</v>
      </c>
      <c r="G671" s="23" t="s">
        <v>56</v>
      </c>
      <c r="H671" s="23" t="s">
        <v>57</v>
      </c>
      <c r="I671" s="23">
        <v>4</v>
      </c>
      <c r="J671" s="24">
        <v>224</v>
      </c>
      <c r="K671" s="24">
        <v>137</v>
      </c>
      <c r="L671" s="25">
        <v>0.39</v>
      </c>
      <c r="M671" s="24">
        <v>121</v>
      </c>
      <c r="N671" s="24">
        <f>(tbl_raw[[#This Row],[Selling_Price]]-tbl_raw[[#This Row],[Cost_Price]])*tbl_raw[[#This Row],[Units_Sold]]</f>
        <v>64</v>
      </c>
      <c r="O671" s="25">
        <f>IFERROR((tbl_raw[[#This Row],[Selling_Price]]-tbl_raw[[#This Row],[Cost_Price]]) / tbl_raw[[#This Row],[Selling_Price]],0)</f>
        <v>0.11678832116788321</v>
      </c>
      <c r="P671" s="24">
        <v>155</v>
      </c>
      <c r="Q671" s="24">
        <f>tbl_raw[[#This Row],[Gross_Profit]]-(tbl_raw[[#This Row],[Shipping_Cost]]*tbl_raw[[#This Row],[Units_Sold]])</f>
        <v>-556</v>
      </c>
      <c r="R671" s="25">
        <f>IFERROR(tbl_raw[[#This Row],[Net_Profit]]/(tbl_raw[[#This Row],[Selling_Price]]*tbl_raw[[#This Row],[Units_Sold]]),0)</f>
        <v>-1.0145985401459854</v>
      </c>
      <c r="S671" s="23" t="s">
        <v>40</v>
      </c>
      <c r="T671" s="23" t="s">
        <v>32</v>
      </c>
      <c r="U671" s="23">
        <f>IF(tbl_raw[[#This Row],[Order_Status]]="Returned",1,0)</f>
        <v>0</v>
      </c>
      <c r="V671" s="23">
        <f>IF(tbl_raw[[#This Row],[Payment_Method]]="COD",1,0)</f>
        <v>1</v>
      </c>
      <c r="W671" s="26">
        <f>MIN(1,(tbl_raw[[#This Row],[Discount_Pct]]*1.4)+(tbl_raw[[#This Row],[COD_Flag]]*0.35))</f>
        <v>0.89599999999999991</v>
      </c>
    </row>
    <row r="672" spans="1:23" ht="22.8" x14ac:dyDescent="0.3">
      <c r="A672" s="17" t="s">
        <v>1730</v>
      </c>
      <c r="B672" s="18" t="s">
        <v>524</v>
      </c>
      <c r="C672" s="18" t="s">
        <v>105</v>
      </c>
      <c r="D672" s="18" t="s">
        <v>94</v>
      </c>
      <c r="E672" s="18" t="s">
        <v>180</v>
      </c>
      <c r="F672" s="18" t="s">
        <v>1731</v>
      </c>
      <c r="G672" s="18" t="s">
        <v>102</v>
      </c>
      <c r="H672" s="18" t="s">
        <v>39</v>
      </c>
      <c r="I672" s="18">
        <v>16</v>
      </c>
      <c r="J672" s="19">
        <v>4216</v>
      </c>
      <c r="K672" s="19">
        <v>2951</v>
      </c>
      <c r="L672" s="20">
        <v>0.3</v>
      </c>
      <c r="M672" s="19">
        <v>1691</v>
      </c>
      <c r="N672" s="19">
        <f>(tbl_raw[[#This Row],[Selling_Price]]-tbl_raw[[#This Row],[Cost_Price]])*tbl_raw[[#This Row],[Units_Sold]]</f>
        <v>20160</v>
      </c>
      <c r="O672" s="20">
        <f>IFERROR((tbl_raw[[#This Row],[Selling_Price]]-tbl_raw[[#This Row],[Cost_Price]]) / tbl_raw[[#This Row],[Selling_Price]],0)</f>
        <v>0.42697390715011863</v>
      </c>
      <c r="P672" s="19">
        <v>126</v>
      </c>
      <c r="Q672" s="19">
        <f>tbl_raw[[#This Row],[Gross_Profit]]-(tbl_raw[[#This Row],[Shipping_Cost]]*tbl_raw[[#This Row],[Units_Sold]])</f>
        <v>18144</v>
      </c>
      <c r="R672" s="20">
        <f>IFERROR(tbl_raw[[#This Row],[Net_Profit]]/(tbl_raw[[#This Row],[Selling_Price]]*tbl_raw[[#This Row],[Units_Sold]]),0)</f>
        <v>0.38427651643510674</v>
      </c>
      <c r="S672" s="18" t="s">
        <v>107</v>
      </c>
      <c r="T672" s="18" t="s">
        <v>32</v>
      </c>
      <c r="U672" s="18">
        <f>IF(tbl_raw[[#This Row],[Order_Status]]="Returned",1,0)</f>
        <v>0</v>
      </c>
      <c r="V672" s="18">
        <f>IF(tbl_raw[[#This Row],[Payment_Method]]="COD",1,0)</f>
        <v>0</v>
      </c>
      <c r="W672" s="21">
        <f>MIN(1,(tbl_raw[[#This Row],[Discount_Pct]]*1.4)+(tbl_raw[[#This Row],[COD_Flag]]*0.35))</f>
        <v>0.42</v>
      </c>
    </row>
    <row r="673" spans="1:23" ht="22.8" x14ac:dyDescent="0.3">
      <c r="A673" s="22" t="s">
        <v>1732</v>
      </c>
      <c r="B673" s="23" t="s">
        <v>996</v>
      </c>
      <c r="C673" s="23" t="s">
        <v>132</v>
      </c>
      <c r="D673" s="23" t="s">
        <v>44</v>
      </c>
      <c r="E673" s="23" t="s">
        <v>275</v>
      </c>
      <c r="F673" s="23" t="s">
        <v>1733</v>
      </c>
      <c r="G673" s="23" t="s">
        <v>102</v>
      </c>
      <c r="H673" s="23" t="s">
        <v>39</v>
      </c>
      <c r="I673" s="23">
        <v>16</v>
      </c>
      <c r="J673" s="24">
        <v>3321</v>
      </c>
      <c r="K673" s="24">
        <v>2391</v>
      </c>
      <c r="L673" s="25">
        <v>0.28000000000000003</v>
      </c>
      <c r="M673" s="24">
        <v>1423</v>
      </c>
      <c r="N673" s="24">
        <f>(tbl_raw[[#This Row],[Selling_Price]]-tbl_raw[[#This Row],[Cost_Price]])*tbl_raw[[#This Row],[Units_Sold]]</f>
        <v>15488</v>
      </c>
      <c r="O673" s="25">
        <f>IFERROR((tbl_raw[[#This Row],[Selling_Price]]-tbl_raw[[#This Row],[Cost_Price]]) / tbl_raw[[#This Row],[Selling_Price]],0)</f>
        <v>0.40485152655792556</v>
      </c>
      <c r="P673" s="24">
        <v>94</v>
      </c>
      <c r="Q673" s="24">
        <f>tbl_raw[[#This Row],[Gross_Profit]]-(tbl_raw[[#This Row],[Shipping_Cost]]*tbl_raw[[#This Row],[Units_Sold]])</f>
        <v>13984</v>
      </c>
      <c r="R673" s="25">
        <f>IFERROR(tbl_raw[[#This Row],[Net_Profit]]/(tbl_raw[[#This Row],[Selling_Price]]*tbl_raw[[#This Row],[Units_Sold]]),0)</f>
        <v>0.36553743203680467</v>
      </c>
      <c r="S673" s="23" t="s">
        <v>31</v>
      </c>
      <c r="T673" s="23" t="s">
        <v>59</v>
      </c>
      <c r="U673" s="23">
        <f>IF(tbl_raw[[#This Row],[Order_Status]]="Returned",1,0)</f>
        <v>0</v>
      </c>
      <c r="V673" s="23">
        <f>IF(tbl_raw[[#This Row],[Payment_Method]]="COD",1,0)</f>
        <v>0</v>
      </c>
      <c r="W673" s="26">
        <f>MIN(1,(tbl_raw[[#This Row],[Discount_Pct]]*1.4)+(tbl_raw[[#This Row],[COD_Flag]]*0.35))</f>
        <v>0.39200000000000002</v>
      </c>
    </row>
    <row r="674" spans="1:23" ht="22.8" x14ac:dyDescent="0.3">
      <c r="A674" s="17" t="s">
        <v>1734</v>
      </c>
      <c r="B674" s="18" t="s">
        <v>1539</v>
      </c>
      <c r="C674" s="18" t="s">
        <v>72</v>
      </c>
      <c r="D674" s="18" t="s">
        <v>78</v>
      </c>
      <c r="E674" s="18" t="s">
        <v>79</v>
      </c>
      <c r="F674" s="18" t="s">
        <v>1735</v>
      </c>
      <c r="G674" s="18" t="s">
        <v>29</v>
      </c>
      <c r="H674" s="18" t="s">
        <v>30</v>
      </c>
      <c r="I674" s="18">
        <v>5</v>
      </c>
      <c r="J674" s="19">
        <v>6985</v>
      </c>
      <c r="K674" s="19">
        <v>4261</v>
      </c>
      <c r="L674" s="20">
        <v>0.39</v>
      </c>
      <c r="M674" s="19">
        <v>4713</v>
      </c>
      <c r="N674" s="19">
        <f>(tbl_raw[[#This Row],[Selling_Price]]-tbl_raw[[#This Row],[Cost_Price]])*tbl_raw[[#This Row],[Units_Sold]]</f>
        <v>-2260</v>
      </c>
      <c r="O674" s="20">
        <f>IFERROR((tbl_raw[[#This Row],[Selling_Price]]-tbl_raw[[#This Row],[Cost_Price]]) / tbl_raw[[#This Row],[Selling_Price]],0)</f>
        <v>-0.10607838535555034</v>
      </c>
      <c r="P674" s="19">
        <v>137</v>
      </c>
      <c r="Q674" s="19">
        <f>tbl_raw[[#This Row],[Gross_Profit]]-(tbl_raw[[#This Row],[Shipping_Cost]]*tbl_raw[[#This Row],[Units_Sold]])</f>
        <v>-2945</v>
      </c>
      <c r="R674" s="20">
        <f>IFERROR(tbl_raw[[#This Row],[Net_Profit]]/(tbl_raw[[#This Row],[Selling_Price]]*tbl_raw[[#This Row],[Units_Sold]]),0)</f>
        <v>-0.13823046233278574</v>
      </c>
      <c r="S674" s="18" t="s">
        <v>58</v>
      </c>
      <c r="T674" s="18" t="s">
        <v>86</v>
      </c>
      <c r="U674" s="18">
        <f>IF(tbl_raw[[#This Row],[Order_Status]]="Returned",1,0)</f>
        <v>1</v>
      </c>
      <c r="V674" s="18">
        <f>IF(tbl_raw[[#This Row],[Payment_Method]]="COD",1,0)</f>
        <v>0</v>
      </c>
      <c r="W674" s="21">
        <f>MIN(1,(tbl_raw[[#This Row],[Discount_Pct]]*1.4)+(tbl_raw[[#This Row],[COD_Flag]]*0.35))</f>
        <v>0.54599999999999993</v>
      </c>
    </row>
    <row r="675" spans="1:23" ht="22.8" x14ac:dyDescent="0.3">
      <c r="A675" s="22" t="s">
        <v>1736</v>
      </c>
      <c r="B675" s="23" t="s">
        <v>1737</v>
      </c>
      <c r="C675" s="23" t="s">
        <v>99</v>
      </c>
      <c r="D675" s="23" t="s">
        <v>62</v>
      </c>
      <c r="E675" s="23" t="s">
        <v>203</v>
      </c>
      <c r="F675" s="23" t="s">
        <v>1738</v>
      </c>
      <c r="G675" s="23" t="s">
        <v>120</v>
      </c>
      <c r="H675" s="23" t="s">
        <v>39</v>
      </c>
      <c r="I675" s="23">
        <v>16</v>
      </c>
      <c r="J675" s="24">
        <v>5369</v>
      </c>
      <c r="K675" s="24">
        <v>4778</v>
      </c>
      <c r="L675" s="25">
        <v>0.11</v>
      </c>
      <c r="M675" s="24">
        <v>2545</v>
      </c>
      <c r="N675" s="24">
        <f>(tbl_raw[[#This Row],[Selling_Price]]-tbl_raw[[#This Row],[Cost_Price]])*tbl_raw[[#This Row],[Units_Sold]]</f>
        <v>35728</v>
      </c>
      <c r="O675" s="25">
        <f>IFERROR((tbl_raw[[#This Row],[Selling_Price]]-tbl_raw[[#This Row],[Cost_Price]]) / tbl_raw[[#This Row],[Selling_Price]],0)</f>
        <v>0.46735035579740475</v>
      </c>
      <c r="P675" s="24">
        <v>143</v>
      </c>
      <c r="Q675" s="24">
        <f>tbl_raw[[#This Row],[Gross_Profit]]-(tbl_raw[[#This Row],[Shipping_Cost]]*tbl_raw[[#This Row],[Units_Sold]])</f>
        <v>33440</v>
      </c>
      <c r="R675" s="25">
        <f>IFERROR(tbl_raw[[#This Row],[Net_Profit]]/(tbl_raw[[#This Row],[Selling_Price]]*tbl_raw[[#This Row],[Units_Sold]]),0)</f>
        <v>0.43742151527835915</v>
      </c>
      <c r="S675" s="23" t="s">
        <v>58</v>
      </c>
      <c r="T675" s="23" t="s">
        <v>49</v>
      </c>
      <c r="U675" s="23">
        <f>IF(tbl_raw[[#This Row],[Order_Status]]="Returned",1,0)</f>
        <v>0</v>
      </c>
      <c r="V675" s="23">
        <f>IF(tbl_raw[[#This Row],[Payment_Method]]="COD",1,0)</f>
        <v>0</v>
      </c>
      <c r="W675" s="26">
        <f>MIN(1,(tbl_raw[[#This Row],[Discount_Pct]]*1.4)+(tbl_raw[[#This Row],[COD_Flag]]*0.35))</f>
        <v>0.154</v>
      </c>
    </row>
    <row r="676" spans="1:23" ht="22.8" x14ac:dyDescent="0.3">
      <c r="A676" s="17" t="s">
        <v>1739</v>
      </c>
      <c r="B676" s="18" t="s">
        <v>720</v>
      </c>
      <c r="C676" s="18" t="s">
        <v>132</v>
      </c>
      <c r="D676" s="18" t="s">
        <v>44</v>
      </c>
      <c r="E676" s="18" t="s">
        <v>275</v>
      </c>
      <c r="F676" s="18" t="s">
        <v>1740</v>
      </c>
      <c r="G676" s="18" t="s">
        <v>143</v>
      </c>
      <c r="H676" s="18" t="s">
        <v>30</v>
      </c>
      <c r="I676" s="18">
        <v>8</v>
      </c>
      <c r="J676" s="19">
        <v>5810</v>
      </c>
      <c r="K676" s="19">
        <v>4067</v>
      </c>
      <c r="L676" s="20">
        <v>0.3</v>
      </c>
      <c r="M676" s="19">
        <v>4259</v>
      </c>
      <c r="N676" s="19">
        <f>(tbl_raw[[#This Row],[Selling_Price]]-tbl_raw[[#This Row],[Cost_Price]])*tbl_raw[[#This Row],[Units_Sold]]</f>
        <v>-1536</v>
      </c>
      <c r="O676" s="20">
        <f>IFERROR((tbl_raw[[#This Row],[Selling_Price]]-tbl_raw[[#This Row],[Cost_Price]]) / tbl_raw[[#This Row],[Selling_Price]],0)</f>
        <v>-4.7209245143840665E-2</v>
      </c>
      <c r="P676" s="19">
        <v>131</v>
      </c>
      <c r="Q676" s="19">
        <f>tbl_raw[[#This Row],[Gross_Profit]]-(tbl_raw[[#This Row],[Shipping_Cost]]*tbl_raw[[#This Row],[Units_Sold]])</f>
        <v>-2584</v>
      </c>
      <c r="R676" s="20">
        <f>IFERROR(tbl_raw[[#This Row],[Net_Profit]]/(tbl_raw[[#This Row],[Selling_Price]]*tbl_raw[[#This Row],[Units_Sold]]),0)</f>
        <v>-7.9419719695106958E-2</v>
      </c>
      <c r="S676" s="18" t="s">
        <v>40</v>
      </c>
      <c r="T676" s="18" t="s">
        <v>86</v>
      </c>
      <c r="U676" s="18">
        <f>IF(tbl_raw[[#This Row],[Order_Status]]="Returned",1,0)</f>
        <v>1</v>
      </c>
      <c r="V676" s="18">
        <f>IF(tbl_raw[[#This Row],[Payment_Method]]="COD",1,0)</f>
        <v>1</v>
      </c>
      <c r="W676" s="21">
        <f>MIN(1,(tbl_raw[[#This Row],[Discount_Pct]]*1.4)+(tbl_raw[[#This Row],[COD_Flag]]*0.35))</f>
        <v>0.77</v>
      </c>
    </row>
    <row r="677" spans="1:23" ht="22.8" x14ac:dyDescent="0.3">
      <c r="A677" s="22" t="s">
        <v>1741</v>
      </c>
      <c r="B677" s="23" t="s">
        <v>278</v>
      </c>
      <c r="C677" s="23" t="s">
        <v>117</v>
      </c>
      <c r="D677" s="23" t="s">
        <v>44</v>
      </c>
      <c r="E677" s="23" t="s">
        <v>73</v>
      </c>
      <c r="F677" s="23" t="s">
        <v>1742</v>
      </c>
      <c r="G677" s="23" t="s">
        <v>102</v>
      </c>
      <c r="H677" s="23" t="s">
        <v>39</v>
      </c>
      <c r="I677" s="23">
        <v>3</v>
      </c>
      <c r="J677" s="24">
        <v>5223</v>
      </c>
      <c r="K677" s="24">
        <v>4335</v>
      </c>
      <c r="L677" s="25">
        <v>0.17</v>
      </c>
      <c r="M677" s="24">
        <v>3401</v>
      </c>
      <c r="N677" s="24">
        <f>(tbl_raw[[#This Row],[Selling_Price]]-tbl_raw[[#This Row],[Cost_Price]])*tbl_raw[[#This Row],[Units_Sold]]</f>
        <v>2802</v>
      </c>
      <c r="O677" s="25">
        <f>IFERROR((tbl_raw[[#This Row],[Selling_Price]]-tbl_raw[[#This Row],[Cost_Price]]) / tbl_raw[[#This Row],[Selling_Price]],0)</f>
        <v>0.21545559400230679</v>
      </c>
      <c r="P677" s="24">
        <v>140</v>
      </c>
      <c r="Q677" s="24">
        <f>tbl_raw[[#This Row],[Gross_Profit]]-(tbl_raw[[#This Row],[Shipping_Cost]]*tbl_raw[[#This Row],[Units_Sold]])</f>
        <v>2382</v>
      </c>
      <c r="R677" s="25">
        <f>IFERROR(tbl_raw[[#This Row],[Net_Profit]]/(tbl_raw[[#This Row],[Selling_Price]]*tbl_raw[[#This Row],[Units_Sold]]),0)</f>
        <v>0.18316032295271051</v>
      </c>
      <c r="S677" s="23" t="s">
        <v>31</v>
      </c>
      <c r="T677" s="23" t="s">
        <v>86</v>
      </c>
      <c r="U677" s="23">
        <f>IF(tbl_raw[[#This Row],[Order_Status]]="Returned",1,0)</f>
        <v>1</v>
      </c>
      <c r="V677" s="23">
        <f>IF(tbl_raw[[#This Row],[Payment_Method]]="COD",1,0)</f>
        <v>0</v>
      </c>
      <c r="W677" s="26">
        <f>MIN(1,(tbl_raw[[#This Row],[Discount_Pct]]*1.4)+(tbl_raw[[#This Row],[COD_Flag]]*0.35))</f>
        <v>0.23799999999999999</v>
      </c>
    </row>
    <row r="678" spans="1:23" ht="22.8" x14ac:dyDescent="0.3">
      <c r="A678" s="17" t="s">
        <v>1743</v>
      </c>
      <c r="B678" s="18" t="s">
        <v>1744</v>
      </c>
      <c r="C678" s="18" t="s">
        <v>52</v>
      </c>
      <c r="D678" s="18" t="s">
        <v>94</v>
      </c>
      <c r="E678" s="18" t="s">
        <v>95</v>
      </c>
      <c r="F678" s="18" t="s">
        <v>1745</v>
      </c>
      <c r="G678" s="18" t="s">
        <v>120</v>
      </c>
      <c r="H678" s="18" t="s">
        <v>39</v>
      </c>
      <c r="I678" s="18">
        <v>10</v>
      </c>
      <c r="J678" s="19">
        <v>884</v>
      </c>
      <c r="K678" s="19">
        <v>849</v>
      </c>
      <c r="L678" s="20">
        <v>0.04</v>
      </c>
      <c r="M678" s="19">
        <v>583</v>
      </c>
      <c r="N678" s="19">
        <f>(tbl_raw[[#This Row],[Selling_Price]]-tbl_raw[[#This Row],[Cost_Price]])*tbl_raw[[#This Row],[Units_Sold]]</f>
        <v>2660</v>
      </c>
      <c r="O678" s="20">
        <f>IFERROR((tbl_raw[[#This Row],[Selling_Price]]-tbl_raw[[#This Row],[Cost_Price]]) / tbl_raw[[#This Row],[Selling_Price]],0)</f>
        <v>0.31330977620730271</v>
      </c>
      <c r="P678" s="19">
        <v>171</v>
      </c>
      <c r="Q678" s="19">
        <f>tbl_raw[[#This Row],[Gross_Profit]]-(tbl_raw[[#This Row],[Shipping_Cost]]*tbl_raw[[#This Row],[Units_Sold]])</f>
        <v>950</v>
      </c>
      <c r="R678" s="20">
        <f>IFERROR(tbl_raw[[#This Row],[Net_Profit]]/(tbl_raw[[#This Row],[Selling_Price]]*tbl_raw[[#This Row],[Units_Sold]]),0)</f>
        <v>0.11189634864546526</v>
      </c>
      <c r="S678" s="18" t="s">
        <v>58</v>
      </c>
      <c r="T678" s="18" t="s">
        <v>32</v>
      </c>
      <c r="U678" s="18">
        <f>IF(tbl_raw[[#This Row],[Order_Status]]="Returned",1,0)</f>
        <v>0</v>
      </c>
      <c r="V678" s="18">
        <f>IF(tbl_raw[[#This Row],[Payment_Method]]="COD",1,0)</f>
        <v>0</v>
      </c>
      <c r="W678" s="21">
        <f>MIN(1,(tbl_raw[[#This Row],[Discount_Pct]]*1.4)+(tbl_raw[[#This Row],[COD_Flag]]*0.35))</f>
        <v>5.5999999999999994E-2</v>
      </c>
    </row>
    <row r="679" spans="1:23" ht="22.8" x14ac:dyDescent="0.3">
      <c r="A679" s="22" t="s">
        <v>1746</v>
      </c>
      <c r="B679" s="23" t="s">
        <v>643</v>
      </c>
      <c r="C679" s="23" t="s">
        <v>89</v>
      </c>
      <c r="D679" s="23" t="s">
        <v>26</v>
      </c>
      <c r="E679" s="23" t="s">
        <v>27</v>
      </c>
      <c r="F679" s="23" t="s">
        <v>1747</v>
      </c>
      <c r="G679" s="23" t="s">
        <v>102</v>
      </c>
      <c r="H679" s="23" t="s">
        <v>39</v>
      </c>
      <c r="I679" s="23">
        <v>18</v>
      </c>
      <c r="J679" s="24">
        <v>1681</v>
      </c>
      <c r="K679" s="24">
        <v>1395</v>
      </c>
      <c r="L679" s="25">
        <v>0.17</v>
      </c>
      <c r="M679" s="24">
        <v>922</v>
      </c>
      <c r="N679" s="24">
        <f>(tbl_raw[[#This Row],[Selling_Price]]-tbl_raw[[#This Row],[Cost_Price]])*tbl_raw[[#This Row],[Units_Sold]]</f>
        <v>8514</v>
      </c>
      <c r="O679" s="25">
        <f>IFERROR((tbl_raw[[#This Row],[Selling_Price]]-tbl_raw[[#This Row],[Cost_Price]]) / tbl_raw[[#This Row],[Selling_Price]],0)</f>
        <v>0.33906810035842294</v>
      </c>
      <c r="P679" s="24">
        <v>146</v>
      </c>
      <c r="Q679" s="24">
        <f>tbl_raw[[#This Row],[Gross_Profit]]-(tbl_raw[[#This Row],[Shipping_Cost]]*tbl_raw[[#This Row],[Units_Sold]])</f>
        <v>5886</v>
      </c>
      <c r="R679" s="25">
        <f>IFERROR(tbl_raw[[#This Row],[Net_Profit]]/(tbl_raw[[#This Row],[Selling_Price]]*tbl_raw[[#This Row],[Units_Sold]]),0)</f>
        <v>0.23440860215053763</v>
      </c>
      <c r="S679" s="23" t="s">
        <v>40</v>
      </c>
      <c r="T679" s="23" t="s">
        <v>86</v>
      </c>
      <c r="U679" s="23">
        <f>IF(tbl_raw[[#This Row],[Order_Status]]="Returned",1,0)</f>
        <v>1</v>
      </c>
      <c r="V679" s="23">
        <f>IF(tbl_raw[[#This Row],[Payment_Method]]="COD",1,0)</f>
        <v>1</v>
      </c>
      <c r="W679" s="26">
        <f>MIN(1,(tbl_raw[[#This Row],[Discount_Pct]]*1.4)+(tbl_raw[[#This Row],[COD_Flag]]*0.35))</f>
        <v>0.58799999999999997</v>
      </c>
    </row>
    <row r="680" spans="1:23" ht="22.8" x14ac:dyDescent="0.3">
      <c r="A680" s="17" t="s">
        <v>1748</v>
      </c>
      <c r="B680" s="18" t="s">
        <v>1609</v>
      </c>
      <c r="C680" s="18" t="s">
        <v>35</v>
      </c>
      <c r="D680" s="18" t="s">
        <v>78</v>
      </c>
      <c r="E680" s="18" t="s">
        <v>296</v>
      </c>
      <c r="F680" s="18" t="s">
        <v>1749</v>
      </c>
      <c r="G680" s="18" t="s">
        <v>75</v>
      </c>
      <c r="H680" s="18" t="s">
        <v>48</v>
      </c>
      <c r="I680" s="18">
        <v>11</v>
      </c>
      <c r="J680" s="19">
        <v>1329</v>
      </c>
      <c r="K680" s="19">
        <v>771</v>
      </c>
      <c r="L680" s="20">
        <v>0.42</v>
      </c>
      <c r="M680" s="19">
        <v>921</v>
      </c>
      <c r="N680" s="19">
        <f>(tbl_raw[[#This Row],[Selling_Price]]-tbl_raw[[#This Row],[Cost_Price]])*tbl_raw[[#This Row],[Units_Sold]]</f>
        <v>-1650</v>
      </c>
      <c r="O680" s="20">
        <f>IFERROR((tbl_raw[[#This Row],[Selling_Price]]-tbl_raw[[#This Row],[Cost_Price]]) / tbl_raw[[#This Row],[Selling_Price]],0)</f>
        <v>-0.19455252918287938</v>
      </c>
      <c r="P680" s="19">
        <v>105</v>
      </c>
      <c r="Q680" s="19">
        <f>tbl_raw[[#This Row],[Gross_Profit]]-(tbl_raw[[#This Row],[Shipping_Cost]]*tbl_raw[[#This Row],[Units_Sold]])</f>
        <v>-2805</v>
      </c>
      <c r="R680" s="20">
        <f>IFERROR(tbl_raw[[#This Row],[Net_Profit]]/(tbl_raw[[#This Row],[Selling_Price]]*tbl_raw[[#This Row],[Units_Sold]]),0)</f>
        <v>-0.33073929961089493</v>
      </c>
      <c r="S680" s="18" t="s">
        <v>31</v>
      </c>
      <c r="T680" s="18" t="s">
        <v>32</v>
      </c>
      <c r="U680" s="18">
        <f>IF(tbl_raw[[#This Row],[Order_Status]]="Returned",1,0)</f>
        <v>0</v>
      </c>
      <c r="V680" s="18">
        <f>IF(tbl_raw[[#This Row],[Payment_Method]]="COD",1,0)</f>
        <v>0</v>
      </c>
      <c r="W680" s="21">
        <f>MIN(1,(tbl_raw[[#This Row],[Discount_Pct]]*1.4)+(tbl_raw[[#This Row],[COD_Flag]]*0.35))</f>
        <v>0.58799999999999997</v>
      </c>
    </row>
    <row r="681" spans="1:23" ht="22.8" x14ac:dyDescent="0.3">
      <c r="A681" s="22" t="s">
        <v>1750</v>
      </c>
      <c r="B681" s="23" t="s">
        <v>416</v>
      </c>
      <c r="C681" s="23" t="s">
        <v>156</v>
      </c>
      <c r="D681" s="23" t="s">
        <v>26</v>
      </c>
      <c r="E681" s="23" t="s">
        <v>36</v>
      </c>
      <c r="F681" s="23" t="s">
        <v>1751</v>
      </c>
      <c r="G681" s="23" t="s">
        <v>143</v>
      </c>
      <c r="H681" s="23" t="s">
        <v>30</v>
      </c>
      <c r="I681" s="23">
        <v>17</v>
      </c>
      <c r="J681" s="24">
        <v>7925</v>
      </c>
      <c r="K681" s="24">
        <v>7450</v>
      </c>
      <c r="L681" s="25">
        <v>0.06</v>
      </c>
      <c r="M681" s="24">
        <v>5935</v>
      </c>
      <c r="N681" s="24">
        <f>(tbl_raw[[#This Row],[Selling_Price]]-tbl_raw[[#This Row],[Cost_Price]])*tbl_raw[[#This Row],[Units_Sold]]</f>
        <v>25755</v>
      </c>
      <c r="O681" s="25">
        <f>IFERROR((tbl_raw[[#This Row],[Selling_Price]]-tbl_raw[[#This Row],[Cost_Price]]) / tbl_raw[[#This Row],[Selling_Price]],0)</f>
        <v>0.20335570469798658</v>
      </c>
      <c r="P681" s="24">
        <v>136</v>
      </c>
      <c r="Q681" s="24">
        <f>tbl_raw[[#This Row],[Gross_Profit]]-(tbl_raw[[#This Row],[Shipping_Cost]]*tbl_raw[[#This Row],[Units_Sold]])</f>
        <v>23443</v>
      </c>
      <c r="R681" s="25">
        <f>IFERROR(tbl_raw[[#This Row],[Net_Profit]]/(tbl_raw[[#This Row],[Selling_Price]]*tbl_raw[[#This Row],[Units_Sold]]),0)</f>
        <v>0.18510067114093959</v>
      </c>
      <c r="S681" s="23" t="s">
        <v>31</v>
      </c>
      <c r="T681" s="23" t="s">
        <v>32</v>
      </c>
      <c r="U681" s="23">
        <f>IF(tbl_raw[[#This Row],[Order_Status]]="Returned",1,0)</f>
        <v>0</v>
      </c>
      <c r="V681" s="23">
        <f>IF(tbl_raw[[#This Row],[Payment_Method]]="COD",1,0)</f>
        <v>0</v>
      </c>
      <c r="W681" s="26">
        <f>MIN(1,(tbl_raw[[#This Row],[Discount_Pct]]*1.4)+(tbl_raw[[#This Row],[COD_Flag]]*0.35))</f>
        <v>8.3999999999999991E-2</v>
      </c>
    </row>
    <row r="682" spans="1:23" ht="22.8" x14ac:dyDescent="0.3">
      <c r="A682" s="17" t="s">
        <v>1752</v>
      </c>
      <c r="B682" s="18" t="s">
        <v>250</v>
      </c>
      <c r="C682" s="18" t="s">
        <v>99</v>
      </c>
      <c r="D682" s="18" t="s">
        <v>78</v>
      </c>
      <c r="E682" s="18" t="s">
        <v>296</v>
      </c>
      <c r="F682" s="18" t="s">
        <v>1753</v>
      </c>
      <c r="G682" s="18" t="s">
        <v>56</v>
      </c>
      <c r="H682" s="18" t="s">
        <v>57</v>
      </c>
      <c r="I682" s="18">
        <v>5</v>
      </c>
      <c r="J682" s="19">
        <v>6658</v>
      </c>
      <c r="K682" s="19">
        <v>6059</v>
      </c>
      <c r="L682" s="20">
        <v>0.09</v>
      </c>
      <c r="M682" s="19">
        <v>4371</v>
      </c>
      <c r="N682" s="19">
        <f>(tbl_raw[[#This Row],[Selling_Price]]-tbl_raw[[#This Row],[Cost_Price]])*tbl_raw[[#This Row],[Units_Sold]]</f>
        <v>8440</v>
      </c>
      <c r="O682" s="20">
        <f>IFERROR((tbl_raw[[#This Row],[Selling_Price]]-tbl_raw[[#This Row],[Cost_Price]]) / tbl_raw[[#This Row],[Selling_Price]],0)</f>
        <v>0.27859382736425153</v>
      </c>
      <c r="P682" s="19">
        <v>152</v>
      </c>
      <c r="Q682" s="19">
        <f>tbl_raw[[#This Row],[Gross_Profit]]-(tbl_raw[[#This Row],[Shipping_Cost]]*tbl_raw[[#This Row],[Units_Sold]])</f>
        <v>7680</v>
      </c>
      <c r="R682" s="20">
        <f>IFERROR(tbl_raw[[#This Row],[Net_Profit]]/(tbl_raw[[#This Row],[Selling_Price]]*tbl_raw[[#This Row],[Units_Sold]]),0)</f>
        <v>0.25350717940254169</v>
      </c>
      <c r="S682" s="18" t="s">
        <v>58</v>
      </c>
      <c r="T682" s="18" t="s">
        <v>86</v>
      </c>
      <c r="U682" s="18">
        <f>IF(tbl_raw[[#This Row],[Order_Status]]="Returned",1,0)</f>
        <v>1</v>
      </c>
      <c r="V682" s="18">
        <f>IF(tbl_raw[[#This Row],[Payment_Method]]="COD",1,0)</f>
        <v>0</v>
      </c>
      <c r="W682" s="21">
        <f>MIN(1,(tbl_raw[[#This Row],[Discount_Pct]]*1.4)+(tbl_raw[[#This Row],[COD_Flag]]*0.35))</f>
        <v>0.126</v>
      </c>
    </row>
    <row r="683" spans="1:23" ht="22.8" x14ac:dyDescent="0.3">
      <c r="A683" s="22" t="s">
        <v>1754</v>
      </c>
      <c r="B683" s="23" t="s">
        <v>384</v>
      </c>
      <c r="C683" s="23" t="s">
        <v>117</v>
      </c>
      <c r="D683" s="23" t="s">
        <v>78</v>
      </c>
      <c r="E683" s="23" t="s">
        <v>79</v>
      </c>
      <c r="F683" s="23" t="s">
        <v>1755</v>
      </c>
      <c r="G683" s="23" t="s">
        <v>81</v>
      </c>
      <c r="H683" s="23" t="s">
        <v>30</v>
      </c>
      <c r="I683" s="23">
        <v>1</v>
      </c>
      <c r="J683" s="24">
        <v>4474</v>
      </c>
      <c r="K683" s="24">
        <v>3803</v>
      </c>
      <c r="L683" s="25">
        <v>0.15</v>
      </c>
      <c r="M683" s="24">
        <v>2851</v>
      </c>
      <c r="N683" s="24">
        <f>(tbl_raw[[#This Row],[Selling_Price]]-tbl_raw[[#This Row],[Cost_Price]])*tbl_raw[[#This Row],[Units_Sold]]</f>
        <v>952</v>
      </c>
      <c r="O683" s="25">
        <f>IFERROR((tbl_raw[[#This Row],[Selling_Price]]-tbl_raw[[#This Row],[Cost_Price]]) / tbl_raw[[#This Row],[Selling_Price]],0)</f>
        <v>0.25032868787799106</v>
      </c>
      <c r="P683" s="24">
        <v>179</v>
      </c>
      <c r="Q683" s="24">
        <f>tbl_raw[[#This Row],[Gross_Profit]]-(tbl_raw[[#This Row],[Shipping_Cost]]*tbl_raw[[#This Row],[Units_Sold]])</f>
        <v>773</v>
      </c>
      <c r="R683" s="25">
        <f>IFERROR(tbl_raw[[#This Row],[Net_Profit]]/(tbl_raw[[#This Row],[Selling_Price]]*tbl_raw[[#This Row],[Units_Sold]]),0)</f>
        <v>0.20326058374967132</v>
      </c>
      <c r="S683" s="23" t="s">
        <v>31</v>
      </c>
      <c r="T683" s="23" t="s">
        <v>32</v>
      </c>
      <c r="U683" s="23">
        <f>IF(tbl_raw[[#This Row],[Order_Status]]="Returned",1,0)</f>
        <v>0</v>
      </c>
      <c r="V683" s="23">
        <f>IF(tbl_raw[[#This Row],[Payment_Method]]="COD",1,0)</f>
        <v>0</v>
      </c>
      <c r="W683" s="26">
        <f>MIN(1,(tbl_raw[[#This Row],[Discount_Pct]]*1.4)+(tbl_raw[[#This Row],[COD_Flag]]*0.35))</f>
        <v>0.21</v>
      </c>
    </row>
    <row r="684" spans="1:23" ht="22.8" x14ac:dyDescent="0.3">
      <c r="A684" s="17" t="s">
        <v>1756</v>
      </c>
      <c r="B684" s="18" t="s">
        <v>1260</v>
      </c>
      <c r="C684" s="18" t="s">
        <v>99</v>
      </c>
      <c r="D684" s="18" t="s">
        <v>94</v>
      </c>
      <c r="E684" s="18" t="s">
        <v>137</v>
      </c>
      <c r="F684" s="18" t="s">
        <v>1757</v>
      </c>
      <c r="G684" s="18" t="s">
        <v>120</v>
      </c>
      <c r="H684" s="18" t="s">
        <v>39</v>
      </c>
      <c r="I684" s="18">
        <v>5</v>
      </c>
      <c r="J684" s="19">
        <v>2723</v>
      </c>
      <c r="K684" s="19">
        <v>1743</v>
      </c>
      <c r="L684" s="20">
        <v>0.36</v>
      </c>
      <c r="M684" s="19">
        <v>1914</v>
      </c>
      <c r="N684" s="19">
        <f>(tbl_raw[[#This Row],[Selling_Price]]-tbl_raw[[#This Row],[Cost_Price]])*tbl_raw[[#This Row],[Units_Sold]]</f>
        <v>-855</v>
      </c>
      <c r="O684" s="20">
        <f>IFERROR((tbl_raw[[#This Row],[Selling_Price]]-tbl_raw[[#This Row],[Cost_Price]]) / tbl_raw[[#This Row],[Selling_Price]],0)</f>
        <v>-9.8106712564543896E-2</v>
      </c>
      <c r="P684" s="19">
        <v>38</v>
      </c>
      <c r="Q684" s="19">
        <f>tbl_raw[[#This Row],[Gross_Profit]]-(tbl_raw[[#This Row],[Shipping_Cost]]*tbl_raw[[#This Row],[Units_Sold]])</f>
        <v>-1045</v>
      </c>
      <c r="R684" s="20">
        <f>IFERROR(tbl_raw[[#This Row],[Net_Profit]]/(tbl_raw[[#This Row],[Selling_Price]]*tbl_raw[[#This Row],[Units_Sold]]),0)</f>
        <v>-0.11990820424555364</v>
      </c>
      <c r="S684" s="18" t="s">
        <v>107</v>
      </c>
      <c r="T684" s="18" t="s">
        <v>32</v>
      </c>
      <c r="U684" s="18">
        <f>IF(tbl_raw[[#This Row],[Order_Status]]="Returned",1,0)</f>
        <v>0</v>
      </c>
      <c r="V684" s="18">
        <f>IF(tbl_raw[[#This Row],[Payment_Method]]="COD",1,0)</f>
        <v>0</v>
      </c>
      <c r="W684" s="21">
        <f>MIN(1,(tbl_raw[[#This Row],[Discount_Pct]]*1.4)+(tbl_raw[[#This Row],[COD_Flag]]*0.35))</f>
        <v>0.504</v>
      </c>
    </row>
    <row r="685" spans="1:23" ht="22.8" x14ac:dyDescent="0.3">
      <c r="A685" s="22" t="s">
        <v>1758</v>
      </c>
      <c r="B685" s="23" t="s">
        <v>1022</v>
      </c>
      <c r="C685" s="23" t="s">
        <v>43</v>
      </c>
      <c r="D685" s="23" t="s">
        <v>62</v>
      </c>
      <c r="E685" s="23" t="s">
        <v>63</v>
      </c>
      <c r="F685" s="23" t="s">
        <v>1759</v>
      </c>
      <c r="G685" s="23" t="s">
        <v>29</v>
      </c>
      <c r="H685" s="23" t="s">
        <v>30</v>
      </c>
      <c r="I685" s="23">
        <v>7</v>
      </c>
      <c r="J685" s="24">
        <v>6474</v>
      </c>
      <c r="K685" s="24">
        <v>5891</v>
      </c>
      <c r="L685" s="25">
        <v>0.09</v>
      </c>
      <c r="M685" s="24">
        <v>4065</v>
      </c>
      <c r="N685" s="24">
        <f>(tbl_raw[[#This Row],[Selling_Price]]-tbl_raw[[#This Row],[Cost_Price]])*tbl_raw[[#This Row],[Units_Sold]]</f>
        <v>12782</v>
      </c>
      <c r="O685" s="25">
        <f>IFERROR((tbl_raw[[#This Row],[Selling_Price]]-tbl_raw[[#This Row],[Cost_Price]]) / tbl_raw[[#This Row],[Selling_Price]],0)</f>
        <v>0.30996435240196912</v>
      </c>
      <c r="P685" s="24">
        <v>84</v>
      </c>
      <c r="Q685" s="24">
        <f>tbl_raw[[#This Row],[Gross_Profit]]-(tbl_raw[[#This Row],[Shipping_Cost]]*tbl_raw[[#This Row],[Units_Sold]])</f>
        <v>12194</v>
      </c>
      <c r="R685" s="25">
        <f>IFERROR(tbl_raw[[#This Row],[Net_Profit]]/(tbl_raw[[#This Row],[Selling_Price]]*tbl_raw[[#This Row],[Units_Sold]]),0)</f>
        <v>0.2957053131896113</v>
      </c>
      <c r="S685" s="23" t="s">
        <v>65</v>
      </c>
      <c r="T685" s="23" t="s">
        <v>86</v>
      </c>
      <c r="U685" s="23">
        <f>IF(tbl_raw[[#This Row],[Order_Status]]="Returned",1,0)</f>
        <v>1</v>
      </c>
      <c r="V685" s="23">
        <f>IF(tbl_raw[[#This Row],[Payment_Method]]="COD",1,0)</f>
        <v>0</v>
      </c>
      <c r="W685" s="26">
        <f>MIN(1,(tbl_raw[[#This Row],[Discount_Pct]]*1.4)+(tbl_raw[[#This Row],[COD_Flag]]*0.35))</f>
        <v>0.126</v>
      </c>
    </row>
    <row r="686" spans="1:23" ht="22.8" x14ac:dyDescent="0.3">
      <c r="A686" s="17" t="s">
        <v>1760</v>
      </c>
      <c r="B686" s="18" t="s">
        <v>1392</v>
      </c>
      <c r="C686" s="18" t="s">
        <v>43</v>
      </c>
      <c r="D686" s="18" t="s">
        <v>78</v>
      </c>
      <c r="E686" s="18" t="s">
        <v>118</v>
      </c>
      <c r="F686" s="18" t="s">
        <v>1761</v>
      </c>
      <c r="G686" s="18" t="s">
        <v>120</v>
      </c>
      <c r="H686" s="18" t="s">
        <v>39</v>
      </c>
      <c r="I686" s="18">
        <v>12</v>
      </c>
      <c r="J686" s="19">
        <v>7798</v>
      </c>
      <c r="K686" s="19">
        <v>7174</v>
      </c>
      <c r="L686" s="20">
        <v>0.08</v>
      </c>
      <c r="M686" s="19">
        <v>3262</v>
      </c>
      <c r="N686" s="19">
        <f>(tbl_raw[[#This Row],[Selling_Price]]-tbl_raw[[#This Row],[Cost_Price]])*tbl_raw[[#This Row],[Units_Sold]]</f>
        <v>46944</v>
      </c>
      <c r="O686" s="20">
        <f>IFERROR((tbl_raw[[#This Row],[Selling_Price]]-tbl_raw[[#This Row],[Cost_Price]]) / tbl_raw[[#This Row],[Selling_Price]],0)</f>
        <v>0.54530248118204627</v>
      </c>
      <c r="P686" s="19">
        <v>177</v>
      </c>
      <c r="Q686" s="19">
        <f>tbl_raw[[#This Row],[Gross_Profit]]-(tbl_raw[[#This Row],[Shipping_Cost]]*tbl_raw[[#This Row],[Units_Sold]])</f>
        <v>44820</v>
      </c>
      <c r="R686" s="20">
        <f>IFERROR(tbl_raw[[#This Row],[Net_Profit]]/(tbl_raw[[#This Row],[Selling_Price]]*tbl_raw[[#This Row],[Units_Sold]]),0)</f>
        <v>0.52063005296905496</v>
      </c>
      <c r="S686" s="18" t="s">
        <v>107</v>
      </c>
      <c r="T686" s="18" t="s">
        <v>49</v>
      </c>
      <c r="U686" s="18">
        <f>IF(tbl_raw[[#This Row],[Order_Status]]="Returned",1,0)</f>
        <v>0</v>
      </c>
      <c r="V686" s="18">
        <f>IF(tbl_raw[[#This Row],[Payment_Method]]="COD",1,0)</f>
        <v>0</v>
      </c>
      <c r="W686" s="21">
        <f>MIN(1,(tbl_raw[[#This Row],[Discount_Pct]]*1.4)+(tbl_raw[[#This Row],[COD_Flag]]*0.35))</f>
        <v>0.11199999999999999</v>
      </c>
    </row>
    <row r="687" spans="1:23" ht="22.8" x14ac:dyDescent="0.3">
      <c r="A687" s="22" t="s">
        <v>1762</v>
      </c>
      <c r="B687" s="23" t="s">
        <v>327</v>
      </c>
      <c r="C687" s="23" t="s">
        <v>25</v>
      </c>
      <c r="D687" s="23" t="s">
        <v>78</v>
      </c>
      <c r="E687" s="23" t="s">
        <v>118</v>
      </c>
      <c r="F687" s="23" t="s">
        <v>1763</v>
      </c>
      <c r="G687" s="23" t="s">
        <v>120</v>
      </c>
      <c r="H687" s="23" t="s">
        <v>39</v>
      </c>
      <c r="I687" s="23">
        <v>8</v>
      </c>
      <c r="J687" s="24">
        <v>3294</v>
      </c>
      <c r="K687" s="24">
        <v>2833</v>
      </c>
      <c r="L687" s="25">
        <v>0.14000000000000001</v>
      </c>
      <c r="M687" s="24">
        <v>2005</v>
      </c>
      <c r="N687" s="24">
        <f>(tbl_raw[[#This Row],[Selling_Price]]-tbl_raw[[#This Row],[Cost_Price]])*tbl_raw[[#This Row],[Units_Sold]]</f>
        <v>6624</v>
      </c>
      <c r="O687" s="25">
        <f>IFERROR((tbl_raw[[#This Row],[Selling_Price]]-tbl_raw[[#This Row],[Cost_Price]]) / tbl_raw[[#This Row],[Selling_Price]],0)</f>
        <v>0.29226967878573951</v>
      </c>
      <c r="P687" s="24">
        <v>56</v>
      </c>
      <c r="Q687" s="24">
        <f>tbl_raw[[#This Row],[Gross_Profit]]-(tbl_raw[[#This Row],[Shipping_Cost]]*tbl_raw[[#This Row],[Units_Sold]])</f>
        <v>6176</v>
      </c>
      <c r="R687" s="25">
        <f>IFERROR(tbl_raw[[#This Row],[Net_Profit]]/(tbl_raw[[#This Row],[Selling_Price]]*tbl_raw[[#This Row],[Units_Sold]]),0)</f>
        <v>0.27250264737027885</v>
      </c>
      <c r="S687" s="23" t="s">
        <v>31</v>
      </c>
      <c r="T687" s="23" t="s">
        <v>49</v>
      </c>
      <c r="U687" s="23">
        <f>IF(tbl_raw[[#This Row],[Order_Status]]="Returned",1,0)</f>
        <v>0</v>
      </c>
      <c r="V687" s="23">
        <f>IF(tbl_raw[[#This Row],[Payment_Method]]="COD",1,0)</f>
        <v>0</v>
      </c>
      <c r="W687" s="26">
        <f>MIN(1,(tbl_raw[[#This Row],[Discount_Pct]]*1.4)+(tbl_raw[[#This Row],[COD_Flag]]*0.35))</f>
        <v>0.19600000000000001</v>
      </c>
    </row>
    <row r="688" spans="1:23" ht="22.8" x14ac:dyDescent="0.3">
      <c r="A688" s="17" t="s">
        <v>1764</v>
      </c>
      <c r="B688" s="18" t="s">
        <v>303</v>
      </c>
      <c r="C688" s="18" t="s">
        <v>25</v>
      </c>
      <c r="D688" s="18" t="s">
        <v>175</v>
      </c>
      <c r="E688" s="18" t="s">
        <v>149</v>
      </c>
      <c r="F688" s="18" t="s">
        <v>1765</v>
      </c>
      <c r="G688" s="18" t="s">
        <v>47</v>
      </c>
      <c r="H688" s="18" t="s">
        <v>48</v>
      </c>
      <c r="I688" s="18">
        <v>9</v>
      </c>
      <c r="J688" s="19">
        <v>5132</v>
      </c>
      <c r="K688" s="19">
        <v>4106</v>
      </c>
      <c r="L688" s="20">
        <v>0.2</v>
      </c>
      <c r="M688" s="19">
        <v>2074</v>
      </c>
      <c r="N688" s="19">
        <f>(tbl_raw[[#This Row],[Selling_Price]]-tbl_raw[[#This Row],[Cost_Price]])*tbl_raw[[#This Row],[Units_Sold]]</f>
        <v>18288</v>
      </c>
      <c r="O688" s="20">
        <f>IFERROR((tbl_raw[[#This Row],[Selling_Price]]-tbl_raw[[#This Row],[Cost_Price]]) / tbl_raw[[#This Row],[Selling_Price]],0)</f>
        <v>0.49488553336580615</v>
      </c>
      <c r="P688" s="19">
        <v>47</v>
      </c>
      <c r="Q688" s="19">
        <f>tbl_raw[[#This Row],[Gross_Profit]]-(tbl_raw[[#This Row],[Shipping_Cost]]*tbl_raw[[#This Row],[Units_Sold]])</f>
        <v>17865</v>
      </c>
      <c r="R688" s="20">
        <f>IFERROR(tbl_raw[[#This Row],[Net_Profit]]/(tbl_raw[[#This Row],[Selling_Price]]*tbl_raw[[#This Row],[Units_Sold]]),0)</f>
        <v>0.48343886994641988</v>
      </c>
      <c r="S688" s="18" t="s">
        <v>58</v>
      </c>
      <c r="T688" s="18" t="s">
        <v>32</v>
      </c>
      <c r="U688" s="18">
        <f>IF(tbl_raw[[#This Row],[Order_Status]]="Returned",1,0)</f>
        <v>0</v>
      </c>
      <c r="V688" s="18">
        <f>IF(tbl_raw[[#This Row],[Payment_Method]]="COD",1,0)</f>
        <v>0</v>
      </c>
      <c r="W688" s="21">
        <f>MIN(1,(tbl_raw[[#This Row],[Discount_Pct]]*1.4)+(tbl_raw[[#This Row],[COD_Flag]]*0.35))</f>
        <v>0.27999999999999997</v>
      </c>
    </row>
    <row r="689" spans="1:23" ht="22.8" x14ac:dyDescent="0.3">
      <c r="A689" s="22" t="s">
        <v>1766</v>
      </c>
      <c r="B689" s="23" t="s">
        <v>1767</v>
      </c>
      <c r="C689" s="23" t="s">
        <v>105</v>
      </c>
      <c r="D689" s="23" t="s">
        <v>26</v>
      </c>
      <c r="E689" s="23" t="s">
        <v>36</v>
      </c>
      <c r="F689" s="23" t="s">
        <v>1768</v>
      </c>
      <c r="G689" s="23" t="s">
        <v>102</v>
      </c>
      <c r="H689" s="23" t="s">
        <v>39</v>
      </c>
      <c r="I689" s="23">
        <v>16</v>
      </c>
      <c r="J689" s="24">
        <v>2335</v>
      </c>
      <c r="K689" s="24">
        <v>1541</v>
      </c>
      <c r="L689" s="25">
        <v>0.34</v>
      </c>
      <c r="M689" s="24">
        <v>1583</v>
      </c>
      <c r="N689" s="24">
        <f>(tbl_raw[[#This Row],[Selling_Price]]-tbl_raw[[#This Row],[Cost_Price]])*tbl_raw[[#This Row],[Units_Sold]]</f>
        <v>-672</v>
      </c>
      <c r="O689" s="25">
        <f>IFERROR((tbl_raw[[#This Row],[Selling_Price]]-tbl_raw[[#This Row],[Cost_Price]]) / tbl_raw[[#This Row],[Selling_Price]],0)</f>
        <v>-2.7255029201817001E-2</v>
      </c>
      <c r="P689" s="24">
        <v>57</v>
      </c>
      <c r="Q689" s="24">
        <f>tbl_raw[[#This Row],[Gross_Profit]]-(tbl_raw[[#This Row],[Shipping_Cost]]*tbl_raw[[#This Row],[Units_Sold]])</f>
        <v>-1584</v>
      </c>
      <c r="R689" s="25">
        <f>IFERROR(tbl_raw[[#This Row],[Net_Profit]]/(tbl_raw[[#This Row],[Selling_Price]]*tbl_raw[[#This Row],[Units_Sold]]),0)</f>
        <v>-6.4243997404282938E-2</v>
      </c>
      <c r="S689" s="23" t="s">
        <v>31</v>
      </c>
      <c r="T689" s="23" t="s">
        <v>32</v>
      </c>
      <c r="U689" s="23">
        <f>IF(tbl_raw[[#This Row],[Order_Status]]="Returned",1,0)</f>
        <v>0</v>
      </c>
      <c r="V689" s="23">
        <f>IF(tbl_raw[[#This Row],[Payment_Method]]="COD",1,0)</f>
        <v>0</v>
      </c>
      <c r="W689" s="26">
        <f>MIN(1,(tbl_raw[[#This Row],[Discount_Pct]]*1.4)+(tbl_raw[[#This Row],[COD_Flag]]*0.35))</f>
        <v>0.47599999999999998</v>
      </c>
    </row>
    <row r="690" spans="1:23" ht="22.8" x14ac:dyDescent="0.3">
      <c r="A690" s="17" t="s">
        <v>1769</v>
      </c>
      <c r="B690" s="18" t="s">
        <v>540</v>
      </c>
      <c r="C690" s="18" t="s">
        <v>99</v>
      </c>
      <c r="D690" s="18" t="s">
        <v>164</v>
      </c>
      <c r="E690" s="18" t="s">
        <v>265</v>
      </c>
      <c r="F690" s="18" t="s">
        <v>1770</v>
      </c>
      <c r="G690" s="18" t="s">
        <v>120</v>
      </c>
      <c r="H690" s="18" t="s">
        <v>39</v>
      </c>
      <c r="I690" s="18">
        <v>18</v>
      </c>
      <c r="J690" s="19">
        <v>1642</v>
      </c>
      <c r="K690" s="19">
        <v>1034</v>
      </c>
      <c r="L690" s="20">
        <v>0.37</v>
      </c>
      <c r="M690" s="19">
        <v>668</v>
      </c>
      <c r="N690" s="19">
        <f>(tbl_raw[[#This Row],[Selling_Price]]-tbl_raw[[#This Row],[Cost_Price]])*tbl_raw[[#This Row],[Units_Sold]]</f>
        <v>6588</v>
      </c>
      <c r="O690" s="20">
        <f>IFERROR((tbl_raw[[#This Row],[Selling_Price]]-tbl_raw[[#This Row],[Cost_Price]]) / tbl_raw[[#This Row],[Selling_Price]],0)</f>
        <v>0.35396518375241781</v>
      </c>
      <c r="P690" s="19">
        <v>113</v>
      </c>
      <c r="Q690" s="19">
        <f>tbl_raw[[#This Row],[Gross_Profit]]-(tbl_raw[[#This Row],[Shipping_Cost]]*tbl_raw[[#This Row],[Units_Sold]])</f>
        <v>4554</v>
      </c>
      <c r="R690" s="20">
        <f>IFERROR(tbl_raw[[#This Row],[Net_Profit]]/(tbl_raw[[#This Row],[Selling_Price]]*tbl_raw[[#This Row],[Units_Sold]]),0)</f>
        <v>0.24468085106382978</v>
      </c>
      <c r="S690" s="18" t="s">
        <v>65</v>
      </c>
      <c r="T690" s="18" t="s">
        <v>32</v>
      </c>
      <c r="U690" s="18">
        <f>IF(tbl_raw[[#This Row],[Order_Status]]="Returned",1,0)</f>
        <v>0</v>
      </c>
      <c r="V690" s="18">
        <f>IF(tbl_raw[[#This Row],[Payment_Method]]="COD",1,0)</f>
        <v>0</v>
      </c>
      <c r="W690" s="21">
        <f>MIN(1,(tbl_raw[[#This Row],[Discount_Pct]]*1.4)+(tbl_raw[[#This Row],[COD_Flag]]*0.35))</f>
        <v>0.51800000000000002</v>
      </c>
    </row>
    <row r="691" spans="1:23" ht="22.8" x14ac:dyDescent="0.3">
      <c r="A691" s="22" t="s">
        <v>1771</v>
      </c>
      <c r="B691" s="23" t="s">
        <v>393</v>
      </c>
      <c r="C691" s="23" t="s">
        <v>72</v>
      </c>
      <c r="D691" s="23" t="s">
        <v>175</v>
      </c>
      <c r="E691" s="23" t="s">
        <v>225</v>
      </c>
      <c r="F691" s="23" t="s">
        <v>1772</v>
      </c>
      <c r="G691" s="23" t="s">
        <v>120</v>
      </c>
      <c r="H691" s="23" t="s">
        <v>39</v>
      </c>
      <c r="I691" s="23">
        <v>6</v>
      </c>
      <c r="J691" s="24">
        <v>6924</v>
      </c>
      <c r="K691" s="24">
        <v>4778</v>
      </c>
      <c r="L691" s="25">
        <v>0.31</v>
      </c>
      <c r="M691" s="24">
        <v>2783</v>
      </c>
      <c r="N691" s="24">
        <f>(tbl_raw[[#This Row],[Selling_Price]]-tbl_raw[[#This Row],[Cost_Price]])*tbl_raw[[#This Row],[Units_Sold]]</f>
        <v>11970</v>
      </c>
      <c r="O691" s="25">
        <f>IFERROR((tbl_raw[[#This Row],[Selling_Price]]-tbl_raw[[#This Row],[Cost_Price]]) / tbl_raw[[#This Row],[Selling_Price]],0)</f>
        <v>0.41753871912934282</v>
      </c>
      <c r="P691" s="24">
        <v>97</v>
      </c>
      <c r="Q691" s="24">
        <f>tbl_raw[[#This Row],[Gross_Profit]]-(tbl_raw[[#This Row],[Shipping_Cost]]*tbl_raw[[#This Row],[Units_Sold]])</f>
        <v>11388</v>
      </c>
      <c r="R691" s="25">
        <f>IFERROR(tbl_raw[[#This Row],[Net_Profit]]/(tbl_raw[[#This Row],[Selling_Price]]*tbl_raw[[#This Row],[Units_Sold]]),0)</f>
        <v>0.39723733779824194</v>
      </c>
      <c r="S691" s="23" t="s">
        <v>107</v>
      </c>
      <c r="T691" s="23" t="s">
        <v>32</v>
      </c>
      <c r="U691" s="23">
        <f>IF(tbl_raw[[#This Row],[Order_Status]]="Returned",1,0)</f>
        <v>0</v>
      </c>
      <c r="V691" s="23">
        <f>IF(tbl_raw[[#This Row],[Payment_Method]]="COD",1,0)</f>
        <v>0</v>
      </c>
      <c r="W691" s="26">
        <f>MIN(1,(tbl_raw[[#This Row],[Discount_Pct]]*1.4)+(tbl_raw[[#This Row],[COD_Flag]]*0.35))</f>
        <v>0.434</v>
      </c>
    </row>
    <row r="692" spans="1:23" ht="22.8" x14ac:dyDescent="0.3">
      <c r="A692" s="17" t="s">
        <v>1773</v>
      </c>
      <c r="B692" s="18" t="s">
        <v>259</v>
      </c>
      <c r="C692" s="18" t="s">
        <v>35</v>
      </c>
      <c r="D692" s="18" t="s">
        <v>164</v>
      </c>
      <c r="E692" s="18" t="s">
        <v>265</v>
      </c>
      <c r="F692" s="18" t="s">
        <v>1774</v>
      </c>
      <c r="G692" s="18" t="s">
        <v>143</v>
      </c>
      <c r="H692" s="18" t="s">
        <v>30</v>
      </c>
      <c r="I692" s="18">
        <v>2</v>
      </c>
      <c r="J692" s="19">
        <v>860</v>
      </c>
      <c r="K692" s="19">
        <v>808</v>
      </c>
      <c r="L692" s="20">
        <v>0.06</v>
      </c>
      <c r="M692" s="19">
        <v>434</v>
      </c>
      <c r="N692" s="19">
        <f>(tbl_raw[[#This Row],[Selling_Price]]-tbl_raw[[#This Row],[Cost_Price]])*tbl_raw[[#This Row],[Units_Sold]]</f>
        <v>748</v>
      </c>
      <c r="O692" s="20">
        <f>IFERROR((tbl_raw[[#This Row],[Selling_Price]]-tbl_raw[[#This Row],[Cost_Price]]) / tbl_raw[[#This Row],[Selling_Price]],0)</f>
        <v>0.46287128712871289</v>
      </c>
      <c r="P692" s="19">
        <v>175</v>
      </c>
      <c r="Q692" s="19">
        <f>tbl_raw[[#This Row],[Gross_Profit]]-(tbl_raw[[#This Row],[Shipping_Cost]]*tbl_raw[[#This Row],[Units_Sold]])</f>
        <v>398</v>
      </c>
      <c r="R692" s="20">
        <f>IFERROR(tbl_raw[[#This Row],[Net_Profit]]/(tbl_raw[[#This Row],[Selling_Price]]*tbl_raw[[#This Row],[Units_Sold]]),0)</f>
        <v>0.24628712871287128</v>
      </c>
      <c r="S692" s="18" t="s">
        <v>40</v>
      </c>
      <c r="T692" s="18" t="s">
        <v>49</v>
      </c>
      <c r="U692" s="18">
        <f>IF(tbl_raw[[#This Row],[Order_Status]]="Returned",1,0)</f>
        <v>0</v>
      </c>
      <c r="V692" s="18">
        <f>IF(tbl_raw[[#This Row],[Payment_Method]]="COD",1,0)</f>
        <v>1</v>
      </c>
      <c r="W692" s="21">
        <f>MIN(1,(tbl_raw[[#This Row],[Discount_Pct]]*1.4)+(tbl_raw[[#This Row],[COD_Flag]]*0.35))</f>
        <v>0.43399999999999994</v>
      </c>
    </row>
    <row r="693" spans="1:23" ht="22.8" x14ac:dyDescent="0.3">
      <c r="A693" s="22" t="s">
        <v>1775</v>
      </c>
      <c r="B693" s="23" t="s">
        <v>717</v>
      </c>
      <c r="C693" s="23" t="s">
        <v>132</v>
      </c>
      <c r="D693" s="23" t="s">
        <v>53</v>
      </c>
      <c r="E693" s="23" t="s">
        <v>149</v>
      </c>
      <c r="F693" s="23" t="s">
        <v>1776</v>
      </c>
      <c r="G693" s="23" t="s">
        <v>143</v>
      </c>
      <c r="H693" s="23" t="s">
        <v>30</v>
      </c>
      <c r="I693" s="23">
        <v>18</v>
      </c>
      <c r="J693" s="24">
        <v>3670</v>
      </c>
      <c r="K693" s="24">
        <v>2716</v>
      </c>
      <c r="L693" s="25">
        <v>0.26</v>
      </c>
      <c r="M693" s="24">
        <v>2361</v>
      </c>
      <c r="N693" s="24">
        <f>(tbl_raw[[#This Row],[Selling_Price]]-tbl_raw[[#This Row],[Cost_Price]])*tbl_raw[[#This Row],[Units_Sold]]</f>
        <v>6390</v>
      </c>
      <c r="O693" s="25">
        <f>IFERROR((tbl_raw[[#This Row],[Selling_Price]]-tbl_raw[[#This Row],[Cost_Price]]) / tbl_raw[[#This Row],[Selling_Price]],0)</f>
        <v>0.13070692194403535</v>
      </c>
      <c r="P693" s="24">
        <v>108</v>
      </c>
      <c r="Q693" s="24">
        <f>tbl_raw[[#This Row],[Gross_Profit]]-(tbl_raw[[#This Row],[Shipping_Cost]]*tbl_raw[[#This Row],[Units_Sold]])</f>
        <v>4446</v>
      </c>
      <c r="R693" s="25">
        <f>IFERROR(tbl_raw[[#This Row],[Net_Profit]]/(tbl_raw[[#This Row],[Selling_Price]]*tbl_raw[[#This Row],[Units_Sold]]),0)</f>
        <v>9.0942562592047124E-2</v>
      </c>
      <c r="S693" s="23" t="s">
        <v>107</v>
      </c>
      <c r="T693" s="23" t="s">
        <v>32</v>
      </c>
      <c r="U693" s="23">
        <f>IF(tbl_raw[[#This Row],[Order_Status]]="Returned",1,0)</f>
        <v>0</v>
      </c>
      <c r="V693" s="23">
        <f>IF(tbl_raw[[#This Row],[Payment_Method]]="COD",1,0)</f>
        <v>0</v>
      </c>
      <c r="W693" s="26">
        <f>MIN(1,(tbl_raw[[#This Row],[Discount_Pct]]*1.4)+(tbl_raw[[#This Row],[COD_Flag]]*0.35))</f>
        <v>0.36399999999999999</v>
      </c>
    </row>
    <row r="694" spans="1:23" ht="22.8" x14ac:dyDescent="0.3">
      <c r="A694" s="17" t="s">
        <v>1777</v>
      </c>
      <c r="B694" s="18" t="s">
        <v>360</v>
      </c>
      <c r="C694" s="18" t="s">
        <v>156</v>
      </c>
      <c r="D694" s="18" t="s">
        <v>26</v>
      </c>
      <c r="E694" s="18" t="s">
        <v>100</v>
      </c>
      <c r="F694" s="18" t="s">
        <v>1778</v>
      </c>
      <c r="G694" s="18" t="s">
        <v>29</v>
      </c>
      <c r="H694" s="18" t="s">
        <v>30</v>
      </c>
      <c r="I694" s="18">
        <v>5</v>
      </c>
      <c r="J694" s="19">
        <v>2538</v>
      </c>
      <c r="K694" s="19">
        <v>1599</v>
      </c>
      <c r="L694" s="20">
        <v>0.37</v>
      </c>
      <c r="M694" s="19">
        <v>1866</v>
      </c>
      <c r="N694" s="19">
        <f>(tbl_raw[[#This Row],[Selling_Price]]-tbl_raw[[#This Row],[Cost_Price]])*tbl_raw[[#This Row],[Units_Sold]]</f>
        <v>-1335</v>
      </c>
      <c r="O694" s="20">
        <f>IFERROR((tbl_raw[[#This Row],[Selling_Price]]-tbl_raw[[#This Row],[Cost_Price]]) / tbl_raw[[#This Row],[Selling_Price]],0)</f>
        <v>-0.16697936210131331</v>
      </c>
      <c r="P694" s="19">
        <v>120</v>
      </c>
      <c r="Q694" s="19">
        <f>tbl_raw[[#This Row],[Gross_Profit]]-(tbl_raw[[#This Row],[Shipping_Cost]]*tbl_raw[[#This Row],[Units_Sold]])</f>
        <v>-1935</v>
      </c>
      <c r="R694" s="20">
        <f>IFERROR(tbl_raw[[#This Row],[Net_Profit]]/(tbl_raw[[#This Row],[Selling_Price]]*tbl_raw[[#This Row],[Units_Sold]]),0)</f>
        <v>-0.24202626641651032</v>
      </c>
      <c r="S694" s="18" t="s">
        <v>40</v>
      </c>
      <c r="T694" s="18" t="s">
        <v>32</v>
      </c>
      <c r="U694" s="18">
        <f>IF(tbl_raw[[#This Row],[Order_Status]]="Returned",1,0)</f>
        <v>0</v>
      </c>
      <c r="V694" s="18">
        <f>IF(tbl_raw[[#This Row],[Payment_Method]]="COD",1,0)</f>
        <v>1</v>
      </c>
      <c r="W694" s="21">
        <f>MIN(1,(tbl_raw[[#This Row],[Discount_Pct]]*1.4)+(tbl_raw[[#This Row],[COD_Flag]]*0.35))</f>
        <v>0.86799999999999999</v>
      </c>
    </row>
    <row r="695" spans="1:23" ht="22.8" x14ac:dyDescent="0.3">
      <c r="A695" s="22" t="s">
        <v>1779</v>
      </c>
      <c r="B695" s="23" t="s">
        <v>704</v>
      </c>
      <c r="C695" s="23" t="s">
        <v>156</v>
      </c>
      <c r="D695" s="23" t="s">
        <v>78</v>
      </c>
      <c r="E695" s="23" t="s">
        <v>296</v>
      </c>
      <c r="F695" s="23" t="s">
        <v>1780</v>
      </c>
      <c r="G695" s="23" t="s">
        <v>143</v>
      </c>
      <c r="H695" s="23" t="s">
        <v>30</v>
      </c>
      <c r="I695" s="23">
        <v>9</v>
      </c>
      <c r="J695" s="24">
        <v>3178</v>
      </c>
      <c r="K695" s="24">
        <v>1875</v>
      </c>
      <c r="L695" s="25">
        <v>0.41</v>
      </c>
      <c r="M695" s="24">
        <v>1716</v>
      </c>
      <c r="N695" s="24">
        <f>(tbl_raw[[#This Row],[Selling_Price]]-tbl_raw[[#This Row],[Cost_Price]])*tbl_raw[[#This Row],[Units_Sold]]</f>
        <v>1431</v>
      </c>
      <c r="O695" s="25">
        <f>IFERROR((tbl_raw[[#This Row],[Selling_Price]]-tbl_raw[[#This Row],[Cost_Price]]) / tbl_raw[[#This Row],[Selling_Price]],0)</f>
        <v>8.48E-2</v>
      </c>
      <c r="P695" s="24">
        <v>42</v>
      </c>
      <c r="Q695" s="24">
        <f>tbl_raw[[#This Row],[Gross_Profit]]-(tbl_raw[[#This Row],[Shipping_Cost]]*tbl_raw[[#This Row],[Units_Sold]])</f>
        <v>1053</v>
      </c>
      <c r="R695" s="25">
        <f>IFERROR(tbl_raw[[#This Row],[Net_Profit]]/(tbl_raw[[#This Row],[Selling_Price]]*tbl_raw[[#This Row],[Units_Sold]]),0)</f>
        <v>6.2399999999999997E-2</v>
      </c>
      <c r="S695" s="23" t="s">
        <v>107</v>
      </c>
      <c r="T695" s="23" t="s">
        <v>49</v>
      </c>
      <c r="U695" s="23">
        <f>IF(tbl_raw[[#This Row],[Order_Status]]="Returned",1,0)</f>
        <v>0</v>
      </c>
      <c r="V695" s="23">
        <f>IF(tbl_raw[[#This Row],[Payment_Method]]="COD",1,0)</f>
        <v>0</v>
      </c>
      <c r="W695" s="26">
        <f>MIN(1,(tbl_raw[[#This Row],[Discount_Pct]]*1.4)+(tbl_raw[[#This Row],[COD_Flag]]*0.35))</f>
        <v>0.57399999999999995</v>
      </c>
    </row>
    <row r="696" spans="1:23" ht="22.8" x14ac:dyDescent="0.3">
      <c r="A696" s="17" t="s">
        <v>1781</v>
      </c>
      <c r="B696" s="18" t="s">
        <v>1265</v>
      </c>
      <c r="C696" s="18" t="s">
        <v>43</v>
      </c>
      <c r="D696" s="18" t="s">
        <v>94</v>
      </c>
      <c r="E696" s="18" t="s">
        <v>207</v>
      </c>
      <c r="F696" s="18" t="s">
        <v>1782</v>
      </c>
      <c r="G696" s="18" t="s">
        <v>143</v>
      </c>
      <c r="H696" s="18" t="s">
        <v>30</v>
      </c>
      <c r="I696" s="18">
        <v>7</v>
      </c>
      <c r="J696" s="19">
        <v>5773</v>
      </c>
      <c r="K696" s="19">
        <v>4330</v>
      </c>
      <c r="L696" s="20">
        <v>0.25</v>
      </c>
      <c r="M696" s="19">
        <v>3618</v>
      </c>
      <c r="N696" s="19">
        <f>(tbl_raw[[#This Row],[Selling_Price]]-tbl_raw[[#This Row],[Cost_Price]])*tbl_raw[[#This Row],[Units_Sold]]</f>
        <v>4984</v>
      </c>
      <c r="O696" s="20">
        <f>IFERROR((tbl_raw[[#This Row],[Selling_Price]]-tbl_raw[[#This Row],[Cost_Price]]) / tbl_raw[[#This Row],[Selling_Price]],0)</f>
        <v>0.16443418013856814</v>
      </c>
      <c r="P696" s="19">
        <v>107</v>
      </c>
      <c r="Q696" s="19">
        <f>tbl_raw[[#This Row],[Gross_Profit]]-(tbl_raw[[#This Row],[Shipping_Cost]]*tbl_raw[[#This Row],[Units_Sold]])</f>
        <v>4235</v>
      </c>
      <c r="R696" s="20">
        <f>IFERROR(tbl_raw[[#This Row],[Net_Profit]]/(tbl_raw[[#This Row],[Selling_Price]]*tbl_raw[[#This Row],[Units_Sold]]),0)</f>
        <v>0.13972286374133949</v>
      </c>
      <c r="S696" s="18" t="s">
        <v>40</v>
      </c>
      <c r="T696" s="18" t="s">
        <v>32</v>
      </c>
      <c r="U696" s="18">
        <f>IF(tbl_raw[[#This Row],[Order_Status]]="Returned",1,0)</f>
        <v>0</v>
      </c>
      <c r="V696" s="18">
        <f>IF(tbl_raw[[#This Row],[Payment_Method]]="COD",1,0)</f>
        <v>1</v>
      </c>
      <c r="W696" s="21">
        <f>MIN(1,(tbl_raw[[#This Row],[Discount_Pct]]*1.4)+(tbl_raw[[#This Row],[COD_Flag]]*0.35))</f>
        <v>0.7</v>
      </c>
    </row>
    <row r="697" spans="1:23" ht="22.8" x14ac:dyDescent="0.3">
      <c r="A697" s="22" t="s">
        <v>1783</v>
      </c>
      <c r="B697" s="23" t="s">
        <v>1784</v>
      </c>
      <c r="C697" s="23" t="s">
        <v>52</v>
      </c>
      <c r="D697" s="23" t="s">
        <v>26</v>
      </c>
      <c r="E697" s="23" t="s">
        <v>36</v>
      </c>
      <c r="F697" s="23" t="s">
        <v>1785</v>
      </c>
      <c r="G697" s="23" t="s">
        <v>120</v>
      </c>
      <c r="H697" s="23" t="s">
        <v>39</v>
      </c>
      <c r="I697" s="23">
        <v>9</v>
      </c>
      <c r="J697" s="24">
        <v>1172</v>
      </c>
      <c r="K697" s="24">
        <v>1113</v>
      </c>
      <c r="L697" s="25">
        <v>0.05</v>
      </c>
      <c r="M697" s="24">
        <v>694</v>
      </c>
      <c r="N697" s="24">
        <f>(tbl_raw[[#This Row],[Selling_Price]]-tbl_raw[[#This Row],[Cost_Price]])*tbl_raw[[#This Row],[Units_Sold]]</f>
        <v>3771</v>
      </c>
      <c r="O697" s="25">
        <f>IFERROR((tbl_raw[[#This Row],[Selling_Price]]-tbl_raw[[#This Row],[Cost_Price]]) / tbl_raw[[#This Row],[Selling_Price]],0)</f>
        <v>0.37646001796945194</v>
      </c>
      <c r="P697" s="24">
        <v>40</v>
      </c>
      <c r="Q697" s="24">
        <f>tbl_raw[[#This Row],[Gross_Profit]]-(tbl_raw[[#This Row],[Shipping_Cost]]*tbl_raw[[#This Row],[Units_Sold]])</f>
        <v>3411</v>
      </c>
      <c r="R697" s="25">
        <f>IFERROR(tbl_raw[[#This Row],[Net_Profit]]/(tbl_raw[[#This Row],[Selling_Price]]*tbl_raw[[#This Row],[Units_Sold]]),0)</f>
        <v>0.34052111410601976</v>
      </c>
      <c r="S697" s="23" t="s">
        <v>58</v>
      </c>
      <c r="T697" s="23" t="s">
        <v>32</v>
      </c>
      <c r="U697" s="23">
        <f>IF(tbl_raw[[#This Row],[Order_Status]]="Returned",1,0)</f>
        <v>0</v>
      </c>
      <c r="V697" s="23">
        <f>IF(tbl_raw[[#This Row],[Payment_Method]]="COD",1,0)</f>
        <v>0</v>
      </c>
      <c r="W697" s="26">
        <f>MIN(1,(tbl_raw[[#This Row],[Discount_Pct]]*1.4)+(tbl_raw[[#This Row],[COD_Flag]]*0.35))</f>
        <v>6.9999999999999993E-2</v>
      </c>
    </row>
    <row r="698" spans="1:23" ht="22.8" x14ac:dyDescent="0.3">
      <c r="A698" s="17" t="s">
        <v>1786</v>
      </c>
      <c r="B698" s="18" t="s">
        <v>1787</v>
      </c>
      <c r="C698" s="18" t="s">
        <v>99</v>
      </c>
      <c r="D698" s="18" t="s">
        <v>94</v>
      </c>
      <c r="E698" s="18" t="s">
        <v>180</v>
      </c>
      <c r="F698" s="18" t="s">
        <v>1788</v>
      </c>
      <c r="G698" s="18" t="s">
        <v>120</v>
      </c>
      <c r="H698" s="18" t="s">
        <v>39</v>
      </c>
      <c r="I698" s="18">
        <v>13</v>
      </c>
      <c r="J698" s="19">
        <v>7840</v>
      </c>
      <c r="K698" s="19">
        <v>7056</v>
      </c>
      <c r="L698" s="20">
        <v>0.1</v>
      </c>
      <c r="M698" s="19">
        <v>5748</v>
      </c>
      <c r="N698" s="19">
        <f>(tbl_raw[[#This Row],[Selling_Price]]-tbl_raw[[#This Row],[Cost_Price]])*tbl_raw[[#This Row],[Units_Sold]]</f>
        <v>17004</v>
      </c>
      <c r="O698" s="20">
        <f>IFERROR((tbl_raw[[#This Row],[Selling_Price]]-tbl_raw[[#This Row],[Cost_Price]]) / tbl_raw[[#This Row],[Selling_Price]],0)</f>
        <v>0.18537414965986396</v>
      </c>
      <c r="P698" s="19">
        <v>147</v>
      </c>
      <c r="Q698" s="19">
        <f>tbl_raw[[#This Row],[Gross_Profit]]-(tbl_raw[[#This Row],[Shipping_Cost]]*tbl_raw[[#This Row],[Units_Sold]])</f>
        <v>15093</v>
      </c>
      <c r="R698" s="20">
        <f>IFERROR(tbl_raw[[#This Row],[Net_Profit]]/(tbl_raw[[#This Row],[Selling_Price]]*tbl_raw[[#This Row],[Units_Sold]]),0)</f>
        <v>0.16454081632653061</v>
      </c>
      <c r="S698" s="18" t="s">
        <v>58</v>
      </c>
      <c r="T698" s="18" t="s">
        <v>32</v>
      </c>
      <c r="U698" s="18">
        <f>IF(tbl_raw[[#This Row],[Order_Status]]="Returned",1,0)</f>
        <v>0</v>
      </c>
      <c r="V698" s="18">
        <f>IF(tbl_raw[[#This Row],[Payment_Method]]="COD",1,0)</f>
        <v>0</v>
      </c>
      <c r="W698" s="21">
        <f>MIN(1,(tbl_raw[[#This Row],[Discount_Pct]]*1.4)+(tbl_raw[[#This Row],[COD_Flag]]*0.35))</f>
        <v>0.13999999999999999</v>
      </c>
    </row>
    <row r="699" spans="1:23" ht="22.8" x14ac:dyDescent="0.3">
      <c r="A699" s="22" t="s">
        <v>1789</v>
      </c>
      <c r="B699" s="23" t="s">
        <v>540</v>
      </c>
      <c r="C699" s="23" t="s">
        <v>99</v>
      </c>
      <c r="D699" s="23" t="s">
        <v>62</v>
      </c>
      <c r="E699" s="23" t="s">
        <v>110</v>
      </c>
      <c r="F699" s="23" t="s">
        <v>1790</v>
      </c>
      <c r="G699" s="23" t="s">
        <v>56</v>
      </c>
      <c r="H699" s="23" t="s">
        <v>57</v>
      </c>
      <c r="I699" s="23">
        <v>19</v>
      </c>
      <c r="J699" s="24">
        <v>6950</v>
      </c>
      <c r="K699" s="24">
        <v>5212</v>
      </c>
      <c r="L699" s="25">
        <v>0.25</v>
      </c>
      <c r="M699" s="24">
        <v>4258</v>
      </c>
      <c r="N699" s="24">
        <f>(tbl_raw[[#This Row],[Selling_Price]]-tbl_raw[[#This Row],[Cost_Price]])*tbl_raw[[#This Row],[Units_Sold]]</f>
        <v>18126</v>
      </c>
      <c r="O699" s="25">
        <f>IFERROR((tbl_raw[[#This Row],[Selling_Price]]-tbl_raw[[#This Row],[Cost_Price]]) / tbl_raw[[#This Row],[Selling_Price]],0)</f>
        <v>0.18303914044512662</v>
      </c>
      <c r="P699" s="24">
        <v>164</v>
      </c>
      <c r="Q699" s="24">
        <f>tbl_raw[[#This Row],[Gross_Profit]]-(tbl_raw[[#This Row],[Shipping_Cost]]*tbl_raw[[#This Row],[Units_Sold]])</f>
        <v>15010</v>
      </c>
      <c r="R699" s="25">
        <f>IFERROR(tbl_raw[[#This Row],[Net_Profit]]/(tbl_raw[[#This Row],[Selling_Price]]*tbl_raw[[#This Row],[Units_Sold]]),0)</f>
        <v>0.1515732924021489</v>
      </c>
      <c r="S699" s="23" t="s">
        <v>40</v>
      </c>
      <c r="T699" s="23" t="s">
        <v>59</v>
      </c>
      <c r="U699" s="23">
        <f>IF(tbl_raw[[#This Row],[Order_Status]]="Returned",1,0)</f>
        <v>0</v>
      </c>
      <c r="V699" s="23">
        <f>IF(tbl_raw[[#This Row],[Payment_Method]]="COD",1,0)</f>
        <v>1</v>
      </c>
      <c r="W699" s="26">
        <f>MIN(1,(tbl_raw[[#This Row],[Discount_Pct]]*1.4)+(tbl_raw[[#This Row],[COD_Flag]]*0.35))</f>
        <v>0.7</v>
      </c>
    </row>
    <row r="700" spans="1:23" ht="22.8" x14ac:dyDescent="0.3">
      <c r="A700" s="17" t="s">
        <v>1791</v>
      </c>
      <c r="B700" s="18" t="s">
        <v>646</v>
      </c>
      <c r="C700" s="18" t="s">
        <v>43</v>
      </c>
      <c r="D700" s="18" t="s">
        <v>78</v>
      </c>
      <c r="E700" s="18" t="s">
        <v>534</v>
      </c>
      <c r="F700" s="18" t="s">
        <v>1792</v>
      </c>
      <c r="G700" s="18" t="s">
        <v>81</v>
      </c>
      <c r="H700" s="18" t="s">
        <v>30</v>
      </c>
      <c r="I700" s="18">
        <v>9</v>
      </c>
      <c r="J700" s="19">
        <v>274</v>
      </c>
      <c r="K700" s="19">
        <v>211</v>
      </c>
      <c r="L700" s="20">
        <v>0.23</v>
      </c>
      <c r="M700" s="19">
        <v>125</v>
      </c>
      <c r="N700" s="19">
        <f>(tbl_raw[[#This Row],[Selling_Price]]-tbl_raw[[#This Row],[Cost_Price]])*tbl_raw[[#This Row],[Units_Sold]]</f>
        <v>774</v>
      </c>
      <c r="O700" s="20">
        <f>IFERROR((tbl_raw[[#This Row],[Selling_Price]]-tbl_raw[[#This Row],[Cost_Price]]) / tbl_raw[[#This Row],[Selling_Price]],0)</f>
        <v>0.40758293838862558</v>
      </c>
      <c r="P700" s="19">
        <v>49</v>
      </c>
      <c r="Q700" s="19">
        <f>tbl_raw[[#This Row],[Gross_Profit]]-(tbl_raw[[#This Row],[Shipping_Cost]]*tbl_raw[[#This Row],[Units_Sold]])</f>
        <v>333</v>
      </c>
      <c r="R700" s="20">
        <f>IFERROR(tbl_raw[[#This Row],[Net_Profit]]/(tbl_raw[[#This Row],[Selling_Price]]*tbl_raw[[#This Row],[Units_Sold]]),0)</f>
        <v>0.17535545023696683</v>
      </c>
      <c r="S700" s="18" t="s">
        <v>31</v>
      </c>
      <c r="T700" s="18" t="s">
        <v>32</v>
      </c>
      <c r="U700" s="18">
        <f>IF(tbl_raw[[#This Row],[Order_Status]]="Returned",1,0)</f>
        <v>0</v>
      </c>
      <c r="V700" s="18">
        <f>IF(tbl_raw[[#This Row],[Payment_Method]]="COD",1,0)</f>
        <v>0</v>
      </c>
      <c r="W700" s="21">
        <f>MIN(1,(tbl_raw[[#This Row],[Discount_Pct]]*1.4)+(tbl_raw[[#This Row],[COD_Flag]]*0.35))</f>
        <v>0.32200000000000001</v>
      </c>
    </row>
    <row r="701" spans="1:23" ht="22.8" x14ac:dyDescent="0.3">
      <c r="A701" s="22" t="s">
        <v>1793</v>
      </c>
      <c r="B701" s="23" t="s">
        <v>625</v>
      </c>
      <c r="C701" s="23" t="s">
        <v>156</v>
      </c>
      <c r="D701" s="23" t="s">
        <v>44</v>
      </c>
      <c r="E701" s="23" t="s">
        <v>73</v>
      </c>
      <c r="F701" s="23" t="s">
        <v>1794</v>
      </c>
      <c r="G701" s="23" t="s">
        <v>102</v>
      </c>
      <c r="H701" s="23" t="s">
        <v>39</v>
      </c>
      <c r="I701" s="23">
        <v>14</v>
      </c>
      <c r="J701" s="24">
        <v>5713</v>
      </c>
      <c r="K701" s="24">
        <v>5256</v>
      </c>
      <c r="L701" s="25">
        <v>0.08</v>
      </c>
      <c r="M701" s="24">
        <v>4257</v>
      </c>
      <c r="N701" s="24">
        <f>(tbl_raw[[#This Row],[Selling_Price]]-tbl_raw[[#This Row],[Cost_Price]])*tbl_raw[[#This Row],[Units_Sold]]</f>
        <v>13986</v>
      </c>
      <c r="O701" s="25">
        <f>IFERROR((tbl_raw[[#This Row],[Selling_Price]]-tbl_raw[[#This Row],[Cost_Price]]) / tbl_raw[[#This Row],[Selling_Price]],0)</f>
        <v>0.19006849315068494</v>
      </c>
      <c r="P701" s="24">
        <v>150</v>
      </c>
      <c r="Q701" s="24">
        <f>tbl_raw[[#This Row],[Gross_Profit]]-(tbl_raw[[#This Row],[Shipping_Cost]]*tbl_raw[[#This Row],[Units_Sold]])</f>
        <v>11886</v>
      </c>
      <c r="R701" s="25">
        <f>IFERROR(tbl_raw[[#This Row],[Net_Profit]]/(tbl_raw[[#This Row],[Selling_Price]]*tbl_raw[[#This Row],[Units_Sold]]),0)</f>
        <v>0.1615296803652968</v>
      </c>
      <c r="S701" s="23" t="s">
        <v>65</v>
      </c>
      <c r="T701" s="23" t="s">
        <v>49</v>
      </c>
      <c r="U701" s="23">
        <f>IF(tbl_raw[[#This Row],[Order_Status]]="Returned",1,0)</f>
        <v>0</v>
      </c>
      <c r="V701" s="23">
        <f>IF(tbl_raw[[#This Row],[Payment_Method]]="COD",1,0)</f>
        <v>0</v>
      </c>
      <c r="W701" s="26">
        <f>MIN(1,(tbl_raw[[#This Row],[Discount_Pct]]*1.4)+(tbl_raw[[#This Row],[COD_Flag]]*0.35))</f>
        <v>0.11199999999999999</v>
      </c>
    </row>
    <row r="702" spans="1:23" ht="22.8" x14ac:dyDescent="0.3">
      <c r="A702" s="17" t="s">
        <v>1795</v>
      </c>
      <c r="B702" s="18" t="s">
        <v>776</v>
      </c>
      <c r="C702" s="18" t="s">
        <v>105</v>
      </c>
      <c r="D702" s="18" t="s">
        <v>94</v>
      </c>
      <c r="E702" s="18" t="s">
        <v>180</v>
      </c>
      <c r="F702" s="18" t="s">
        <v>1796</v>
      </c>
      <c r="G702" s="18" t="s">
        <v>120</v>
      </c>
      <c r="H702" s="18" t="s">
        <v>39</v>
      </c>
      <c r="I702" s="18">
        <v>10</v>
      </c>
      <c r="J702" s="19">
        <v>3371</v>
      </c>
      <c r="K702" s="19">
        <v>2899</v>
      </c>
      <c r="L702" s="20">
        <v>0.14000000000000001</v>
      </c>
      <c r="M702" s="19">
        <v>1455</v>
      </c>
      <c r="N702" s="19">
        <f>(tbl_raw[[#This Row],[Selling_Price]]-tbl_raw[[#This Row],[Cost_Price]])*tbl_raw[[#This Row],[Units_Sold]]</f>
        <v>14440</v>
      </c>
      <c r="O702" s="20">
        <f>IFERROR((tbl_raw[[#This Row],[Selling_Price]]-tbl_raw[[#This Row],[Cost_Price]]) / tbl_raw[[#This Row],[Selling_Price]],0)</f>
        <v>0.49810279406691965</v>
      </c>
      <c r="P702" s="19">
        <v>42</v>
      </c>
      <c r="Q702" s="19">
        <f>tbl_raw[[#This Row],[Gross_Profit]]-(tbl_raw[[#This Row],[Shipping_Cost]]*tbl_raw[[#This Row],[Units_Sold]])</f>
        <v>14020</v>
      </c>
      <c r="R702" s="20">
        <f>IFERROR(tbl_raw[[#This Row],[Net_Profit]]/(tbl_raw[[#This Row],[Selling_Price]]*tbl_raw[[#This Row],[Units_Sold]]),0)</f>
        <v>0.48361503966885133</v>
      </c>
      <c r="S702" s="18" t="s">
        <v>40</v>
      </c>
      <c r="T702" s="18" t="s">
        <v>32</v>
      </c>
      <c r="U702" s="18">
        <f>IF(tbl_raw[[#This Row],[Order_Status]]="Returned",1,0)</f>
        <v>0</v>
      </c>
      <c r="V702" s="18">
        <f>IF(tbl_raw[[#This Row],[Payment_Method]]="COD",1,0)</f>
        <v>1</v>
      </c>
      <c r="W702" s="21">
        <f>MIN(1,(tbl_raw[[#This Row],[Discount_Pct]]*1.4)+(tbl_raw[[#This Row],[COD_Flag]]*0.35))</f>
        <v>0.54600000000000004</v>
      </c>
    </row>
    <row r="703" spans="1:23" ht="22.8" x14ac:dyDescent="0.3">
      <c r="A703" s="22" t="s">
        <v>1797</v>
      </c>
      <c r="B703" s="23" t="s">
        <v>1125</v>
      </c>
      <c r="C703" s="23" t="s">
        <v>132</v>
      </c>
      <c r="D703" s="23" t="s">
        <v>53</v>
      </c>
      <c r="E703" s="23" t="s">
        <v>54</v>
      </c>
      <c r="F703" s="23" t="s">
        <v>1798</v>
      </c>
      <c r="G703" s="23" t="s">
        <v>139</v>
      </c>
      <c r="H703" s="23" t="s">
        <v>48</v>
      </c>
      <c r="I703" s="23">
        <v>14</v>
      </c>
      <c r="J703" s="24">
        <v>5481</v>
      </c>
      <c r="K703" s="24">
        <v>3179</v>
      </c>
      <c r="L703" s="25">
        <v>0.42</v>
      </c>
      <c r="M703" s="24">
        <v>2454</v>
      </c>
      <c r="N703" s="24">
        <f>(tbl_raw[[#This Row],[Selling_Price]]-tbl_raw[[#This Row],[Cost_Price]])*tbl_raw[[#This Row],[Units_Sold]]</f>
        <v>10150</v>
      </c>
      <c r="O703" s="25">
        <f>IFERROR((tbl_raw[[#This Row],[Selling_Price]]-tbl_raw[[#This Row],[Cost_Price]]) / tbl_raw[[#This Row],[Selling_Price]],0)</f>
        <v>0.22805913809374018</v>
      </c>
      <c r="P703" s="24">
        <v>105</v>
      </c>
      <c r="Q703" s="24">
        <f>tbl_raw[[#This Row],[Gross_Profit]]-(tbl_raw[[#This Row],[Shipping_Cost]]*tbl_raw[[#This Row],[Units_Sold]])</f>
        <v>8680</v>
      </c>
      <c r="R703" s="25">
        <f>IFERROR(tbl_raw[[#This Row],[Net_Profit]]/(tbl_raw[[#This Row],[Selling_Price]]*tbl_raw[[#This Row],[Units_Sold]]),0)</f>
        <v>0.1950298836111985</v>
      </c>
      <c r="S703" s="23" t="s">
        <v>65</v>
      </c>
      <c r="T703" s="23" t="s">
        <v>32</v>
      </c>
      <c r="U703" s="23">
        <f>IF(tbl_raw[[#This Row],[Order_Status]]="Returned",1,0)</f>
        <v>0</v>
      </c>
      <c r="V703" s="23">
        <f>IF(tbl_raw[[#This Row],[Payment_Method]]="COD",1,0)</f>
        <v>0</v>
      </c>
      <c r="W703" s="26">
        <f>MIN(1,(tbl_raw[[#This Row],[Discount_Pct]]*1.4)+(tbl_raw[[#This Row],[COD_Flag]]*0.35))</f>
        <v>0.58799999999999997</v>
      </c>
    </row>
    <row r="704" spans="1:23" ht="22.8" x14ac:dyDescent="0.3">
      <c r="A704" s="17" t="s">
        <v>1799</v>
      </c>
      <c r="B704" s="18" t="s">
        <v>768</v>
      </c>
      <c r="C704" s="18" t="s">
        <v>199</v>
      </c>
      <c r="D704" s="18" t="s">
        <v>26</v>
      </c>
      <c r="E704" s="18" t="s">
        <v>168</v>
      </c>
      <c r="F704" s="18" t="s">
        <v>1800</v>
      </c>
      <c r="G704" s="18" t="s">
        <v>38</v>
      </c>
      <c r="H704" s="18" t="s">
        <v>39</v>
      </c>
      <c r="I704" s="18">
        <v>12</v>
      </c>
      <c r="J704" s="19">
        <v>2105</v>
      </c>
      <c r="K704" s="19">
        <v>1410</v>
      </c>
      <c r="L704" s="20">
        <v>0.33</v>
      </c>
      <c r="M704" s="19">
        <v>1543</v>
      </c>
      <c r="N704" s="19">
        <f>(tbl_raw[[#This Row],[Selling_Price]]-tbl_raw[[#This Row],[Cost_Price]])*tbl_raw[[#This Row],[Units_Sold]]</f>
        <v>-1596</v>
      </c>
      <c r="O704" s="20">
        <f>IFERROR((tbl_raw[[#This Row],[Selling_Price]]-tbl_raw[[#This Row],[Cost_Price]]) / tbl_raw[[#This Row],[Selling_Price]],0)</f>
        <v>-9.432624113475177E-2</v>
      </c>
      <c r="P704" s="19">
        <v>154</v>
      </c>
      <c r="Q704" s="19">
        <f>tbl_raw[[#This Row],[Gross_Profit]]-(tbl_raw[[#This Row],[Shipping_Cost]]*tbl_raw[[#This Row],[Units_Sold]])</f>
        <v>-3444</v>
      </c>
      <c r="R704" s="20">
        <f>IFERROR(tbl_raw[[#This Row],[Net_Profit]]/(tbl_raw[[#This Row],[Selling_Price]]*tbl_raw[[#This Row],[Units_Sold]]),0)</f>
        <v>-0.20354609929078013</v>
      </c>
      <c r="S704" s="18" t="s">
        <v>65</v>
      </c>
      <c r="T704" s="18" t="s">
        <v>32</v>
      </c>
      <c r="U704" s="18">
        <f>IF(tbl_raw[[#This Row],[Order_Status]]="Returned",1,0)</f>
        <v>0</v>
      </c>
      <c r="V704" s="18">
        <f>IF(tbl_raw[[#This Row],[Payment_Method]]="COD",1,0)</f>
        <v>0</v>
      </c>
      <c r="W704" s="21">
        <f>MIN(1,(tbl_raw[[#This Row],[Discount_Pct]]*1.4)+(tbl_raw[[#This Row],[COD_Flag]]*0.35))</f>
        <v>0.46199999999999997</v>
      </c>
    </row>
    <row r="705" spans="1:23" ht="22.8" x14ac:dyDescent="0.3">
      <c r="A705" s="22" t="s">
        <v>1801</v>
      </c>
      <c r="B705" s="23" t="s">
        <v>1802</v>
      </c>
      <c r="C705" s="23" t="s">
        <v>117</v>
      </c>
      <c r="D705" s="23" t="s">
        <v>94</v>
      </c>
      <c r="E705" s="23" t="s">
        <v>95</v>
      </c>
      <c r="F705" s="23" t="s">
        <v>1803</v>
      </c>
      <c r="G705" s="23" t="s">
        <v>56</v>
      </c>
      <c r="H705" s="23" t="s">
        <v>57</v>
      </c>
      <c r="I705" s="23">
        <v>5</v>
      </c>
      <c r="J705" s="24">
        <v>4207</v>
      </c>
      <c r="K705" s="24">
        <v>2398</v>
      </c>
      <c r="L705" s="25">
        <v>0.43</v>
      </c>
      <c r="M705" s="24">
        <v>2305</v>
      </c>
      <c r="N705" s="24">
        <f>(tbl_raw[[#This Row],[Selling_Price]]-tbl_raw[[#This Row],[Cost_Price]])*tbl_raw[[#This Row],[Units_Sold]]</f>
        <v>465</v>
      </c>
      <c r="O705" s="25">
        <f>IFERROR((tbl_raw[[#This Row],[Selling_Price]]-tbl_raw[[#This Row],[Cost_Price]]) / tbl_raw[[#This Row],[Selling_Price]],0)</f>
        <v>3.8782318598832362E-2</v>
      </c>
      <c r="P705" s="24">
        <v>87</v>
      </c>
      <c r="Q705" s="24">
        <f>tbl_raw[[#This Row],[Gross_Profit]]-(tbl_raw[[#This Row],[Shipping_Cost]]*tbl_raw[[#This Row],[Units_Sold]])</f>
        <v>30</v>
      </c>
      <c r="R705" s="25">
        <f>IFERROR(tbl_raw[[#This Row],[Net_Profit]]/(tbl_raw[[#This Row],[Selling_Price]]*tbl_raw[[#This Row],[Units_Sold]]),0)</f>
        <v>2.5020850708924102E-3</v>
      </c>
      <c r="S705" s="23" t="s">
        <v>107</v>
      </c>
      <c r="T705" s="23" t="s">
        <v>32</v>
      </c>
      <c r="U705" s="23">
        <f>IF(tbl_raw[[#This Row],[Order_Status]]="Returned",1,0)</f>
        <v>0</v>
      </c>
      <c r="V705" s="23">
        <f>IF(tbl_raw[[#This Row],[Payment_Method]]="COD",1,0)</f>
        <v>0</v>
      </c>
      <c r="W705" s="26">
        <f>MIN(1,(tbl_raw[[#This Row],[Discount_Pct]]*1.4)+(tbl_raw[[#This Row],[COD_Flag]]*0.35))</f>
        <v>0.60199999999999998</v>
      </c>
    </row>
    <row r="706" spans="1:23" ht="22.8" x14ac:dyDescent="0.3">
      <c r="A706" s="17" t="s">
        <v>1804</v>
      </c>
      <c r="B706" s="18" t="s">
        <v>892</v>
      </c>
      <c r="C706" s="18" t="s">
        <v>25</v>
      </c>
      <c r="D706" s="18" t="s">
        <v>175</v>
      </c>
      <c r="E706" s="18" t="s">
        <v>190</v>
      </c>
      <c r="F706" s="18" t="s">
        <v>1805</v>
      </c>
      <c r="G706" s="18" t="s">
        <v>75</v>
      </c>
      <c r="H706" s="18" t="s">
        <v>48</v>
      </c>
      <c r="I706" s="18">
        <v>10</v>
      </c>
      <c r="J706" s="19">
        <v>2265</v>
      </c>
      <c r="K706" s="19">
        <v>2265</v>
      </c>
      <c r="L706" s="20">
        <v>0</v>
      </c>
      <c r="M706" s="19">
        <v>1406</v>
      </c>
      <c r="N706" s="19">
        <f>(tbl_raw[[#This Row],[Selling_Price]]-tbl_raw[[#This Row],[Cost_Price]])*tbl_raw[[#This Row],[Units_Sold]]</f>
        <v>8590</v>
      </c>
      <c r="O706" s="20">
        <f>IFERROR((tbl_raw[[#This Row],[Selling_Price]]-tbl_raw[[#This Row],[Cost_Price]]) / tbl_raw[[#This Row],[Selling_Price]],0)</f>
        <v>0.37924944812362033</v>
      </c>
      <c r="P706" s="19">
        <v>89</v>
      </c>
      <c r="Q706" s="19">
        <f>tbl_raw[[#This Row],[Gross_Profit]]-(tbl_raw[[#This Row],[Shipping_Cost]]*tbl_raw[[#This Row],[Units_Sold]])</f>
        <v>7700</v>
      </c>
      <c r="R706" s="20">
        <f>IFERROR(tbl_raw[[#This Row],[Net_Profit]]/(tbl_raw[[#This Row],[Selling_Price]]*tbl_raw[[#This Row],[Units_Sold]]),0)</f>
        <v>0.33995584988962474</v>
      </c>
      <c r="S706" s="18" t="s">
        <v>107</v>
      </c>
      <c r="T706" s="18" t="s">
        <v>49</v>
      </c>
      <c r="U706" s="18">
        <f>IF(tbl_raw[[#This Row],[Order_Status]]="Returned",1,0)</f>
        <v>0</v>
      </c>
      <c r="V706" s="18">
        <f>IF(tbl_raw[[#This Row],[Payment_Method]]="COD",1,0)</f>
        <v>0</v>
      </c>
      <c r="W706" s="21">
        <f>MIN(1,(tbl_raw[[#This Row],[Discount_Pct]]*1.4)+(tbl_raw[[#This Row],[COD_Flag]]*0.35))</f>
        <v>0</v>
      </c>
    </row>
    <row r="707" spans="1:23" ht="22.8" x14ac:dyDescent="0.3">
      <c r="A707" s="22" t="s">
        <v>1806</v>
      </c>
      <c r="B707" s="23" t="s">
        <v>1336</v>
      </c>
      <c r="C707" s="23" t="s">
        <v>105</v>
      </c>
      <c r="D707" s="23" t="s">
        <v>26</v>
      </c>
      <c r="E707" s="23" t="s">
        <v>168</v>
      </c>
      <c r="F707" s="23" t="s">
        <v>1807</v>
      </c>
      <c r="G707" s="23" t="s">
        <v>75</v>
      </c>
      <c r="H707" s="23" t="s">
        <v>48</v>
      </c>
      <c r="I707" s="23">
        <v>2</v>
      </c>
      <c r="J707" s="24">
        <v>2975</v>
      </c>
      <c r="K707" s="24">
        <v>2142</v>
      </c>
      <c r="L707" s="25">
        <v>0.28000000000000003</v>
      </c>
      <c r="M707" s="24">
        <v>1532</v>
      </c>
      <c r="N707" s="24">
        <f>(tbl_raw[[#This Row],[Selling_Price]]-tbl_raw[[#This Row],[Cost_Price]])*tbl_raw[[#This Row],[Units_Sold]]</f>
        <v>1220</v>
      </c>
      <c r="O707" s="25">
        <f>IFERROR((tbl_raw[[#This Row],[Selling_Price]]-tbl_raw[[#This Row],[Cost_Price]]) / tbl_raw[[#This Row],[Selling_Price]],0)</f>
        <v>0.28478057889822594</v>
      </c>
      <c r="P707" s="24">
        <v>83</v>
      </c>
      <c r="Q707" s="24">
        <f>tbl_raw[[#This Row],[Gross_Profit]]-(tbl_raw[[#This Row],[Shipping_Cost]]*tbl_raw[[#This Row],[Units_Sold]])</f>
        <v>1054</v>
      </c>
      <c r="R707" s="25">
        <f>IFERROR(tbl_raw[[#This Row],[Net_Profit]]/(tbl_raw[[#This Row],[Selling_Price]]*tbl_raw[[#This Row],[Units_Sold]]),0)</f>
        <v>0.24603174603174602</v>
      </c>
      <c r="S707" s="23" t="s">
        <v>58</v>
      </c>
      <c r="T707" s="23" t="s">
        <v>32</v>
      </c>
      <c r="U707" s="23">
        <f>IF(tbl_raw[[#This Row],[Order_Status]]="Returned",1,0)</f>
        <v>0</v>
      </c>
      <c r="V707" s="23">
        <f>IF(tbl_raw[[#This Row],[Payment_Method]]="COD",1,0)</f>
        <v>0</v>
      </c>
      <c r="W707" s="26">
        <f>MIN(1,(tbl_raw[[#This Row],[Discount_Pct]]*1.4)+(tbl_raw[[#This Row],[COD_Flag]]*0.35))</f>
        <v>0.39200000000000002</v>
      </c>
    </row>
    <row r="708" spans="1:23" ht="22.8" x14ac:dyDescent="0.3">
      <c r="A708" s="17" t="s">
        <v>1808</v>
      </c>
      <c r="B708" s="18" t="s">
        <v>765</v>
      </c>
      <c r="C708" s="18" t="s">
        <v>52</v>
      </c>
      <c r="D708" s="18" t="s">
        <v>26</v>
      </c>
      <c r="E708" s="18" t="s">
        <v>125</v>
      </c>
      <c r="F708" s="18" t="s">
        <v>1809</v>
      </c>
      <c r="G708" s="18" t="s">
        <v>75</v>
      </c>
      <c r="H708" s="18" t="s">
        <v>48</v>
      </c>
      <c r="I708" s="18">
        <v>7</v>
      </c>
      <c r="J708" s="19">
        <v>861</v>
      </c>
      <c r="K708" s="19">
        <v>663</v>
      </c>
      <c r="L708" s="20">
        <v>0.23</v>
      </c>
      <c r="M708" s="19">
        <v>391</v>
      </c>
      <c r="N708" s="19">
        <f>(tbl_raw[[#This Row],[Selling_Price]]-tbl_raw[[#This Row],[Cost_Price]])*tbl_raw[[#This Row],[Units_Sold]]</f>
        <v>1904</v>
      </c>
      <c r="O708" s="20">
        <f>IFERROR((tbl_raw[[#This Row],[Selling_Price]]-tbl_raw[[#This Row],[Cost_Price]]) / tbl_raw[[#This Row],[Selling_Price]],0)</f>
        <v>0.41025641025641024</v>
      </c>
      <c r="P708" s="19">
        <v>49</v>
      </c>
      <c r="Q708" s="19">
        <f>tbl_raw[[#This Row],[Gross_Profit]]-(tbl_raw[[#This Row],[Shipping_Cost]]*tbl_raw[[#This Row],[Units_Sold]])</f>
        <v>1561</v>
      </c>
      <c r="R708" s="20">
        <f>IFERROR(tbl_raw[[#This Row],[Net_Profit]]/(tbl_raw[[#This Row],[Selling_Price]]*tbl_raw[[#This Row],[Units_Sold]]),0)</f>
        <v>0.33634992458521873</v>
      </c>
      <c r="S708" s="18" t="s">
        <v>31</v>
      </c>
      <c r="T708" s="18" t="s">
        <v>86</v>
      </c>
      <c r="U708" s="18">
        <f>IF(tbl_raw[[#This Row],[Order_Status]]="Returned",1,0)</f>
        <v>1</v>
      </c>
      <c r="V708" s="18">
        <f>IF(tbl_raw[[#This Row],[Payment_Method]]="COD",1,0)</f>
        <v>0</v>
      </c>
      <c r="W708" s="21">
        <f>MIN(1,(tbl_raw[[#This Row],[Discount_Pct]]*1.4)+(tbl_raw[[#This Row],[COD_Flag]]*0.35))</f>
        <v>0.32200000000000001</v>
      </c>
    </row>
    <row r="709" spans="1:23" ht="22.8" x14ac:dyDescent="0.3">
      <c r="A709" s="22" t="s">
        <v>1810</v>
      </c>
      <c r="B709" s="23" t="s">
        <v>98</v>
      </c>
      <c r="C709" s="23" t="s">
        <v>99</v>
      </c>
      <c r="D709" s="23" t="s">
        <v>62</v>
      </c>
      <c r="E709" s="23" t="s">
        <v>68</v>
      </c>
      <c r="F709" s="23" t="s">
        <v>1811</v>
      </c>
      <c r="G709" s="23" t="s">
        <v>143</v>
      </c>
      <c r="H709" s="23" t="s">
        <v>30</v>
      </c>
      <c r="I709" s="23">
        <v>12</v>
      </c>
      <c r="J709" s="24">
        <v>3541</v>
      </c>
      <c r="K709" s="24">
        <v>3258</v>
      </c>
      <c r="L709" s="25">
        <v>0.08</v>
      </c>
      <c r="M709" s="24">
        <v>2422</v>
      </c>
      <c r="N709" s="24">
        <f>(tbl_raw[[#This Row],[Selling_Price]]-tbl_raw[[#This Row],[Cost_Price]])*tbl_raw[[#This Row],[Units_Sold]]</f>
        <v>10032</v>
      </c>
      <c r="O709" s="25">
        <f>IFERROR((tbl_raw[[#This Row],[Selling_Price]]-tbl_raw[[#This Row],[Cost_Price]]) / tbl_raw[[#This Row],[Selling_Price]],0)</f>
        <v>0.25659914057704114</v>
      </c>
      <c r="P709" s="24">
        <v>46</v>
      </c>
      <c r="Q709" s="24">
        <f>tbl_raw[[#This Row],[Gross_Profit]]-(tbl_raw[[#This Row],[Shipping_Cost]]*tbl_raw[[#This Row],[Units_Sold]])</f>
        <v>9480</v>
      </c>
      <c r="R709" s="25">
        <f>IFERROR(tbl_raw[[#This Row],[Net_Profit]]/(tbl_raw[[#This Row],[Selling_Price]]*tbl_raw[[#This Row],[Units_Sold]]),0)</f>
        <v>0.24248004910988336</v>
      </c>
      <c r="S709" s="23" t="s">
        <v>31</v>
      </c>
      <c r="T709" s="23" t="s">
        <v>32</v>
      </c>
      <c r="U709" s="23">
        <f>IF(tbl_raw[[#This Row],[Order_Status]]="Returned",1,0)</f>
        <v>0</v>
      </c>
      <c r="V709" s="23">
        <f>IF(tbl_raw[[#This Row],[Payment_Method]]="COD",1,0)</f>
        <v>0</v>
      </c>
      <c r="W709" s="26">
        <f>MIN(1,(tbl_raw[[#This Row],[Discount_Pct]]*1.4)+(tbl_raw[[#This Row],[COD_Flag]]*0.35))</f>
        <v>0.11199999999999999</v>
      </c>
    </row>
    <row r="710" spans="1:23" ht="22.8" x14ac:dyDescent="0.3">
      <c r="A710" s="17" t="s">
        <v>1812</v>
      </c>
      <c r="B710" s="18" t="s">
        <v>646</v>
      </c>
      <c r="C710" s="18" t="s">
        <v>43</v>
      </c>
      <c r="D710" s="18" t="s">
        <v>78</v>
      </c>
      <c r="E710" s="18" t="s">
        <v>296</v>
      </c>
      <c r="F710" s="18" t="s">
        <v>1813</v>
      </c>
      <c r="G710" s="18" t="s">
        <v>29</v>
      </c>
      <c r="H710" s="18" t="s">
        <v>30</v>
      </c>
      <c r="I710" s="18">
        <v>4</v>
      </c>
      <c r="J710" s="19">
        <v>1679</v>
      </c>
      <c r="K710" s="19">
        <v>1645</v>
      </c>
      <c r="L710" s="20">
        <v>0.02</v>
      </c>
      <c r="M710" s="19">
        <v>903</v>
      </c>
      <c r="N710" s="19">
        <f>(tbl_raw[[#This Row],[Selling_Price]]-tbl_raw[[#This Row],[Cost_Price]])*tbl_raw[[#This Row],[Units_Sold]]</f>
        <v>2968</v>
      </c>
      <c r="O710" s="20">
        <f>IFERROR((tbl_raw[[#This Row],[Selling_Price]]-tbl_raw[[#This Row],[Cost_Price]]) / tbl_raw[[#This Row],[Selling_Price]],0)</f>
        <v>0.45106382978723403</v>
      </c>
      <c r="P710" s="19">
        <v>142</v>
      </c>
      <c r="Q710" s="19">
        <f>tbl_raw[[#This Row],[Gross_Profit]]-(tbl_raw[[#This Row],[Shipping_Cost]]*tbl_raw[[#This Row],[Units_Sold]])</f>
        <v>2400</v>
      </c>
      <c r="R710" s="20">
        <f>IFERROR(tbl_raw[[#This Row],[Net_Profit]]/(tbl_raw[[#This Row],[Selling_Price]]*tbl_raw[[#This Row],[Units_Sold]]),0)</f>
        <v>0.36474164133738601</v>
      </c>
      <c r="S710" s="18" t="s">
        <v>58</v>
      </c>
      <c r="T710" s="18" t="s">
        <v>32</v>
      </c>
      <c r="U710" s="18">
        <f>IF(tbl_raw[[#This Row],[Order_Status]]="Returned",1,0)</f>
        <v>0</v>
      </c>
      <c r="V710" s="18">
        <f>IF(tbl_raw[[#This Row],[Payment_Method]]="COD",1,0)</f>
        <v>0</v>
      </c>
      <c r="W710" s="21">
        <f>MIN(1,(tbl_raw[[#This Row],[Discount_Pct]]*1.4)+(tbl_raw[[#This Row],[COD_Flag]]*0.35))</f>
        <v>2.7999999999999997E-2</v>
      </c>
    </row>
    <row r="711" spans="1:23" ht="22.8" x14ac:dyDescent="0.3">
      <c r="A711" s="22" t="s">
        <v>1814</v>
      </c>
      <c r="B711" s="23" t="s">
        <v>836</v>
      </c>
      <c r="C711" s="23" t="s">
        <v>117</v>
      </c>
      <c r="D711" s="23" t="s">
        <v>53</v>
      </c>
      <c r="E711" s="23" t="s">
        <v>149</v>
      </c>
      <c r="F711" s="23" t="s">
        <v>1815</v>
      </c>
      <c r="G711" s="23" t="s">
        <v>75</v>
      </c>
      <c r="H711" s="23" t="s">
        <v>48</v>
      </c>
      <c r="I711" s="23">
        <v>18</v>
      </c>
      <c r="J711" s="24">
        <v>4065</v>
      </c>
      <c r="K711" s="24">
        <v>2805</v>
      </c>
      <c r="L711" s="25">
        <v>0.31</v>
      </c>
      <c r="M711" s="24">
        <v>1807</v>
      </c>
      <c r="N711" s="24">
        <f>(tbl_raw[[#This Row],[Selling_Price]]-tbl_raw[[#This Row],[Cost_Price]])*tbl_raw[[#This Row],[Units_Sold]]</f>
        <v>17964</v>
      </c>
      <c r="O711" s="25">
        <f>IFERROR((tbl_raw[[#This Row],[Selling_Price]]-tbl_raw[[#This Row],[Cost_Price]]) / tbl_raw[[#This Row],[Selling_Price]],0)</f>
        <v>0.35579322638146166</v>
      </c>
      <c r="P711" s="24">
        <v>143</v>
      </c>
      <c r="Q711" s="24">
        <f>tbl_raw[[#This Row],[Gross_Profit]]-(tbl_raw[[#This Row],[Shipping_Cost]]*tbl_raw[[#This Row],[Units_Sold]])</f>
        <v>15390</v>
      </c>
      <c r="R711" s="25">
        <f>IFERROR(tbl_raw[[#This Row],[Net_Profit]]/(tbl_raw[[#This Row],[Selling_Price]]*tbl_raw[[#This Row],[Units_Sold]]),0)</f>
        <v>0.30481283422459893</v>
      </c>
      <c r="S711" s="23" t="s">
        <v>31</v>
      </c>
      <c r="T711" s="23" t="s">
        <v>49</v>
      </c>
      <c r="U711" s="23">
        <f>IF(tbl_raw[[#This Row],[Order_Status]]="Returned",1,0)</f>
        <v>0</v>
      </c>
      <c r="V711" s="23">
        <f>IF(tbl_raw[[#This Row],[Payment_Method]]="COD",1,0)</f>
        <v>0</v>
      </c>
      <c r="W711" s="26">
        <f>MIN(1,(tbl_raw[[#This Row],[Discount_Pct]]*1.4)+(tbl_raw[[#This Row],[COD_Flag]]*0.35))</f>
        <v>0.434</v>
      </c>
    </row>
    <row r="712" spans="1:23" ht="22.8" x14ac:dyDescent="0.3">
      <c r="A712" s="17" t="s">
        <v>1816</v>
      </c>
      <c r="B712" s="18" t="s">
        <v>514</v>
      </c>
      <c r="C712" s="18" t="s">
        <v>52</v>
      </c>
      <c r="D712" s="18" t="s">
        <v>175</v>
      </c>
      <c r="E712" s="18" t="s">
        <v>354</v>
      </c>
      <c r="F712" s="18" t="s">
        <v>1817</v>
      </c>
      <c r="G712" s="18" t="s">
        <v>139</v>
      </c>
      <c r="H712" s="18" t="s">
        <v>48</v>
      </c>
      <c r="I712" s="18">
        <v>5</v>
      </c>
      <c r="J712" s="19">
        <v>1413</v>
      </c>
      <c r="K712" s="19">
        <v>1088</v>
      </c>
      <c r="L712" s="20">
        <v>0.23</v>
      </c>
      <c r="M712" s="19">
        <v>945</v>
      </c>
      <c r="N712" s="19">
        <f>(tbl_raw[[#This Row],[Selling_Price]]-tbl_raw[[#This Row],[Cost_Price]])*tbl_raw[[#This Row],[Units_Sold]]</f>
        <v>715</v>
      </c>
      <c r="O712" s="20">
        <f>IFERROR((tbl_raw[[#This Row],[Selling_Price]]-tbl_raw[[#This Row],[Cost_Price]]) / tbl_raw[[#This Row],[Selling_Price]],0)</f>
        <v>0.13143382352941177</v>
      </c>
      <c r="P712" s="19">
        <v>65</v>
      </c>
      <c r="Q712" s="19">
        <f>tbl_raw[[#This Row],[Gross_Profit]]-(tbl_raw[[#This Row],[Shipping_Cost]]*tbl_raw[[#This Row],[Units_Sold]])</f>
        <v>390</v>
      </c>
      <c r="R712" s="20">
        <f>IFERROR(tbl_raw[[#This Row],[Net_Profit]]/(tbl_raw[[#This Row],[Selling_Price]]*tbl_raw[[#This Row],[Units_Sold]]),0)</f>
        <v>7.169117647058823E-2</v>
      </c>
      <c r="S712" s="18" t="s">
        <v>107</v>
      </c>
      <c r="T712" s="18" t="s">
        <v>32</v>
      </c>
      <c r="U712" s="18">
        <f>IF(tbl_raw[[#This Row],[Order_Status]]="Returned",1,0)</f>
        <v>0</v>
      </c>
      <c r="V712" s="18">
        <f>IF(tbl_raw[[#This Row],[Payment_Method]]="COD",1,0)</f>
        <v>0</v>
      </c>
      <c r="W712" s="21">
        <f>MIN(1,(tbl_raw[[#This Row],[Discount_Pct]]*1.4)+(tbl_raw[[#This Row],[COD_Flag]]*0.35))</f>
        <v>0.32200000000000001</v>
      </c>
    </row>
    <row r="713" spans="1:23" ht="22.8" x14ac:dyDescent="0.3">
      <c r="A713" s="22" t="s">
        <v>1818</v>
      </c>
      <c r="B713" s="23" t="s">
        <v>1509</v>
      </c>
      <c r="C713" s="23" t="s">
        <v>132</v>
      </c>
      <c r="D713" s="23" t="s">
        <v>62</v>
      </c>
      <c r="E713" s="23" t="s">
        <v>63</v>
      </c>
      <c r="F713" s="23" t="s">
        <v>1819</v>
      </c>
      <c r="G713" s="23" t="s">
        <v>75</v>
      </c>
      <c r="H713" s="23" t="s">
        <v>48</v>
      </c>
      <c r="I713" s="23">
        <v>3</v>
      </c>
      <c r="J713" s="24">
        <v>6135</v>
      </c>
      <c r="K713" s="24">
        <v>5460</v>
      </c>
      <c r="L713" s="25">
        <v>0.11</v>
      </c>
      <c r="M713" s="24">
        <v>2781</v>
      </c>
      <c r="N713" s="24">
        <f>(tbl_raw[[#This Row],[Selling_Price]]-tbl_raw[[#This Row],[Cost_Price]])*tbl_raw[[#This Row],[Units_Sold]]</f>
        <v>8037</v>
      </c>
      <c r="O713" s="25">
        <f>IFERROR((tbl_raw[[#This Row],[Selling_Price]]-tbl_raw[[#This Row],[Cost_Price]]) / tbl_raw[[#This Row],[Selling_Price]],0)</f>
        <v>0.49065934065934064</v>
      </c>
      <c r="P713" s="24">
        <v>107</v>
      </c>
      <c r="Q713" s="24">
        <f>tbl_raw[[#This Row],[Gross_Profit]]-(tbl_raw[[#This Row],[Shipping_Cost]]*tbl_raw[[#This Row],[Units_Sold]])</f>
        <v>7716</v>
      </c>
      <c r="R713" s="25">
        <f>IFERROR(tbl_raw[[#This Row],[Net_Profit]]/(tbl_raw[[#This Row],[Selling_Price]]*tbl_raw[[#This Row],[Units_Sold]]),0)</f>
        <v>0.47106227106227105</v>
      </c>
      <c r="S713" s="23" t="s">
        <v>40</v>
      </c>
      <c r="T713" s="23" t="s">
        <v>32</v>
      </c>
      <c r="U713" s="23">
        <f>IF(tbl_raw[[#This Row],[Order_Status]]="Returned",1,0)</f>
        <v>0</v>
      </c>
      <c r="V713" s="23">
        <f>IF(tbl_raw[[#This Row],[Payment_Method]]="COD",1,0)</f>
        <v>1</v>
      </c>
      <c r="W713" s="26">
        <f>MIN(1,(tbl_raw[[#This Row],[Discount_Pct]]*1.4)+(tbl_raw[[#This Row],[COD_Flag]]*0.35))</f>
        <v>0.504</v>
      </c>
    </row>
    <row r="714" spans="1:23" ht="22.8" x14ac:dyDescent="0.3">
      <c r="A714" s="17" t="s">
        <v>1820</v>
      </c>
      <c r="B714" s="18" t="s">
        <v>250</v>
      </c>
      <c r="C714" s="18" t="s">
        <v>99</v>
      </c>
      <c r="D714" s="18" t="s">
        <v>94</v>
      </c>
      <c r="E714" s="18" t="s">
        <v>310</v>
      </c>
      <c r="F714" s="18" t="s">
        <v>1821</v>
      </c>
      <c r="G714" s="18" t="s">
        <v>75</v>
      </c>
      <c r="H714" s="18" t="s">
        <v>48</v>
      </c>
      <c r="I714" s="18">
        <v>4</v>
      </c>
      <c r="J714" s="19">
        <v>5669</v>
      </c>
      <c r="K714" s="19">
        <v>4365</v>
      </c>
      <c r="L714" s="20">
        <v>0.23</v>
      </c>
      <c r="M714" s="19">
        <v>2627</v>
      </c>
      <c r="N714" s="19">
        <f>(tbl_raw[[#This Row],[Selling_Price]]-tbl_raw[[#This Row],[Cost_Price]])*tbl_raw[[#This Row],[Units_Sold]]</f>
        <v>6952</v>
      </c>
      <c r="O714" s="20">
        <f>IFERROR((tbl_raw[[#This Row],[Selling_Price]]-tbl_raw[[#This Row],[Cost_Price]]) / tbl_raw[[#This Row],[Selling_Price]],0)</f>
        <v>0.39816723940435278</v>
      </c>
      <c r="P714" s="19">
        <v>179</v>
      </c>
      <c r="Q714" s="19">
        <f>tbl_raw[[#This Row],[Gross_Profit]]-(tbl_raw[[#This Row],[Shipping_Cost]]*tbl_raw[[#This Row],[Units_Sold]])</f>
        <v>6236</v>
      </c>
      <c r="R714" s="20">
        <f>IFERROR(tbl_raw[[#This Row],[Net_Profit]]/(tbl_raw[[#This Row],[Selling_Price]]*tbl_raw[[#This Row],[Units_Sold]]),0)</f>
        <v>0.35715922107674686</v>
      </c>
      <c r="S714" s="18" t="s">
        <v>65</v>
      </c>
      <c r="T714" s="18" t="s">
        <v>32</v>
      </c>
      <c r="U714" s="18">
        <f>IF(tbl_raw[[#This Row],[Order_Status]]="Returned",1,0)</f>
        <v>0</v>
      </c>
      <c r="V714" s="18">
        <f>IF(tbl_raw[[#This Row],[Payment_Method]]="COD",1,0)</f>
        <v>0</v>
      </c>
      <c r="W714" s="21">
        <f>MIN(1,(tbl_raw[[#This Row],[Discount_Pct]]*1.4)+(tbl_raw[[#This Row],[COD_Flag]]*0.35))</f>
        <v>0.32200000000000001</v>
      </c>
    </row>
    <row r="715" spans="1:23" ht="22.8" x14ac:dyDescent="0.3">
      <c r="A715" s="22" t="s">
        <v>1822</v>
      </c>
      <c r="B715" s="23" t="s">
        <v>1823</v>
      </c>
      <c r="C715" s="23" t="s">
        <v>72</v>
      </c>
      <c r="D715" s="23" t="s">
        <v>78</v>
      </c>
      <c r="E715" s="23" t="s">
        <v>296</v>
      </c>
      <c r="F715" s="23" t="s">
        <v>1824</v>
      </c>
      <c r="G715" s="23" t="s">
        <v>29</v>
      </c>
      <c r="H715" s="23" t="s">
        <v>30</v>
      </c>
      <c r="I715" s="23">
        <v>5</v>
      </c>
      <c r="J715" s="24">
        <v>3525</v>
      </c>
      <c r="K715" s="24">
        <v>2538</v>
      </c>
      <c r="L715" s="25">
        <v>0.28000000000000003</v>
      </c>
      <c r="M715" s="24">
        <v>1522</v>
      </c>
      <c r="N715" s="24">
        <f>(tbl_raw[[#This Row],[Selling_Price]]-tbl_raw[[#This Row],[Cost_Price]])*tbl_raw[[#This Row],[Units_Sold]]</f>
        <v>5080</v>
      </c>
      <c r="O715" s="25">
        <f>IFERROR((tbl_raw[[#This Row],[Selling_Price]]-tbl_raw[[#This Row],[Cost_Price]]) / tbl_raw[[#This Row],[Selling_Price]],0)</f>
        <v>0.40031520882584715</v>
      </c>
      <c r="P715" s="24">
        <v>38</v>
      </c>
      <c r="Q715" s="24">
        <f>tbl_raw[[#This Row],[Gross_Profit]]-(tbl_raw[[#This Row],[Shipping_Cost]]*tbl_raw[[#This Row],[Units_Sold]])</f>
        <v>4890</v>
      </c>
      <c r="R715" s="25">
        <f>IFERROR(tbl_raw[[#This Row],[Net_Profit]]/(tbl_raw[[#This Row],[Selling_Price]]*tbl_raw[[#This Row],[Units_Sold]]),0)</f>
        <v>0.38534278959810875</v>
      </c>
      <c r="S715" s="23" t="s">
        <v>31</v>
      </c>
      <c r="T715" s="23" t="s">
        <v>32</v>
      </c>
      <c r="U715" s="23">
        <f>IF(tbl_raw[[#This Row],[Order_Status]]="Returned",1,0)</f>
        <v>0</v>
      </c>
      <c r="V715" s="23">
        <f>IF(tbl_raw[[#This Row],[Payment_Method]]="COD",1,0)</f>
        <v>0</v>
      </c>
      <c r="W715" s="26">
        <f>MIN(1,(tbl_raw[[#This Row],[Discount_Pct]]*1.4)+(tbl_raw[[#This Row],[COD_Flag]]*0.35))</f>
        <v>0.39200000000000002</v>
      </c>
    </row>
    <row r="716" spans="1:23" ht="22.8" x14ac:dyDescent="0.3">
      <c r="A716" s="17" t="s">
        <v>1825</v>
      </c>
      <c r="B716" s="18" t="s">
        <v>1102</v>
      </c>
      <c r="C716" s="18" t="s">
        <v>35</v>
      </c>
      <c r="D716" s="18" t="s">
        <v>44</v>
      </c>
      <c r="E716" s="18" t="s">
        <v>275</v>
      </c>
      <c r="F716" s="18" t="s">
        <v>1826</v>
      </c>
      <c r="G716" s="18" t="s">
        <v>139</v>
      </c>
      <c r="H716" s="18" t="s">
        <v>48</v>
      </c>
      <c r="I716" s="18">
        <v>17</v>
      </c>
      <c r="J716" s="19">
        <v>3531</v>
      </c>
      <c r="K716" s="19">
        <v>3460</v>
      </c>
      <c r="L716" s="20">
        <v>0.02</v>
      </c>
      <c r="M716" s="19">
        <v>1548</v>
      </c>
      <c r="N716" s="19">
        <f>(tbl_raw[[#This Row],[Selling_Price]]-tbl_raw[[#This Row],[Cost_Price]])*tbl_raw[[#This Row],[Units_Sold]]</f>
        <v>32504</v>
      </c>
      <c r="O716" s="20">
        <f>IFERROR((tbl_raw[[#This Row],[Selling_Price]]-tbl_raw[[#This Row],[Cost_Price]]) / tbl_raw[[#This Row],[Selling_Price]],0)</f>
        <v>0.55260115606936411</v>
      </c>
      <c r="P716" s="19">
        <v>85</v>
      </c>
      <c r="Q716" s="19">
        <f>tbl_raw[[#This Row],[Gross_Profit]]-(tbl_raw[[#This Row],[Shipping_Cost]]*tbl_raw[[#This Row],[Units_Sold]])</f>
        <v>31059</v>
      </c>
      <c r="R716" s="20">
        <f>IFERROR(tbl_raw[[#This Row],[Net_Profit]]/(tbl_raw[[#This Row],[Selling_Price]]*tbl_raw[[#This Row],[Units_Sold]]),0)</f>
        <v>0.52803468208092486</v>
      </c>
      <c r="S716" s="18" t="s">
        <v>107</v>
      </c>
      <c r="T716" s="18" t="s">
        <v>32</v>
      </c>
      <c r="U716" s="18">
        <f>IF(tbl_raw[[#This Row],[Order_Status]]="Returned",1,0)</f>
        <v>0</v>
      </c>
      <c r="V716" s="18">
        <f>IF(tbl_raw[[#This Row],[Payment_Method]]="COD",1,0)</f>
        <v>0</v>
      </c>
      <c r="W716" s="21">
        <f>MIN(1,(tbl_raw[[#This Row],[Discount_Pct]]*1.4)+(tbl_raw[[#This Row],[COD_Flag]]*0.35))</f>
        <v>2.7999999999999997E-2</v>
      </c>
    </row>
    <row r="717" spans="1:23" ht="22.8" x14ac:dyDescent="0.3">
      <c r="A717" s="22" t="s">
        <v>1827</v>
      </c>
      <c r="B717" s="23" t="s">
        <v>720</v>
      </c>
      <c r="C717" s="23" t="s">
        <v>132</v>
      </c>
      <c r="D717" s="23" t="s">
        <v>26</v>
      </c>
      <c r="E717" s="23" t="s">
        <v>125</v>
      </c>
      <c r="F717" s="23" t="s">
        <v>1828</v>
      </c>
      <c r="G717" s="23" t="s">
        <v>56</v>
      </c>
      <c r="H717" s="23" t="s">
        <v>57</v>
      </c>
      <c r="I717" s="23">
        <v>7</v>
      </c>
      <c r="J717" s="24">
        <v>2425</v>
      </c>
      <c r="K717" s="24">
        <v>2110</v>
      </c>
      <c r="L717" s="25">
        <v>0.13</v>
      </c>
      <c r="M717" s="24">
        <v>1485</v>
      </c>
      <c r="N717" s="24">
        <f>(tbl_raw[[#This Row],[Selling_Price]]-tbl_raw[[#This Row],[Cost_Price]])*tbl_raw[[#This Row],[Units_Sold]]</f>
        <v>4375</v>
      </c>
      <c r="O717" s="25">
        <f>IFERROR((tbl_raw[[#This Row],[Selling_Price]]-tbl_raw[[#This Row],[Cost_Price]]) / tbl_raw[[#This Row],[Selling_Price]],0)</f>
        <v>0.29620853080568721</v>
      </c>
      <c r="P717" s="24">
        <v>95</v>
      </c>
      <c r="Q717" s="24">
        <f>tbl_raw[[#This Row],[Gross_Profit]]-(tbl_raw[[#This Row],[Shipping_Cost]]*tbl_raw[[#This Row],[Units_Sold]])</f>
        <v>3710</v>
      </c>
      <c r="R717" s="25">
        <f>IFERROR(tbl_raw[[#This Row],[Net_Profit]]/(tbl_raw[[#This Row],[Selling_Price]]*tbl_raw[[#This Row],[Units_Sold]]),0)</f>
        <v>0.25118483412322273</v>
      </c>
      <c r="S717" s="23" t="s">
        <v>107</v>
      </c>
      <c r="T717" s="23" t="s">
        <v>32</v>
      </c>
      <c r="U717" s="23">
        <f>IF(tbl_raw[[#This Row],[Order_Status]]="Returned",1,0)</f>
        <v>0</v>
      </c>
      <c r="V717" s="23">
        <f>IF(tbl_raw[[#This Row],[Payment_Method]]="COD",1,0)</f>
        <v>0</v>
      </c>
      <c r="W717" s="26">
        <f>MIN(1,(tbl_raw[[#This Row],[Discount_Pct]]*1.4)+(tbl_raw[[#This Row],[COD_Flag]]*0.35))</f>
        <v>0.182</v>
      </c>
    </row>
    <row r="718" spans="1:23" ht="22.8" x14ac:dyDescent="0.3">
      <c r="A718" s="17" t="s">
        <v>1829</v>
      </c>
      <c r="B718" s="18" t="s">
        <v>1411</v>
      </c>
      <c r="C718" s="18" t="s">
        <v>99</v>
      </c>
      <c r="D718" s="18" t="s">
        <v>175</v>
      </c>
      <c r="E718" s="18" t="s">
        <v>354</v>
      </c>
      <c r="F718" s="18" t="s">
        <v>1830</v>
      </c>
      <c r="G718" s="18" t="s">
        <v>38</v>
      </c>
      <c r="H718" s="18" t="s">
        <v>39</v>
      </c>
      <c r="I718" s="18">
        <v>5</v>
      </c>
      <c r="J718" s="19">
        <v>2783</v>
      </c>
      <c r="K718" s="19">
        <v>1865</v>
      </c>
      <c r="L718" s="20">
        <v>0.33</v>
      </c>
      <c r="M718" s="19">
        <v>1465</v>
      </c>
      <c r="N718" s="19">
        <f>(tbl_raw[[#This Row],[Selling_Price]]-tbl_raw[[#This Row],[Cost_Price]])*tbl_raw[[#This Row],[Units_Sold]]</f>
        <v>2000</v>
      </c>
      <c r="O718" s="20">
        <f>IFERROR((tbl_raw[[#This Row],[Selling_Price]]-tbl_raw[[#This Row],[Cost_Price]]) / tbl_raw[[#This Row],[Selling_Price]],0)</f>
        <v>0.21447721179624665</v>
      </c>
      <c r="P718" s="19">
        <v>147</v>
      </c>
      <c r="Q718" s="19">
        <f>tbl_raw[[#This Row],[Gross_Profit]]-(tbl_raw[[#This Row],[Shipping_Cost]]*tbl_raw[[#This Row],[Units_Sold]])</f>
        <v>1265</v>
      </c>
      <c r="R718" s="20">
        <f>IFERROR(tbl_raw[[#This Row],[Net_Profit]]/(tbl_raw[[#This Row],[Selling_Price]]*tbl_raw[[#This Row],[Units_Sold]]),0)</f>
        <v>0.135656836461126</v>
      </c>
      <c r="S718" s="18" t="s">
        <v>65</v>
      </c>
      <c r="T718" s="18" t="s">
        <v>32</v>
      </c>
      <c r="U718" s="18">
        <f>IF(tbl_raw[[#This Row],[Order_Status]]="Returned",1,0)</f>
        <v>0</v>
      </c>
      <c r="V718" s="18">
        <f>IF(tbl_raw[[#This Row],[Payment_Method]]="COD",1,0)</f>
        <v>0</v>
      </c>
      <c r="W718" s="21">
        <f>MIN(1,(tbl_raw[[#This Row],[Discount_Pct]]*1.4)+(tbl_raw[[#This Row],[COD_Flag]]*0.35))</f>
        <v>0.46199999999999997</v>
      </c>
    </row>
    <row r="719" spans="1:23" ht="22.8" x14ac:dyDescent="0.3">
      <c r="A719" s="22" t="s">
        <v>1831</v>
      </c>
      <c r="B719" s="23" t="s">
        <v>1333</v>
      </c>
      <c r="C719" s="23" t="s">
        <v>99</v>
      </c>
      <c r="D719" s="23" t="s">
        <v>78</v>
      </c>
      <c r="E719" s="23" t="s">
        <v>296</v>
      </c>
      <c r="F719" s="23" t="s">
        <v>1832</v>
      </c>
      <c r="G719" s="23" t="s">
        <v>81</v>
      </c>
      <c r="H719" s="23" t="s">
        <v>30</v>
      </c>
      <c r="I719" s="23">
        <v>20</v>
      </c>
      <c r="J719" s="24">
        <v>1139</v>
      </c>
      <c r="K719" s="24">
        <v>843</v>
      </c>
      <c r="L719" s="25">
        <v>0.26</v>
      </c>
      <c r="M719" s="24">
        <v>819</v>
      </c>
      <c r="N719" s="24">
        <f>(tbl_raw[[#This Row],[Selling_Price]]-tbl_raw[[#This Row],[Cost_Price]])*tbl_raw[[#This Row],[Units_Sold]]</f>
        <v>480</v>
      </c>
      <c r="O719" s="25">
        <f>IFERROR((tbl_raw[[#This Row],[Selling_Price]]-tbl_raw[[#This Row],[Cost_Price]]) / tbl_raw[[#This Row],[Selling_Price]],0)</f>
        <v>2.8469750889679714E-2</v>
      </c>
      <c r="P719" s="24">
        <v>128</v>
      </c>
      <c r="Q719" s="24">
        <f>tbl_raw[[#This Row],[Gross_Profit]]-(tbl_raw[[#This Row],[Shipping_Cost]]*tbl_raw[[#This Row],[Units_Sold]])</f>
        <v>-2080</v>
      </c>
      <c r="R719" s="25">
        <f>IFERROR(tbl_raw[[#This Row],[Net_Profit]]/(tbl_raw[[#This Row],[Selling_Price]]*tbl_raw[[#This Row],[Units_Sold]]),0)</f>
        <v>-0.12336892052194544</v>
      </c>
      <c r="S719" s="23" t="s">
        <v>40</v>
      </c>
      <c r="T719" s="23" t="s">
        <v>32</v>
      </c>
      <c r="U719" s="23">
        <f>IF(tbl_raw[[#This Row],[Order_Status]]="Returned",1,0)</f>
        <v>0</v>
      </c>
      <c r="V719" s="23">
        <f>IF(tbl_raw[[#This Row],[Payment_Method]]="COD",1,0)</f>
        <v>1</v>
      </c>
      <c r="W719" s="26">
        <f>MIN(1,(tbl_raw[[#This Row],[Discount_Pct]]*1.4)+(tbl_raw[[#This Row],[COD_Flag]]*0.35))</f>
        <v>0.71399999999999997</v>
      </c>
    </row>
    <row r="720" spans="1:23" ht="22.8" x14ac:dyDescent="0.3">
      <c r="A720" s="17" t="s">
        <v>1833</v>
      </c>
      <c r="B720" s="18" t="s">
        <v>745</v>
      </c>
      <c r="C720" s="18" t="s">
        <v>72</v>
      </c>
      <c r="D720" s="18" t="s">
        <v>44</v>
      </c>
      <c r="E720" s="18" t="s">
        <v>279</v>
      </c>
      <c r="F720" s="18" t="s">
        <v>1834</v>
      </c>
      <c r="G720" s="18" t="s">
        <v>75</v>
      </c>
      <c r="H720" s="18" t="s">
        <v>48</v>
      </c>
      <c r="I720" s="18">
        <v>7</v>
      </c>
      <c r="J720" s="19">
        <v>4362</v>
      </c>
      <c r="K720" s="19">
        <v>4057</v>
      </c>
      <c r="L720" s="20">
        <v>7.0000000000000007E-2</v>
      </c>
      <c r="M720" s="19">
        <v>1940</v>
      </c>
      <c r="N720" s="19">
        <f>(tbl_raw[[#This Row],[Selling_Price]]-tbl_raw[[#This Row],[Cost_Price]])*tbl_raw[[#This Row],[Units_Sold]]</f>
        <v>14819</v>
      </c>
      <c r="O720" s="20">
        <f>IFERROR((tbl_raw[[#This Row],[Selling_Price]]-tbl_raw[[#This Row],[Cost_Price]]) / tbl_raw[[#This Row],[Selling_Price]],0)</f>
        <v>0.52181414838550655</v>
      </c>
      <c r="P720" s="19">
        <v>93</v>
      </c>
      <c r="Q720" s="19">
        <f>tbl_raw[[#This Row],[Gross_Profit]]-(tbl_raw[[#This Row],[Shipping_Cost]]*tbl_raw[[#This Row],[Units_Sold]])</f>
        <v>14168</v>
      </c>
      <c r="R720" s="20">
        <f>IFERROR(tbl_raw[[#This Row],[Net_Profit]]/(tbl_raw[[#This Row],[Selling_Price]]*tbl_raw[[#This Row],[Units_Sold]]),0)</f>
        <v>0.49889080601429625</v>
      </c>
      <c r="S720" s="18" t="s">
        <v>107</v>
      </c>
      <c r="T720" s="18" t="s">
        <v>86</v>
      </c>
      <c r="U720" s="18">
        <f>IF(tbl_raw[[#This Row],[Order_Status]]="Returned",1,0)</f>
        <v>1</v>
      </c>
      <c r="V720" s="18">
        <f>IF(tbl_raw[[#This Row],[Payment_Method]]="COD",1,0)</f>
        <v>0</v>
      </c>
      <c r="W720" s="21">
        <f>MIN(1,(tbl_raw[[#This Row],[Discount_Pct]]*1.4)+(tbl_raw[[#This Row],[COD_Flag]]*0.35))</f>
        <v>9.8000000000000004E-2</v>
      </c>
    </row>
    <row r="721" spans="1:23" ht="22.8" x14ac:dyDescent="0.3">
      <c r="A721" s="22" t="s">
        <v>1835</v>
      </c>
      <c r="B721" s="23" t="s">
        <v>762</v>
      </c>
      <c r="C721" s="23" t="s">
        <v>105</v>
      </c>
      <c r="D721" s="23" t="s">
        <v>44</v>
      </c>
      <c r="E721" s="23" t="s">
        <v>275</v>
      </c>
      <c r="F721" s="23" t="s">
        <v>1836</v>
      </c>
      <c r="G721" s="23" t="s">
        <v>120</v>
      </c>
      <c r="H721" s="23" t="s">
        <v>39</v>
      </c>
      <c r="I721" s="23">
        <v>14</v>
      </c>
      <c r="J721" s="24">
        <v>728</v>
      </c>
      <c r="K721" s="24">
        <v>590</v>
      </c>
      <c r="L721" s="25">
        <v>0.19</v>
      </c>
      <c r="M721" s="24">
        <v>529</v>
      </c>
      <c r="N721" s="24">
        <f>(tbl_raw[[#This Row],[Selling_Price]]-tbl_raw[[#This Row],[Cost_Price]])*tbl_raw[[#This Row],[Units_Sold]]</f>
        <v>854</v>
      </c>
      <c r="O721" s="25">
        <f>IFERROR((tbl_raw[[#This Row],[Selling_Price]]-tbl_raw[[#This Row],[Cost_Price]]) / tbl_raw[[#This Row],[Selling_Price]],0)</f>
        <v>0.10338983050847457</v>
      </c>
      <c r="P721" s="24">
        <v>106</v>
      </c>
      <c r="Q721" s="24">
        <f>tbl_raw[[#This Row],[Gross_Profit]]-(tbl_raw[[#This Row],[Shipping_Cost]]*tbl_raw[[#This Row],[Units_Sold]])</f>
        <v>-630</v>
      </c>
      <c r="R721" s="25">
        <f>IFERROR(tbl_raw[[#This Row],[Net_Profit]]/(tbl_raw[[#This Row],[Selling_Price]]*tbl_raw[[#This Row],[Units_Sold]]),0)</f>
        <v>-7.6271186440677971E-2</v>
      </c>
      <c r="S721" s="23" t="s">
        <v>58</v>
      </c>
      <c r="T721" s="23" t="s">
        <v>32</v>
      </c>
      <c r="U721" s="23">
        <f>IF(tbl_raw[[#This Row],[Order_Status]]="Returned",1,0)</f>
        <v>0</v>
      </c>
      <c r="V721" s="23">
        <f>IF(tbl_raw[[#This Row],[Payment_Method]]="COD",1,0)</f>
        <v>0</v>
      </c>
      <c r="W721" s="26">
        <f>MIN(1,(tbl_raw[[#This Row],[Discount_Pct]]*1.4)+(tbl_raw[[#This Row],[COD_Flag]]*0.35))</f>
        <v>0.26599999999999996</v>
      </c>
    </row>
    <row r="722" spans="1:23" ht="22.8" x14ac:dyDescent="0.3">
      <c r="A722" s="17" t="s">
        <v>1837</v>
      </c>
      <c r="B722" s="18" t="s">
        <v>1213</v>
      </c>
      <c r="C722" s="18" t="s">
        <v>43</v>
      </c>
      <c r="D722" s="18" t="s">
        <v>26</v>
      </c>
      <c r="E722" s="18" t="s">
        <v>36</v>
      </c>
      <c r="F722" s="18" t="s">
        <v>1838</v>
      </c>
      <c r="G722" s="18" t="s">
        <v>29</v>
      </c>
      <c r="H722" s="18" t="s">
        <v>30</v>
      </c>
      <c r="I722" s="18">
        <v>13</v>
      </c>
      <c r="J722" s="19">
        <v>4061</v>
      </c>
      <c r="K722" s="19">
        <v>3086</v>
      </c>
      <c r="L722" s="20">
        <v>0.24</v>
      </c>
      <c r="M722" s="19">
        <v>2354</v>
      </c>
      <c r="N722" s="19">
        <f>(tbl_raw[[#This Row],[Selling_Price]]-tbl_raw[[#This Row],[Cost_Price]])*tbl_raw[[#This Row],[Units_Sold]]</f>
        <v>9516</v>
      </c>
      <c r="O722" s="20">
        <f>IFERROR((tbl_raw[[#This Row],[Selling_Price]]-tbl_raw[[#This Row],[Cost_Price]]) / tbl_raw[[#This Row],[Selling_Price]],0)</f>
        <v>0.23720025923525601</v>
      </c>
      <c r="P722" s="19">
        <v>41</v>
      </c>
      <c r="Q722" s="19">
        <f>tbl_raw[[#This Row],[Gross_Profit]]-(tbl_raw[[#This Row],[Shipping_Cost]]*tbl_raw[[#This Row],[Units_Sold]])</f>
        <v>8983</v>
      </c>
      <c r="R722" s="20">
        <f>IFERROR(tbl_raw[[#This Row],[Net_Profit]]/(tbl_raw[[#This Row],[Selling_Price]]*tbl_raw[[#This Row],[Units_Sold]]),0)</f>
        <v>0.22391445236552171</v>
      </c>
      <c r="S722" s="18" t="s">
        <v>31</v>
      </c>
      <c r="T722" s="18" t="s">
        <v>32</v>
      </c>
      <c r="U722" s="18">
        <f>IF(tbl_raw[[#This Row],[Order_Status]]="Returned",1,0)</f>
        <v>0</v>
      </c>
      <c r="V722" s="18">
        <f>IF(tbl_raw[[#This Row],[Payment_Method]]="COD",1,0)</f>
        <v>0</v>
      </c>
      <c r="W722" s="21">
        <f>MIN(1,(tbl_raw[[#This Row],[Discount_Pct]]*1.4)+(tbl_raw[[#This Row],[COD_Flag]]*0.35))</f>
        <v>0.33599999999999997</v>
      </c>
    </row>
    <row r="723" spans="1:23" ht="22.8" x14ac:dyDescent="0.3">
      <c r="A723" s="22" t="s">
        <v>1839</v>
      </c>
      <c r="B723" s="23" t="s">
        <v>1784</v>
      </c>
      <c r="C723" s="23" t="s">
        <v>52</v>
      </c>
      <c r="D723" s="23" t="s">
        <v>53</v>
      </c>
      <c r="E723" s="23" t="s">
        <v>145</v>
      </c>
      <c r="F723" s="23" t="s">
        <v>1840</v>
      </c>
      <c r="G723" s="23" t="s">
        <v>139</v>
      </c>
      <c r="H723" s="23" t="s">
        <v>48</v>
      </c>
      <c r="I723" s="23">
        <v>6</v>
      </c>
      <c r="J723" s="24">
        <v>4661</v>
      </c>
      <c r="K723" s="24">
        <v>3403</v>
      </c>
      <c r="L723" s="25">
        <v>0.27</v>
      </c>
      <c r="M723" s="24">
        <v>1879</v>
      </c>
      <c r="N723" s="24">
        <f>(tbl_raw[[#This Row],[Selling_Price]]-tbl_raw[[#This Row],[Cost_Price]])*tbl_raw[[#This Row],[Units_Sold]]</f>
        <v>9144</v>
      </c>
      <c r="O723" s="25">
        <f>IFERROR((tbl_raw[[#This Row],[Selling_Price]]-tbl_raw[[#This Row],[Cost_Price]]) / tbl_raw[[#This Row],[Selling_Price]],0)</f>
        <v>0.44784014105201292</v>
      </c>
      <c r="P723" s="24">
        <v>169</v>
      </c>
      <c r="Q723" s="24">
        <f>tbl_raw[[#This Row],[Gross_Profit]]-(tbl_raw[[#This Row],[Shipping_Cost]]*tbl_raw[[#This Row],[Units_Sold]])</f>
        <v>8130</v>
      </c>
      <c r="R723" s="25">
        <f>IFERROR(tbl_raw[[#This Row],[Net_Profit]]/(tbl_raw[[#This Row],[Selling_Price]]*tbl_raw[[#This Row],[Units_Sold]]),0)</f>
        <v>0.39817807816632383</v>
      </c>
      <c r="S723" s="23" t="s">
        <v>65</v>
      </c>
      <c r="T723" s="23" t="s">
        <v>32</v>
      </c>
      <c r="U723" s="23">
        <f>IF(tbl_raw[[#This Row],[Order_Status]]="Returned",1,0)</f>
        <v>0</v>
      </c>
      <c r="V723" s="23">
        <f>IF(tbl_raw[[#This Row],[Payment_Method]]="COD",1,0)</f>
        <v>0</v>
      </c>
      <c r="W723" s="26">
        <f>MIN(1,(tbl_raw[[#This Row],[Discount_Pct]]*1.4)+(tbl_raw[[#This Row],[COD_Flag]]*0.35))</f>
        <v>0.378</v>
      </c>
    </row>
    <row r="724" spans="1:23" ht="22.8" x14ac:dyDescent="0.3">
      <c r="A724" s="17" t="s">
        <v>1841</v>
      </c>
      <c r="B724" s="18" t="s">
        <v>524</v>
      </c>
      <c r="C724" s="18" t="s">
        <v>105</v>
      </c>
      <c r="D724" s="18" t="s">
        <v>53</v>
      </c>
      <c r="E724" s="18" t="s">
        <v>145</v>
      </c>
      <c r="F724" s="18" t="s">
        <v>1842</v>
      </c>
      <c r="G724" s="18" t="s">
        <v>143</v>
      </c>
      <c r="H724" s="18" t="s">
        <v>30</v>
      </c>
      <c r="I724" s="18">
        <v>18</v>
      </c>
      <c r="J724" s="19">
        <v>1129</v>
      </c>
      <c r="K724" s="19">
        <v>1016</v>
      </c>
      <c r="L724" s="20">
        <v>0.1</v>
      </c>
      <c r="M724" s="19">
        <v>662</v>
      </c>
      <c r="N724" s="19">
        <f>(tbl_raw[[#This Row],[Selling_Price]]-tbl_raw[[#This Row],[Cost_Price]])*tbl_raw[[#This Row],[Units_Sold]]</f>
        <v>6372</v>
      </c>
      <c r="O724" s="20">
        <f>IFERROR((tbl_raw[[#This Row],[Selling_Price]]-tbl_raw[[#This Row],[Cost_Price]]) / tbl_raw[[#This Row],[Selling_Price]],0)</f>
        <v>0.34842519685039369</v>
      </c>
      <c r="P724" s="19">
        <v>74</v>
      </c>
      <c r="Q724" s="19">
        <f>tbl_raw[[#This Row],[Gross_Profit]]-(tbl_raw[[#This Row],[Shipping_Cost]]*tbl_raw[[#This Row],[Units_Sold]])</f>
        <v>5040</v>
      </c>
      <c r="R724" s="20">
        <f>IFERROR(tbl_raw[[#This Row],[Net_Profit]]/(tbl_raw[[#This Row],[Selling_Price]]*tbl_raw[[#This Row],[Units_Sold]]),0)</f>
        <v>0.27559055118110237</v>
      </c>
      <c r="S724" s="18" t="s">
        <v>40</v>
      </c>
      <c r="T724" s="18" t="s">
        <v>32</v>
      </c>
      <c r="U724" s="18">
        <f>IF(tbl_raw[[#This Row],[Order_Status]]="Returned",1,0)</f>
        <v>0</v>
      </c>
      <c r="V724" s="18">
        <f>IF(tbl_raw[[#This Row],[Payment_Method]]="COD",1,0)</f>
        <v>1</v>
      </c>
      <c r="W724" s="21">
        <f>MIN(1,(tbl_raw[[#This Row],[Discount_Pct]]*1.4)+(tbl_raw[[#This Row],[COD_Flag]]*0.35))</f>
        <v>0.49</v>
      </c>
    </row>
    <row r="725" spans="1:23" ht="22.8" x14ac:dyDescent="0.3">
      <c r="A725" s="22" t="s">
        <v>1843</v>
      </c>
      <c r="B725" s="23" t="s">
        <v>264</v>
      </c>
      <c r="C725" s="23" t="s">
        <v>43</v>
      </c>
      <c r="D725" s="23" t="s">
        <v>26</v>
      </c>
      <c r="E725" s="23" t="s">
        <v>100</v>
      </c>
      <c r="F725" s="23" t="s">
        <v>1844</v>
      </c>
      <c r="G725" s="23" t="s">
        <v>29</v>
      </c>
      <c r="H725" s="23" t="s">
        <v>30</v>
      </c>
      <c r="I725" s="23">
        <v>18</v>
      </c>
      <c r="J725" s="24">
        <v>1106</v>
      </c>
      <c r="K725" s="24">
        <v>785</v>
      </c>
      <c r="L725" s="25">
        <v>0.28999999999999998</v>
      </c>
      <c r="M725" s="24">
        <v>687</v>
      </c>
      <c r="N725" s="24">
        <f>(tbl_raw[[#This Row],[Selling_Price]]-tbl_raw[[#This Row],[Cost_Price]])*tbl_raw[[#This Row],[Units_Sold]]</f>
        <v>1764</v>
      </c>
      <c r="O725" s="25">
        <f>IFERROR((tbl_raw[[#This Row],[Selling_Price]]-tbl_raw[[#This Row],[Cost_Price]]) / tbl_raw[[#This Row],[Selling_Price]],0)</f>
        <v>0.12484076433121019</v>
      </c>
      <c r="P725" s="24">
        <v>176</v>
      </c>
      <c r="Q725" s="24">
        <f>tbl_raw[[#This Row],[Gross_Profit]]-(tbl_raw[[#This Row],[Shipping_Cost]]*tbl_raw[[#This Row],[Units_Sold]])</f>
        <v>-1404</v>
      </c>
      <c r="R725" s="25">
        <f>IFERROR(tbl_raw[[#This Row],[Net_Profit]]/(tbl_raw[[#This Row],[Selling_Price]]*tbl_raw[[#This Row],[Units_Sold]]),0)</f>
        <v>-9.936305732484077E-2</v>
      </c>
      <c r="S725" s="23" t="s">
        <v>107</v>
      </c>
      <c r="T725" s="23" t="s">
        <v>32</v>
      </c>
      <c r="U725" s="23">
        <f>IF(tbl_raw[[#This Row],[Order_Status]]="Returned",1,0)</f>
        <v>0</v>
      </c>
      <c r="V725" s="23">
        <f>IF(tbl_raw[[#This Row],[Payment_Method]]="COD",1,0)</f>
        <v>0</v>
      </c>
      <c r="W725" s="26">
        <f>MIN(1,(tbl_raw[[#This Row],[Discount_Pct]]*1.4)+(tbl_raw[[#This Row],[COD_Flag]]*0.35))</f>
        <v>0.40599999999999997</v>
      </c>
    </row>
    <row r="726" spans="1:23" ht="22.8" x14ac:dyDescent="0.3">
      <c r="A726" s="17" t="s">
        <v>1845</v>
      </c>
      <c r="B726" s="18" t="s">
        <v>524</v>
      </c>
      <c r="C726" s="18" t="s">
        <v>105</v>
      </c>
      <c r="D726" s="18" t="s">
        <v>164</v>
      </c>
      <c r="E726" s="18" t="s">
        <v>251</v>
      </c>
      <c r="F726" s="18" t="s">
        <v>1846</v>
      </c>
      <c r="G726" s="18" t="s">
        <v>143</v>
      </c>
      <c r="H726" s="18" t="s">
        <v>30</v>
      </c>
      <c r="I726" s="18">
        <v>11</v>
      </c>
      <c r="J726" s="19">
        <v>7885</v>
      </c>
      <c r="K726" s="19">
        <v>5677</v>
      </c>
      <c r="L726" s="20">
        <v>0.28000000000000003</v>
      </c>
      <c r="M726" s="19">
        <v>3183</v>
      </c>
      <c r="N726" s="19">
        <f>(tbl_raw[[#This Row],[Selling_Price]]-tbl_raw[[#This Row],[Cost_Price]])*tbl_raw[[#This Row],[Units_Sold]]</f>
        <v>27434</v>
      </c>
      <c r="O726" s="20">
        <f>IFERROR((tbl_raw[[#This Row],[Selling_Price]]-tbl_raw[[#This Row],[Cost_Price]]) / tbl_raw[[#This Row],[Selling_Price]],0)</f>
        <v>0.43931654042628149</v>
      </c>
      <c r="P726" s="19">
        <v>83</v>
      </c>
      <c r="Q726" s="19">
        <f>tbl_raw[[#This Row],[Gross_Profit]]-(tbl_raw[[#This Row],[Shipping_Cost]]*tbl_raw[[#This Row],[Units_Sold]])</f>
        <v>26521</v>
      </c>
      <c r="R726" s="20">
        <f>IFERROR(tbl_raw[[#This Row],[Net_Profit]]/(tbl_raw[[#This Row],[Selling_Price]]*tbl_raw[[#This Row],[Units_Sold]]),0)</f>
        <v>0.42469614232869474</v>
      </c>
      <c r="S726" s="18" t="s">
        <v>107</v>
      </c>
      <c r="T726" s="18" t="s">
        <v>49</v>
      </c>
      <c r="U726" s="18">
        <f>IF(tbl_raw[[#This Row],[Order_Status]]="Returned",1,0)</f>
        <v>0</v>
      </c>
      <c r="V726" s="18">
        <f>IF(tbl_raw[[#This Row],[Payment_Method]]="COD",1,0)</f>
        <v>0</v>
      </c>
      <c r="W726" s="21">
        <f>MIN(1,(tbl_raw[[#This Row],[Discount_Pct]]*1.4)+(tbl_raw[[#This Row],[COD_Flag]]*0.35))</f>
        <v>0.39200000000000002</v>
      </c>
    </row>
    <row r="727" spans="1:23" ht="22.8" x14ac:dyDescent="0.3">
      <c r="A727" s="22" t="s">
        <v>1847</v>
      </c>
      <c r="B727" s="23" t="s">
        <v>678</v>
      </c>
      <c r="C727" s="23" t="s">
        <v>105</v>
      </c>
      <c r="D727" s="23" t="s">
        <v>175</v>
      </c>
      <c r="E727" s="23" t="s">
        <v>149</v>
      </c>
      <c r="F727" s="23" t="s">
        <v>1848</v>
      </c>
      <c r="G727" s="23" t="s">
        <v>143</v>
      </c>
      <c r="H727" s="23" t="s">
        <v>30</v>
      </c>
      <c r="I727" s="23">
        <v>20</v>
      </c>
      <c r="J727" s="24">
        <v>4497</v>
      </c>
      <c r="K727" s="24">
        <v>2833</v>
      </c>
      <c r="L727" s="25">
        <v>0.37</v>
      </c>
      <c r="M727" s="24">
        <v>2146</v>
      </c>
      <c r="N727" s="24">
        <f>(tbl_raw[[#This Row],[Selling_Price]]-tbl_raw[[#This Row],[Cost_Price]])*tbl_raw[[#This Row],[Units_Sold]]</f>
        <v>13740</v>
      </c>
      <c r="O727" s="25">
        <f>IFERROR((tbl_raw[[#This Row],[Selling_Price]]-tbl_raw[[#This Row],[Cost_Price]]) / tbl_raw[[#This Row],[Selling_Price]],0)</f>
        <v>0.24249911754324038</v>
      </c>
      <c r="P727" s="24">
        <v>70</v>
      </c>
      <c r="Q727" s="24">
        <f>tbl_raw[[#This Row],[Gross_Profit]]-(tbl_raw[[#This Row],[Shipping_Cost]]*tbl_raw[[#This Row],[Units_Sold]])</f>
        <v>12340</v>
      </c>
      <c r="R727" s="25">
        <f>IFERROR(tbl_raw[[#This Row],[Net_Profit]]/(tbl_raw[[#This Row],[Selling_Price]]*tbl_raw[[#This Row],[Units_Sold]]),0)</f>
        <v>0.21779032827391459</v>
      </c>
      <c r="S727" s="23" t="s">
        <v>65</v>
      </c>
      <c r="T727" s="23" t="s">
        <v>59</v>
      </c>
      <c r="U727" s="23">
        <f>IF(tbl_raw[[#This Row],[Order_Status]]="Returned",1,0)</f>
        <v>0</v>
      </c>
      <c r="V727" s="23">
        <f>IF(tbl_raw[[#This Row],[Payment_Method]]="COD",1,0)</f>
        <v>0</v>
      </c>
      <c r="W727" s="26">
        <f>MIN(1,(tbl_raw[[#This Row],[Discount_Pct]]*1.4)+(tbl_raw[[#This Row],[COD_Flag]]*0.35))</f>
        <v>0.51800000000000002</v>
      </c>
    </row>
    <row r="728" spans="1:23" ht="22.8" x14ac:dyDescent="0.3">
      <c r="A728" s="17" t="s">
        <v>1849</v>
      </c>
      <c r="B728" s="18" t="s">
        <v>514</v>
      </c>
      <c r="C728" s="18" t="s">
        <v>52</v>
      </c>
      <c r="D728" s="18" t="s">
        <v>62</v>
      </c>
      <c r="E728" s="18" t="s">
        <v>203</v>
      </c>
      <c r="F728" s="18" t="s">
        <v>1850</v>
      </c>
      <c r="G728" s="18" t="s">
        <v>47</v>
      </c>
      <c r="H728" s="18" t="s">
        <v>48</v>
      </c>
      <c r="I728" s="18">
        <v>12</v>
      </c>
      <c r="J728" s="19">
        <v>1357</v>
      </c>
      <c r="K728" s="19">
        <v>1058</v>
      </c>
      <c r="L728" s="20">
        <v>0.22</v>
      </c>
      <c r="M728" s="19">
        <v>778</v>
      </c>
      <c r="N728" s="19">
        <f>(tbl_raw[[#This Row],[Selling_Price]]-tbl_raw[[#This Row],[Cost_Price]])*tbl_raw[[#This Row],[Units_Sold]]</f>
        <v>3360</v>
      </c>
      <c r="O728" s="20">
        <f>IFERROR((tbl_raw[[#This Row],[Selling_Price]]-tbl_raw[[#This Row],[Cost_Price]]) / tbl_raw[[#This Row],[Selling_Price]],0)</f>
        <v>0.26465028355387521</v>
      </c>
      <c r="P728" s="19">
        <v>99</v>
      </c>
      <c r="Q728" s="19">
        <f>tbl_raw[[#This Row],[Gross_Profit]]-(tbl_raw[[#This Row],[Shipping_Cost]]*tbl_raw[[#This Row],[Units_Sold]])</f>
        <v>2172</v>
      </c>
      <c r="R728" s="20">
        <f>IFERROR(tbl_raw[[#This Row],[Net_Profit]]/(tbl_raw[[#This Row],[Selling_Price]]*tbl_raw[[#This Row],[Units_Sold]]),0)</f>
        <v>0.17107750472589792</v>
      </c>
      <c r="S728" s="18" t="s">
        <v>40</v>
      </c>
      <c r="T728" s="18" t="s">
        <v>32</v>
      </c>
      <c r="U728" s="18">
        <f>IF(tbl_raw[[#This Row],[Order_Status]]="Returned",1,0)</f>
        <v>0</v>
      </c>
      <c r="V728" s="18">
        <f>IF(tbl_raw[[#This Row],[Payment_Method]]="COD",1,0)</f>
        <v>1</v>
      </c>
      <c r="W728" s="21">
        <f>MIN(1,(tbl_raw[[#This Row],[Discount_Pct]]*1.4)+(tbl_raw[[#This Row],[COD_Flag]]*0.35))</f>
        <v>0.65799999999999992</v>
      </c>
    </row>
    <row r="729" spans="1:23" ht="22.8" x14ac:dyDescent="0.3">
      <c r="A729" s="22" t="s">
        <v>1851</v>
      </c>
      <c r="B729" s="23" t="s">
        <v>189</v>
      </c>
      <c r="C729" s="23" t="s">
        <v>156</v>
      </c>
      <c r="D729" s="23" t="s">
        <v>53</v>
      </c>
      <c r="E729" s="23" t="s">
        <v>149</v>
      </c>
      <c r="F729" s="23" t="s">
        <v>1852</v>
      </c>
      <c r="G729" s="23" t="s">
        <v>81</v>
      </c>
      <c r="H729" s="23" t="s">
        <v>30</v>
      </c>
      <c r="I729" s="23">
        <v>6</v>
      </c>
      <c r="J729" s="24">
        <v>6576</v>
      </c>
      <c r="K729" s="24">
        <v>4537</v>
      </c>
      <c r="L729" s="25">
        <v>0.31</v>
      </c>
      <c r="M729" s="24">
        <v>3063</v>
      </c>
      <c r="N729" s="24">
        <f>(tbl_raw[[#This Row],[Selling_Price]]-tbl_raw[[#This Row],[Cost_Price]])*tbl_raw[[#This Row],[Units_Sold]]</f>
        <v>8844</v>
      </c>
      <c r="O729" s="25">
        <f>IFERROR((tbl_raw[[#This Row],[Selling_Price]]-tbl_raw[[#This Row],[Cost_Price]]) / tbl_raw[[#This Row],[Selling_Price]],0)</f>
        <v>0.32488428476967157</v>
      </c>
      <c r="P729" s="24">
        <v>52</v>
      </c>
      <c r="Q729" s="24">
        <f>tbl_raw[[#This Row],[Gross_Profit]]-(tbl_raw[[#This Row],[Shipping_Cost]]*tbl_raw[[#This Row],[Units_Sold]])</f>
        <v>8532</v>
      </c>
      <c r="R729" s="25">
        <f>IFERROR(tbl_raw[[#This Row],[Net_Profit]]/(tbl_raw[[#This Row],[Selling_Price]]*tbl_raw[[#This Row],[Units_Sold]]),0)</f>
        <v>0.31342296671809566</v>
      </c>
      <c r="S729" s="23" t="s">
        <v>31</v>
      </c>
      <c r="T729" s="23" t="s">
        <v>49</v>
      </c>
      <c r="U729" s="23">
        <f>IF(tbl_raw[[#This Row],[Order_Status]]="Returned",1,0)</f>
        <v>0</v>
      </c>
      <c r="V729" s="23">
        <f>IF(tbl_raw[[#This Row],[Payment_Method]]="COD",1,0)</f>
        <v>0</v>
      </c>
      <c r="W729" s="26">
        <f>MIN(1,(tbl_raw[[#This Row],[Discount_Pct]]*1.4)+(tbl_raw[[#This Row],[COD_Flag]]*0.35))</f>
        <v>0.434</v>
      </c>
    </row>
    <row r="730" spans="1:23" ht="22.8" x14ac:dyDescent="0.3">
      <c r="A730" s="17" t="s">
        <v>1853</v>
      </c>
      <c r="B730" s="18" t="s">
        <v>332</v>
      </c>
      <c r="C730" s="18" t="s">
        <v>52</v>
      </c>
      <c r="D730" s="18" t="s">
        <v>164</v>
      </c>
      <c r="E730" s="18" t="s">
        <v>265</v>
      </c>
      <c r="F730" s="18" t="s">
        <v>1854</v>
      </c>
      <c r="G730" s="18" t="s">
        <v>120</v>
      </c>
      <c r="H730" s="18" t="s">
        <v>39</v>
      </c>
      <c r="I730" s="18">
        <v>13</v>
      </c>
      <c r="J730" s="19">
        <v>3195</v>
      </c>
      <c r="K730" s="19">
        <v>3035</v>
      </c>
      <c r="L730" s="20">
        <v>0.05</v>
      </c>
      <c r="M730" s="19">
        <v>1293</v>
      </c>
      <c r="N730" s="19">
        <f>(tbl_raw[[#This Row],[Selling_Price]]-tbl_raw[[#This Row],[Cost_Price]])*tbl_raw[[#This Row],[Units_Sold]]</f>
        <v>22646</v>
      </c>
      <c r="O730" s="20">
        <f>IFERROR((tbl_raw[[#This Row],[Selling_Price]]-tbl_raw[[#This Row],[Cost_Price]]) / tbl_raw[[#This Row],[Selling_Price]],0)</f>
        <v>0.57397034596375618</v>
      </c>
      <c r="P730" s="19">
        <v>155</v>
      </c>
      <c r="Q730" s="19">
        <f>tbl_raw[[#This Row],[Gross_Profit]]-(tbl_raw[[#This Row],[Shipping_Cost]]*tbl_raw[[#This Row],[Units_Sold]])</f>
        <v>20631</v>
      </c>
      <c r="R730" s="20">
        <f>IFERROR(tbl_raw[[#This Row],[Net_Profit]]/(tbl_raw[[#This Row],[Selling_Price]]*tbl_raw[[#This Row],[Units_Sold]]),0)</f>
        <v>0.52289950576606259</v>
      </c>
      <c r="S730" s="18" t="s">
        <v>58</v>
      </c>
      <c r="T730" s="18" t="s">
        <v>86</v>
      </c>
      <c r="U730" s="18">
        <f>IF(tbl_raw[[#This Row],[Order_Status]]="Returned",1,0)</f>
        <v>1</v>
      </c>
      <c r="V730" s="18">
        <f>IF(tbl_raw[[#This Row],[Payment_Method]]="COD",1,0)</f>
        <v>0</v>
      </c>
      <c r="W730" s="21">
        <f>MIN(1,(tbl_raw[[#This Row],[Discount_Pct]]*1.4)+(tbl_raw[[#This Row],[COD_Flag]]*0.35))</f>
        <v>6.9999999999999993E-2</v>
      </c>
    </row>
    <row r="731" spans="1:23" ht="22.8" x14ac:dyDescent="0.3">
      <c r="A731" s="22" t="s">
        <v>1855</v>
      </c>
      <c r="B731" s="23" t="s">
        <v>1787</v>
      </c>
      <c r="C731" s="23" t="s">
        <v>99</v>
      </c>
      <c r="D731" s="23" t="s">
        <v>26</v>
      </c>
      <c r="E731" s="23" t="s">
        <v>125</v>
      </c>
      <c r="F731" s="23" t="s">
        <v>1856</v>
      </c>
      <c r="G731" s="23" t="s">
        <v>120</v>
      </c>
      <c r="H731" s="23" t="s">
        <v>39</v>
      </c>
      <c r="I731" s="23">
        <v>18</v>
      </c>
      <c r="J731" s="24">
        <v>5942</v>
      </c>
      <c r="K731" s="24">
        <v>5051</v>
      </c>
      <c r="L731" s="25">
        <v>0.15</v>
      </c>
      <c r="M731" s="24">
        <v>3848</v>
      </c>
      <c r="N731" s="24">
        <f>(tbl_raw[[#This Row],[Selling_Price]]-tbl_raw[[#This Row],[Cost_Price]])*tbl_raw[[#This Row],[Units_Sold]]</f>
        <v>21654</v>
      </c>
      <c r="O731" s="25">
        <f>IFERROR((tbl_raw[[#This Row],[Selling_Price]]-tbl_raw[[#This Row],[Cost_Price]]) / tbl_raw[[#This Row],[Selling_Price]],0)</f>
        <v>0.23817065927539102</v>
      </c>
      <c r="P731" s="24">
        <v>60</v>
      </c>
      <c r="Q731" s="24">
        <f>tbl_raw[[#This Row],[Gross_Profit]]-(tbl_raw[[#This Row],[Shipping_Cost]]*tbl_raw[[#This Row],[Units_Sold]])</f>
        <v>20574</v>
      </c>
      <c r="R731" s="25">
        <f>IFERROR(tbl_raw[[#This Row],[Net_Profit]]/(tbl_raw[[#This Row],[Selling_Price]]*tbl_raw[[#This Row],[Units_Sold]]),0)</f>
        <v>0.22629182340130669</v>
      </c>
      <c r="S731" s="23" t="s">
        <v>31</v>
      </c>
      <c r="T731" s="23" t="s">
        <v>49</v>
      </c>
      <c r="U731" s="23">
        <f>IF(tbl_raw[[#This Row],[Order_Status]]="Returned",1,0)</f>
        <v>0</v>
      </c>
      <c r="V731" s="23">
        <f>IF(tbl_raw[[#This Row],[Payment_Method]]="COD",1,0)</f>
        <v>0</v>
      </c>
      <c r="W731" s="26">
        <f>MIN(1,(tbl_raw[[#This Row],[Discount_Pct]]*1.4)+(tbl_raw[[#This Row],[COD_Flag]]*0.35))</f>
        <v>0.21</v>
      </c>
    </row>
    <row r="732" spans="1:23" ht="22.8" x14ac:dyDescent="0.3">
      <c r="A732" s="17" t="s">
        <v>1857</v>
      </c>
      <c r="B732" s="18" t="s">
        <v>1213</v>
      </c>
      <c r="C732" s="18" t="s">
        <v>43</v>
      </c>
      <c r="D732" s="18" t="s">
        <v>44</v>
      </c>
      <c r="E732" s="18" t="s">
        <v>275</v>
      </c>
      <c r="F732" s="18" t="s">
        <v>1858</v>
      </c>
      <c r="G732" s="18" t="s">
        <v>29</v>
      </c>
      <c r="H732" s="18" t="s">
        <v>30</v>
      </c>
      <c r="I732" s="18">
        <v>2</v>
      </c>
      <c r="J732" s="19">
        <v>4440</v>
      </c>
      <c r="K732" s="19">
        <v>3907</v>
      </c>
      <c r="L732" s="20">
        <v>0.12</v>
      </c>
      <c r="M732" s="19">
        <v>2621</v>
      </c>
      <c r="N732" s="19">
        <f>(tbl_raw[[#This Row],[Selling_Price]]-tbl_raw[[#This Row],[Cost_Price]])*tbl_raw[[#This Row],[Units_Sold]]</f>
        <v>2572</v>
      </c>
      <c r="O732" s="20">
        <f>IFERROR((tbl_raw[[#This Row],[Selling_Price]]-tbl_raw[[#This Row],[Cost_Price]]) / tbl_raw[[#This Row],[Selling_Price]],0)</f>
        <v>0.3291528026618889</v>
      </c>
      <c r="P732" s="19">
        <v>33</v>
      </c>
      <c r="Q732" s="19">
        <f>tbl_raw[[#This Row],[Gross_Profit]]-(tbl_raw[[#This Row],[Shipping_Cost]]*tbl_raw[[#This Row],[Units_Sold]])</f>
        <v>2506</v>
      </c>
      <c r="R732" s="20">
        <f>IFERROR(tbl_raw[[#This Row],[Net_Profit]]/(tbl_raw[[#This Row],[Selling_Price]]*tbl_raw[[#This Row],[Units_Sold]]),0)</f>
        <v>0.32070642436652164</v>
      </c>
      <c r="S732" s="18" t="s">
        <v>58</v>
      </c>
      <c r="T732" s="18" t="s">
        <v>32</v>
      </c>
      <c r="U732" s="18">
        <f>IF(tbl_raw[[#This Row],[Order_Status]]="Returned",1,0)</f>
        <v>0</v>
      </c>
      <c r="V732" s="18">
        <f>IF(tbl_raw[[#This Row],[Payment_Method]]="COD",1,0)</f>
        <v>0</v>
      </c>
      <c r="W732" s="21">
        <f>MIN(1,(tbl_raw[[#This Row],[Discount_Pct]]*1.4)+(tbl_raw[[#This Row],[COD_Flag]]*0.35))</f>
        <v>0.16799999999999998</v>
      </c>
    </row>
    <row r="733" spans="1:23" ht="22.8" x14ac:dyDescent="0.3">
      <c r="A733" s="22" t="s">
        <v>1859</v>
      </c>
      <c r="B733" s="23" t="s">
        <v>1336</v>
      </c>
      <c r="C733" s="23" t="s">
        <v>105</v>
      </c>
      <c r="D733" s="23" t="s">
        <v>78</v>
      </c>
      <c r="E733" s="23" t="s">
        <v>118</v>
      </c>
      <c r="F733" s="23" t="s">
        <v>1860</v>
      </c>
      <c r="G733" s="23" t="s">
        <v>29</v>
      </c>
      <c r="H733" s="23" t="s">
        <v>30</v>
      </c>
      <c r="I733" s="23">
        <v>1</v>
      </c>
      <c r="J733" s="24">
        <v>1968</v>
      </c>
      <c r="K733" s="24">
        <v>1633</v>
      </c>
      <c r="L733" s="25">
        <v>0.17</v>
      </c>
      <c r="M733" s="24">
        <v>1031</v>
      </c>
      <c r="N733" s="24">
        <f>(tbl_raw[[#This Row],[Selling_Price]]-tbl_raw[[#This Row],[Cost_Price]])*tbl_raw[[#This Row],[Units_Sold]]</f>
        <v>602</v>
      </c>
      <c r="O733" s="25">
        <f>IFERROR((tbl_raw[[#This Row],[Selling_Price]]-tbl_raw[[#This Row],[Cost_Price]]) / tbl_raw[[#This Row],[Selling_Price]],0)</f>
        <v>0.36864666258420087</v>
      </c>
      <c r="P733" s="24">
        <v>73</v>
      </c>
      <c r="Q733" s="24">
        <f>tbl_raw[[#This Row],[Gross_Profit]]-(tbl_raw[[#This Row],[Shipping_Cost]]*tbl_raw[[#This Row],[Units_Sold]])</f>
        <v>529</v>
      </c>
      <c r="R733" s="25">
        <f>IFERROR(tbl_raw[[#This Row],[Net_Profit]]/(tbl_raw[[#This Row],[Selling_Price]]*tbl_raw[[#This Row],[Units_Sold]]),0)</f>
        <v>0.323943661971831</v>
      </c>
      <c r="S733" s="23" t="s">
        <v>31</v>
      </c>
      <c r="T733" s="23" t="s">
        <v>32</v>
      </c>
      <c r="U733" s="23">
        <f>IF(tbl_raw[[#This Row],[Order_Status]]="Returned",1,0)</f>
        <v>0</v>
      </c>
      <c r="V733" s="23">
        <f>IF(tbl_raw[[#This Row],[Payment_Method]]="COD",1,0)</f>
        <v>0</v>
      </c>
      <c r="W733" s="26">
        <f>MIN(1,(tbl_raw[[#This Row],[Discount_Pct]]*1.4)+(tbl_raw[[#This Row],[COD_Flag]]*0.35))</f>
        <v>0.23799999999999999</v>
      </c>
    </row>
    <row r="734" spans="1:23" ht="22.8" x14ac:dyDescent="0.3">
      <c r="A734" s="17" t="s">
        <v>1861</v>
      </c>
      <c r="B734" s="18" t="s">
        <v>274</v>
      </c>
      <c r="C734" s="18" t="s">
        <v>72</v>
      </c>
      <c r="D734" s="18" t="s">
        <v>164</v>
      </c>
      <c r="E734" s="18" t="s">
        <v>265</v>
      </c>
      <c r="F734" s="18" t="s">
        <v>1862</v>
      </c>
      <c r="G734" s="18" t="s">
        <v>120</v>
      </c>
      <c r="H734" s="18" t="s">
        <v>39</v>
      </c>
      <c r="I734" s="18">
        <v>10</v>
      </c>
      <c r="J734" s="19">
        <v>2987</v>
      </c>
      <c r="K734" s="19">
        <v>2151</v>
      </c>
      <c r="L734" s="20">
        <v>0.28000000000000003</v>
      </c>
      <c r="M734" s="19">
        <v>1319</v>
      </c>
      <c r="N734" s="19">
        <f>(tbl_raw[[#This Row],[Selling_Price]]-tbl_raw[[#This Row],[Cost_Price]])*tbl_raw[[#This Row],[Units_Sold]]</f>
        <v>8320</v>
      </c>
      <c r="O734" s="20">
        <f>IFERROR((tbl_raw[[#This Row],[Selling_Price]]-tbl_raw[[#This Row],[Cost_Price]]) / tbl_raw[[#This Row],[Selling_Price]],0)</f>
        <v>0.38679683867968384</v>
      </c>
      <c r="P734" s="19">
        <v>168</v>
      </c>
      <c r="Q734" s="19">
        <f>tbl_raw[[#This Row],[Gross_Profit]]-(tbl_raw[[#This Row],[Shipping_Cost]]*tbl_raw[[#This Row],[Units_Sold]])</f>
        <v>6640</v>
      </c>
      <c r="R734" s="20">
        <f>IFERROR(tbl_raw[[#This Row],[Net_Profit]]/(tbl_raw[[#This Row],[Selling_Price]]*tbl_raw[[#This Row],[Units_Sold]]),0)</f>
        <v>0.30869363086936308</v>
      </c>
      <c r="S734" s="18" t="s">
        <v>58</v>
      </c>
      <c r="T734" s="18" t="s">
        <v>32</v>
      </c>
      <c r="U734" s="18">
        <f>IF(tbl_raw[[#This Row],[Order_Status]]="Returned",1,0)</f>
        <v>0</v>
      </c>
      <c r="V734" s="18">
        <f>IF(tbl_raw[[#This Row],[Payment_Method]]="COD",1,0)</f>
        <v>0</v>
      </c>
      <c r="W734" s="21">
        <f>MIN(1,(tbl_raw[[#This Row],[Discount_Pct]]*1.4)+(tbl_raw[[#This Row],[COD_Flag]]*0.35))</f>
        <v>0.39200000000000002</v>
      </c>
    </row>
    <row r="735" spans="1:23" ht="22.8" x14ac:dyDescent="0.3">
      <c r="A735" s="22" t="s">
        <v>1863</v>
      </c>
      <c r="B735" s="23" t="s">
        <v>1156</v>
      </c>
      <c r="C735" s="23" t="s">
        <v>43</v>
      </c>
      <c r="D735" s="23" t="s">
        <v>44</v>
      </c>
      <c r="E735" s="23" t="s">
        <v>338</v>
      </c>
      <c r="F735" s="23" t="s">
        <v>1864</v>
      </c>
      <c r="G735" s="23" t="s">
        <v>47</v>
      </c>
      <c r="H735" s="23" t="s">
        <v>48</v>
      </c>
      <c r="I735" s="23">
        <v>5</v>
      </c>
      <c r="J735" s="24">
        <v>7166</v>
      </c>
      <c r="K735" s="24">
        <v>4945</v>
      </c>
      <c r="L735" s="25">
        <v>0.31</v>
      </c>
      <c r="M735" s="24">
        <v>4433</v>
      </c>
      <c r="N735" s="24">
        <f>(tbl_raw[[#This Row],[Selling_Price]]-tbl_raw[[#This Row],[Cost_Price]])*tbl_raw[[#This Row],[Units_Sold]]</f>
        <v>2560</v>
      </c>
      <c r="O735" s="25">
        <f>IFERROR((tbl_raw[[#This Row],[Selling_Price]]-tbl_raw[[#This Row],[Cost_Price]]) / tbl_raw[[#This Row],[Selling_Price]],0)</f>
        <v>0.10353892821031345</v>
      </c>
      <c r="P735" s="24">
        <v>73</v>
      </c>
      <c r="Q735" s="24">
        <f>tbl_raw[[#This Row],[Gross_Profit]]-(tbl_raw[[#This Row],[Shipping_Cost]]*tbl_raw[[#This Row],[Units_Sold]])</f>
        <v>2195</v>
      </c>
      <c r="R735" s="25">
        <f>IFERROR(tbl_raw[[#This Row],[Net_Profit]]/(tbl_raw[[#This Row],[Selling_Price]]*tbl_raw[[#This Row],[Units_Sold]]),0)</f>
        <v>8.8776541961577346E-2</v>
      </c>
      <c r="S735" s="23" t="s">
        <v>58</v>
      </c>
      <c r="T735" s="23" t="s">
        <v>32</v>
      </c>
      <c r="U735" s="23">
        <f>IF(tbl_raw[[#This Row],[Order_Status]]="Returned",1,0)</f>
        <v>0</v>
      </c>
      <c r="V735" s="23">
        <f>IF(tbl_raw[[#This Row],[Payment_Method]]="COD",1,0)</f>
        <v>0</v>
      </c>
      <c r="W735" s="26">
        <f>MIN(1,(tbl_raw[[#This Row],[Discount_Pct]]*1.4)+(tbl_raw[[#This Row],[COD_Flag]]*0.35))</f>
        <v>0.434</v>
      </c>
    </row>
    <row r="736" spans="1:23" ht="22.8" x14ac:dyDescent="0.3">
      <c r="A736" s="17" t="s">
        <v>1865</v>
      </c>
      <c r="B736" s="18" t="s">
        <v>1866</v>
      </c>
      <c r="C736" s="18" t="s">
        <v>89</v>
      </c>
      <c r="D736" s="18" t="s">
        <v>175</v>
      </c>
      <c r="E736" s="18" t="s">
        <v>354</v>
      </c>
      <c r="F736" s="18" t="s">
        <v>1867</v>
      </c>
      <c r="G736" s="18" t="s">
        <v>81</v>
      </c>
      <c r="H736" s="18" t="s">
        <v>30</v>
      </c>
      <c r="I736" s="18">
        <v>5</v>
      </c>
      <c r="J736" s="19">
        <v>2698</v>
      </c>
      <c r="K736" s="19">
        <v>2212</v>
      </c>
      <c r="L736" s="20">
        <v>0.18</v>
      </c>
      <c r="M736" s="19">
        <v>1760</v>
      </c>
      <c r="N736" s="19">
        <f>(tbl_raw[[#This Row],[Selling_Price]]-tbl_raw[[#This Row],[Cost_Price]])*tbl_raw[[#This Row],[Units_Sold]]</f>
        <v>2260</v>
      </c>
      <c r="O736" s="20">
        <f>IFERROR((tbl_raw[[#This Row],[Selling_Price]]-tbl_raw[[#This Row],[Cost_Price]]) / tbl_raw[[#This Row],[Selling_Price]],0)</f>
        <v>0.20433996383363473</v>
      </c>
      <c r="P736" s="19">
        <v>148</v>
      </c>
      <c r="Q736" s="19">
        <f>tbl_raw[[#This Row],[Gross_Profit]]-(tbl_raw[[#This Row],[Shipping_Cost]]*tbl_raw[[#This Row],[Units_Sold]])</f>
        <v>1520</v>
      </c>
      <c r="R736" s="20">
        <f>IFERROR(tbl_raw[[#This Row],[Net_Profit]]/(tbl_raw[[#This Row],[Selling_Price]]*tbl_raw[[#This Row],[Units_Sold]]),0)</f>
        <v>0.13743218806509946</v>
      </c>
      <c r="S736" s="18" t="s">
        <v>31</v>
      </c>
      <c r="T736" s="18" t="s">
        <v>32</v>
      </c>
      <c r="U736" s="18">
        <f>IF(tbl_raw[[#This Row],[Order_Status]]="Returned",1,0)</f>
        <v>0</v>
      </c>
      <c r="V736" s="18">
        <f>IF(tbl_raw[[#This Row],[Payment_Method]]="COD",1,0)</f>
        <v>0</v>
      </c>
      <c r="W736" s="21">
        <f>MIN(1,(tbl_raw[[#This Row],[Discount_Pct]]*1.4)+(tbl_raw[[#This Row],[COD_Flag]]*0.35))</f>
        <v>0.252</v>
      </c>
    </row>
    <row r="737" spans="1:23" ht="22.8" x14ac:dyDescent="0.3">
      <c r="A737" s="22" t="s">
        <v>1868</v>
      </c>
      <c r="B737" s="23" t="s">
        <v>1708</v>
      </c>
      <c r="C737" s="23" t="s">
        <v>52</v>
      </c>
      <c r="D737" s="23" t="s">
        <v>53</v>
      </c>
      <c r="E737" s="23" t="s">
        <v>145</v>
      </c>
      <c r="F737" s="23" t="s">
        <v>1869</v>
      </c>
      <c r="G737" s="23" t="s">
        <v>56</v>
      </c>
      <c r="H737" s="23" t="s">
        <v>57</v>
      </c>
      <c r="I737" s="23">
        <v>5</v>
      </c>
      <c r="J737" s="24">
        <v>1619</v>
      </c>
      <c r="K737" s="24">
        <v>1344</v>
      </c>
      <c r="L737" s="25">
        <v>0.17</v>
      </c>
      <c r="M737" s="24">
        <v>829</v>
      </c>
      <c r="N737" s="24">
        <f>(tbl_raw[[#This Row],[Selling_Price]]-tbl_raw[[#This Row],[Cost_Price]])*tbl_raw[[#This Row],[Units_Sold]]</f>
        <v>2575</v>
      </c>
      <c r="O737" s="25">
        <f>IFERROR((tbl_raw[[#This Row],[Selling_Price]]-tbl_raw[[#This Row],[Cost_Price]]) / tbl_raw[[#This Row],[Selling_Price]],0)</f>
        <v>0.38318452380952384</v>
      </c>
      <c r="P737" s="24">
        <v>94</v>
      </c>
      <c r="Q737" s="24">
        <f>tbl_raw[[#This Row],[Gross_Profit]]-(tbl_raw[[#This Row],[Shipping_Cost]]*tbl_raw[[#This Row],[Units_Sold]])</f>
        <v>2105</v>
      </c>
      <c r="R737" s="25">
        <f>IFERROR(tbl_raw[[#This Row],[Net_Profit]]/(tbl_raw[[#This Row],[Selling_Price]]*tbl_raw[[#This Row],[Units_Sold]]),0)</f>
        <v>0.31324404761904762</v>
      </c>
      <c r="S737" s="23" t="s">
        <v>31</v>
      </c>
      <c r="T737" s="23" t="s">
        <v>32</v>
      </c>
      <c r="U737" s="23">
        <f>IF(tbl_raw[[#This Row],[Order_Status]]="Returned",1,0)</f>
        <v>0</v>
      </c>
      <c r="V737" s="23">
        <f>IF(tbl_raw[[#This Row],[Payment_Method]]="COD",1,0)</f>
        <v>0</v>
      </c>
      <c r="W737" s="26">
        <f>MIN(1,(tbl_raw[[#This Row],[Discount_Pct]]*1.4)+(tbl_raw[[#This Row],[COD_Flag]]*0.35))</f>
        <v>0.23799999999999999</v>
      </c>
    </row>
    <row r="738" spans="1:23" ht="22.8" x14ac:dyDescent="0.3">
      <c r="A738" s="17" t="s">
        <v>1870</v>
      </c>
      <c r="B738" s="18" t="s">
        <v>675</v>
      </c>
      <c r="C738" s="18" t="s">
        <v>43</v>
      </c>
      <c r="D738" s="18" t="s">
        <v>94</v>
      </c>
      <c r="E738" s="18" t="s">
        <v>310</v>
      </c>
      <c r="F738" s="18" t="s">
        <v>1871</v>
      </c>
      <c r="G738" s="18" t="s">
        <v>38</v>
      </c>
      <c r="H738" s="18" t="s">
        <v>39</v>
      </c>
      <c r="I738" s="18">
        <v>16</v>
      </c>
      <c r="J738" s="19">
        <v>4402</v>
      </c>
      <c r="K738" s="19">
        <v>3434</v>
      </c>
      <c r="L738" s="20">
        <v>0.22</v>
      </c>
      <c r="M738" s="19">
        <v>2587</v>
      </c>
      <c r="N738" s="19">
        <f>(tbl_raw[[#This Row],[Selling_Price]]-tbl_raw[[#This Row],[Cost_Price]])*tbl_raw[[#This Row],[Units_Sold]]</f>
        <v>13552</v>
      </c>
      <c r="O738" s="20">
        <f>IFERROR((tbl_raw[[#This Row],[Selling_Price]]-tbl_raw[[#This Row],[Cost_Price]]) / tbl_raw[[#This Row],[Selling_Price]],0)</f>
        <v>0.24665113570180547</v>
      </c>
      <c r="P738" s="19">
        <v>65</v>
      </c>
      <c r="Q738" s="19">
        <f>tbl_raw[[#This Row],[Gross_Profit]]-(tbl_raw[[#This Row],[Shipping_Cost]]*tbl_raw[[#This Row],[Units_Sold]])</f>
        <v>12512</v>
      </c>
      <c r="R738" s="20">
        <f>IFERROR(tbl_raw[[#This Row],[Net_Profit]]/(tbl_raw[[#This Row],[Selling_Price]]*tbl_raw[[#This Row],[Units_Sold]]),0)</f>
        <v>0.22772277227722773</v>
      </c>
      <c r="S738" s="18" t="s">
        <v>58</v>
      </c>
      <c r="T738" s="18" t="s">
        <v>32</v>
      </c>
      <c r="U738" s="18">
        <f>IF(tbl_raw[[#This Row],[Order_Status]]="Returned",1,0)</f>
        <v>0</v>
      </c>
      <c r="V738" s="18">
        <f>IF(tbl_raw[[#This Row],[Payment_Method]]="COD",1,0)</f>
        <v>0</v>
      </c>
      <c r="W738" s="21">
        <f>MIN(1,(tbl_raw[[#This Row],[Discount_Pct]]*1.4)+(tbl_raw[[#This Row],[COD_Flag]]*0.35))</f>
        <v>0.308</v>
      </c>
    </row>
    <row r="739" spans="1:23" ht="22.8" x14ac:dyDescent="0.3">
      <c r="A739" s="22" t="s">
        <v>1872</v>
      </c>
      <c r="B739" s="23" t="s">
        <v>247</v>
      </c>
      <c r="C739" s="23" t="s">
        <v>199</v>
      </c>
      <c r="D739" s="23" t="s">
        <v>94</v>
      </c>
      <c r="E739" s="23" t="s">
        <v>207</v>
      </c>
      <c r="F739" s="23" t="s">
        <v>1873</v>
      </c>
      <c r="G739" s="23" t="s">
        <v>56</v>
      </c>
      <c r="H739" s="23" t="s">
        <v>57</v>
      </c>
      <c r="I739" s="23">
        <v>1</v>
      </c>
      <c r="J739" s="24">
        <v>1786</v>
      </c>
      <c r="K739" s="24">
        <v>1107</v>
      </c>
      <c r="L739" s="25">
        <v>0.38</v>
      </c>
      <c r="M739" s="24">
        <v>941</v>
      </c>
      <c r="N739" s="24">
        <f>(tbl_raw[[#This Row],[Selling_Price]]-tbl_raw[[#This Row],[Cost_Price]])*tbl_raw[[#This Row],[Units_Sold]]</f>
        <v>166</v>
      </c>
      <c r="O739" s="25">
        <f>IFERROR((tbl_raw[[#This Row],[Selling_Price]]-tbl_raw[[#This Row],[Cost_Price]]) / tbl_raw[[#This Row],[Selling_Price]],0)</f>
        <v>0.14995483288166214</v>
      </c>
      <c r="P739" s="24">
        <v>101</v>
      </c>
      <c r="Q739" s="24">
        <f>tbl_raw[[#This Row],[Gross_Profit]]-(tbl_raw[[#This Row],[Shipping_Cost]]*tbl_raw[[#This Row],[Units_Sold]])</f>
        <v>65</v>
      </c>
      <c r="R739" s="25">
        <f>IFERROR(tbl_raw[[#This Row],[Net_Profit]]/(tbl_raw[[#This Row],[Selling_Price]]*tbl_raw[[#This Row],[Units_Sold]]),0)</f>
        <v>5.8717253839205057E-2</v>
      </c>
      <c r="S739" s="23" t="s">
        <v>40</v>
      </c>
      <c r="T739" s="23" t="s">
        <v>32</v>
      </c>
      <c r="U739" s="23">
        <f>IF(tbl_raw[[#This Row],[Order_Status]]="Returned",1,0)</f>
        <v>0</v>
      </c>
      <c r="V739" s="23">
        <f>IF(tbl_raw[[#This Row],[Payment_Method]]="COD",1,0)</f>
        <v>1</v>
      </c>
      <c r="W739" s="26">
        <f>MIN(1,(tbl_raw[[#This Row],[Discount_Pct]]*1.4)+(tbl_raw[[#This Row],[COD_Flag]]*0.35))</f>
        <v>0.8819999999999999</v>
      </c>
    </row>
    <row r="740" spans="1:23" ht="22.8" x14ac:dyDescent="0.3">
      <c r="A740" s="17" t="s">
        <v>1874</v>
      </c>
      <c r="B740" s="18" t="s">
        <v>1875</v>
      </c>
      <c r="C740" s="18" t="s">
        <v>89</v>
      </c>
      <c r="D740" s="18" t="s">
        <v>164</v>
      </c>
      <c r="E740" s="18" t="s">
        <v>413</v>
      </c>
      <c r="F740" s="18" t="s">
        <v>1876</v>
      </c>
      <c r="G740" s="18" t="s">
        <v>81</v>
      </c>
      <c r="H740" s="18" t="s">
        <v>30</v>
      </c>
      <c r="I740" s="18">
        <v>18</v>
      </c>
      <c r="J740" s="19">
        <v>7780</v>
      </c>
      <c r="K740" s="19">
        <v>4590</v>
      </c>
      <c r="L740" s="20">
        <v>0.41</v>
      </c>
      <c r="M740" s="19">
        <v>3772</v>
      </c>
      <c r="N740" s="19">
        <f>(tbl_raw[[#This Row],[Selling_Price]]-tbl_raw[[#This Row],[Cost_Price]])*tbl_raw[[#This Row],[Units_Sold]]</f>
        <v>14724</v>
      </c>
      <c r="O740" s="20">
        <f>IFERROR((tbl_raw[[#This Row],[Selling_Price]]-tbl_raw[[#This Row],[Cost_Price]]) / tbl_raw[[#This Row],[Selling_Price]],0)</f>
        <v>0.17821350762527233</v>
      </c>
      <c r="P740" s="19">
        <v>154</v>
      </c>
      <c r="Q740" s="19">
        <f>tbl_raw[[#This Row],[Gross_Profit]]-(tbl_raw[[#This Row],[Shipping_Cost]]*tbl_raw[[#This Row],[Units_Sold]])</f>
        <v>11952</v>
      </c>
      <c r="R740" s="20">
        <f>IFERROR(tbl_raw[[#This Row],[Net_Profit]]/(tbl_raw[[#This Row],[Selling_Price]]*tbl_raw[[#This Row],[Units_Sold]]),0)</f>
        <v>0.14466230936819172</v>
      </c>
      <c r="S740" s="18" t="s">
        <v>58</v>
      </c>
      <c r="T740" s="18" t="s">
        <v>32</v>
      </c>
      <c r="U740" s="18">
        <f>IF(tbl_raw[[#This Row],[Order_Status]]="Returned",1,0)</f>
        <v>0</v>
      </c>
      <c r="V740" s="18">
        <f>IF(tbl_raw[[#This Row],[Payment_Method]]="COD",1,0)</f>
        <v>0</v>
      </c>
      <c r="W740" s="21">
        <f>MIN(1,(tbl_raw[[#This Row],[Discount_Pct]]*1.4)+(tbl_raw[[#This Row],[COD_Flag]]*0.35))</f>
        <v>0.57399999999999995</v>
      </c>
    </row>
    <row r="741" spans="1:23" ht="22.8" x14ac:dyDescent="0.3">
      <c r="A741" s="22" t="s">
        <v>1877</v>
      </c>
      <c r="B741" s="23" t="s">
        <v>1105</v>
      </c>
      <c r="C741" s="23" t="s">
        <v>156</v>
      </c>
      <c r="D741" s="23" t="s">
        <v>164</v>
      </c>
      <c r="E741" s="23" t="s">
        <v>251</v>
      </c>
      <c r="F741" s="23" t="s">
        <v>1878</v>
      </c>
      <c r="G741" s="23" t="s">
        <v>139</v>
      </c>
      <c r="H741" s="23" t="s">
        <v>48</v>
      </c>
      <c r="I741" s="23">
        <v>14</v>
      </c>
      <c r="J741" s="24">
        <v>3099</v>
      </c>
      <c r="K741" s="24">
        <v>2107</v>
      </c>
      <c r="L741" s="25">
        <v>0.32</v>
      </c>
      <c r="M741" s="24">
        <v>1958</v>
      </c>
      <c r="N741" s="24">
        <f>(tbl_raw[[#This Row],[Selling_Price]]-tbl_raw[[#This Row],[Cost_Price]])*tbl_raw[[#This Row],[Units_Sold]]</f>
        <v>2086</v>
      </c>
      <c r="O741" s="25">
        <f>IFERROR((tbl_raw[[#This Row],[Selling_Price]]-tbl_raw[[#This Row],[Cost_Price]]) / tbl_raw[[#This Row],[Selling_Price]],0)</f>
        <v>7.0716658756525871E-2</v>
      </c>
      <c r="P741" s="24">
        <v>41</v>
      </c>
      <c r="Q741" s="24">
        <f>tbl_raw[[#This Row],[Gross_Profit]]-(tbl_raw[[#This Row],[Shipping_Cost]]*tbl_raw[[#This Row],[Units_Sold]])</f>
        <v>1512</v>
      </c>
      <c r="R741" s="25">
        <f>IFERROR(tbl_raw[[#This Row],[Net_Profit]]/(tbl_raw[[#This Row],[Selling_Price]]*tbl_raw[[#This Row],[Units_Sold]]),0)</f>
        <v>5.1257712387280496E-2</v>
      </c>
      <c r="S741" s="23" t="s">
        <v>65</v>
      </c>
      <c r="T741" s="23" t="s">
        <v>32</v>
      </c>
      <c r="U741" s="23">
        <f>IF(tbl_raw[[#This Row],[Order_Status]]="Returned",1,0)</f>
        <v>0</v>
      </c>
      <c r="V741" s="23">
        <f>IF(tbl_raw[[#This Row],[Payment_Method]]="COD",1,0)</f>
        <v>0</v>
      </c>
      <c r="W741" s="26">
        <f>MIN(1,(tbl_raw[[#This Row],[Discount_Pct]]*1.4)+(tbl_raw[[#This Row],[COD_Flag]]*0.35))</f>
        <v>0.44799999999999995</v>
      </c>
    </row>
    <row r="742" spans="1:23" ht="22.8" x14ac:dyDescent="0.3">
      <c r="A742" s="17" t="s">
        <v>1879</v>
      </c>
      <c r="B742" s="18" t="s">
        <v>1198</v>
      </c>
      <c r="C742" s="18" t="s">
        <v>89</v>
      </c>
      <c r="D742" s="18" t="s">
        <v>175</v>
      </c>
      <c r="E742" s="18" t="s">
        <v>225</v>
      </c>
      <c r="F742" s="18" t="s">
        <v>1880</v>
      </c>
      <c r="G742" s="18" t="s">
        <v>139</v>
      </c>
      <c r="H742" s="18" t="s">
        <v>48</v>
      </c>
      <c r="I742" s="18">
        <v>19</v>
      </c>
      <c r="J742" s="19">
        <v>6682</v>
      </c>
      <c r="K742" s="19">
        <v>5412</v>
      </c>
      <c r="L742" s="20">
        <v>0.19</v>
      </c>
      <c r="M742" s="19">
        <v>4463</v>
      </c>
      <c r="N742" s="19">
        <f>(tbl_raw[[#This Row],[Selling_Price]]-tbl_raw[[#This Row],[Cost_Price]])*tbl_raw[[#This Row],[Units_Sold]]</f>
        <v>18031</v>
      </c>
      <c r="O742" s="20">
        <f>IFERROR((tbl_raw[[#This Row],[Selling_Price]]-tbl_raw[[#This Row],[Cost_Price]]) / tbl_raw[[#This Row],[Selling_Price]],0)</f>
        <v>0.17535107169253511</v>
      </c>
      <c r="P742" s="19">
        <v>100</v>
      </c>
      <c r="Q742" s="19">
        <f>tbl_raw[[#This Row],[Gross_Profit]]-(tbl_raw[[#This Row],[Shipping_Cost]]*tbl_raw[[#This Row],[Units_Sold]])</f>
        <v>16131</v>
      </c>
      <c r="R742" s="20">
        <f>IFERROR(tbl_raw[[#This Row],[Net_Profit]]/(tbl_raw[[#This Row],[Selling_Price]]*tbl_raw[[#This Row],[Units_Sold]]),0)</f>
        <v>0.15687361419068735</v>
      </c>
      <c r="S742" s="18" t="s">
        <v>40</v>
      </c>
      <c r="T742" s="18" t="s">
        <v>86</v>
      </c>
      <c r="U742" s="18">
        <f>IF(tbl_raw[[#This Row],[Order_Status]]="Returned",1,0)</f>
        <v>1</v>
      </c>
      <c r="V742" s="18">
        <f>IF(tbl_raw[[#This Row],[Payment_Method]]="COD",1,0)</f>
        <v>1</v>
      </c>
      <c r="W742" s="21">
        <f>MIN(1,(tbl_raw[[#This Row],[Discount_Pct]]*1.4)+(tbl_raw[[#This Row],[COD_Flag]]*0.35))</f>
        <v>0.61599999999999988</v>
      </c>
    </row>
    <row r="743" spans="1:23" ht="22.8" x14ac:dyDescent="0.3">
      <c r="A743" s="22" t="s">
        <v>1881</v>
      </c>
      <c r="B743" s="23" t="s">
        <v>959</v>
      </c>
      <c r="C743" s="23" t="s">
        <v>99</v>
      </c>
      <c r="D743" s="23" t="s">
        <v>78</v>
      </c>
      <c r="E743" s="23" t="s">
        <v>79</v>
      </c>
      <c r="F743" s="23" t="s">
        <v>1882</v>
      </c>
      <c r="G743" s="23" t="s">
        <v>139</v>
      </c>
      <c r="H743" s="23" t="s">
        <v>48</v>
      </c>
      <c r="I743" s="23">
        <v>10</v>
      </c>
      <c r="J743" s="24">
        <v>1068</v>
      </c>
      <c r="K743" s="24">
        <v>1036</v>
      </c>
      <c r="L743" s="25">
        <v>0.03</v>
      </c>
      <c r="M743" s="24">
        <v>667</v>
      </c>
      <c r="N743" s="24">
        <f>(tbl_raw[[#This Row],[Selling_Price]]-tbl_raw[[#This Row],[Cost_Price]])*tbl_raw[[#This Row],[Units_Sold]]</f>
        <v>3690</v>
      </c>
      <c r="O743" s="25">
        <f>IFERROR((tbl_raw[[#This Row],[Selling_Price]]-tbl_raw[[#This Row],[Cost_Price]]) / tbl_raw[[#This Row],[Selling_Price]],0)</f>
        <v>0.35617760617760619</v>
      </c>
      <c r="P743" s="24">
        <v>121</v>
      </c>
      <c r="Q743" s="24">
        <f>tbl_raw[[#This Row],[Gross_Profit]]-(tbl_raw[[#This Row],[Shipping_Cost]]*tbl_raw[[#This Row],[Units_Sold]])</f>
        <v>2480</v>
      </c>
      <c r="R743" s="25">
        <f>IFERROR(tbl_raw[[#This Row],[Net_Profit]]/(tbl_raw[[#This Row],[Selling_Price]]*tbl_raw[[#This Row],[Units_Sold]]),0)</f>
        <v>0.23938223938223938</v>
      </c>
      <c r="S743" s="23" t="s">
        <v>40</v>
      </c>
      <c r="T743" s="23" t="s">
        <v>32</v>
      </c>
      <c r="U743" s="23">
        <f>IF(tbl_raw[[#This Row],[Order_Status]]="Returned",1,0)</f>
        <v>0</v>
      </c>
      <c r="V743" s="23">
        <f>IF(tbl_raw[[#This Row],[Payment_Method]]="COD",1,0)</f>
        <v>1</v>
      </c>
      <c r="W743" s="26">
        <f>MIN(1,(tbl_raw[[#This Row],[Discount_Pct]]*1.4)+(tbl_raw[[#This Row],[COD_Flag]]*0.35))</f>
        <v>0.39199999999999996</v>
      </c>
    </row>
    <row r="744" spans="1:23" ht="22.8" x14ac:dyDescent="0.3">
      <c r="A744" s="17" t="s">
        <v>1883</v>
      </c>
      <c r="B744" s="18" t="s">
        <v>1884</v>
      </c>
      <c r="C744" s="18" t="s">
        <v>52</v>
      </c>
      <c r="D744" s="18" t="s">
        <v>62</v>
      </c>
      <c r="E744" s="18" t="s">
        <v>133</v>
      </c>
      <c r="F744" s="18" t="s">
        <v>1885</v>
      </c>
      <c r="G744" s="18" t="s">
        <v>143</v>
      </c>
      <c r="H744" s="18" t="s">
        <v>30</v>
      </c>
      <c r="I744" s="18">
        <v>19</v>
      </c>
      <c r="J744" s="19">
        <v>4115</v>
      </c>
      <c r="K744" s="19">
        <v>2798</v>
      </c>
      <c r="L744" s="20">
        <v>0.32</v>
      </c>
      <c r="M744" s="19">
        <v>2256</v>
      </c>
      <c r="N744" s="19">
        <f>(tbl_raw[[#This Row],[Selling_Price]]-tbl_raw[[#This Row],[Cost_Price]])*tbl_raw[[#This Row],[Units_Sold]]</f>
        <v>10298</v>
      </c>
      <c r="O744" s="20">
        <f>IFERROR((tbl_raw[[#This Row],[Selling_Price]]-tbl_raw[[#This Row],[Cost_Price]]) / tbl_raw[[#This Row],[Selling_Price]],0)</f>
        <v>0.1937097927090779</v>
      </c>
      <c r="P744" s="19">
        <v>54</v>
      </c>
      <c r="Q744" s="19">
        <f>tbl_raw[[#This Row],[Gross_Profit]]-(tbl_raw[[#This Row],[Shipping_Cost]]*tbl_raw[[#This Row],[Units_Sold]])</f>
        <v>9272</v>
      </c>
      <c r="R744" s="20">
        <f>IFERROR(tbl_raw[[#This Row],[Net_Profit]]/(tbl_raw[[#This Row],[Selling_Price]]*tbl_raw[[#This Row],[Units_Sold]]),0)</f>
        <v>0.17441029306647604</v>
      </c>
      <c r="S744" s="18" t="s">
        <v>58</v>
      </c>
      <c r="T744" s="18" t="s">
        <v>49</v>
      </c>
      <c r="U744" s="18">
        <f>IF(tbl_raw[[#This Row],[Order_Status]]="Returned",1,0)</f>
        <v>0</v>
      </c>
      <c r="V744" s="18">
        <f>IF(tbl_raw[[#This Row],[Payment_Method]]="COD",1,0)</f>
        <v>0</v>
      </c>
      <c r="W744" s="21">
        <f>MIN(1,(tbl_raw[[#This Row],[Discount_Pct]]*1.4)+(tbl_raw[[#This Row],[COD_Flag]]*0.35))</f>
        <v>0.44799999999999995</v>
      </c>
    </row>
    <row r="745" spans="1:23" ht="22.8" x14ac:dyDescent="0.3">
      <c r="A745" s="22" t="s">
        <v>1886</v>
      </c>
      <c r="B745" s="23" t="s">
        <v>1140</v>
      </c>
      <c r="C745" s="23" t="s">
        <v>43</v>
      </c>
      <c r="D745" s="23" t="s">
        <v>94</v>
      </c>
      <c r="E745" s="23" t="s">
        <v>310</v>
      </c>
      <c r="F745" s="23" t="s">
        <v>1887</v>
      </c>
      <c r="G745" s="23" t="s">
        <v>139</v>
      </c>
      <c r="H745" s="23" t="s">
        <v>48</v>
      </c>
      <c r="I745" s="23">
        <v>8</v>
      </c>
      <c r="J745" s="24">
        <v>3260</v>
      </c>
      <c r="K745" s="24">
        <v>2054</v>
      </c>
      <c r="L745" s="25">
        <v>0.37</v>
      </c>
      <c r="M745" s="24">
        <v>2418</v>
      </c>
      <c r="N745" s="24">
        <f>(tbl_raw[[#This Row],[Selling_Price]]-tbl_raw[[#This Row],[Cost_Price]])*tbl_raw[[#This Row],[Units_Sold]]</f>
        <v>-2912</v>
      </c>
      <c r="O745" s="25">
        <f>IFERROR((tbl_raw[[#This Row],[Selling_Price]]-tbl_raw[[#This Row],[Cost_Price]]) / tbl_raw[[#This Row],[Selling_Price]],0)</f>
        <v>-0.17721518987341772</v>
      </c>
      <c r="P745" s="24">
        <v>121</v>
      </c>
      <c r="Q745" s="24">
        <f>tbl_raw[[#This Row],[Gross_Profit]]-(tbl_raw[[#This Row],[Shipping_Cost]]*tbl_raw[[#This Row],[Units_Sold]])</f>
        <v>-3880</v>
      </c>
      <c r="R745" s="25">
        <f>IFERROR(tbl_raw[[#This Row],[Net_Profit]]/(tbl_raw[[#This Row],[Selling_Price]]*tbl_raw[[#This Row],[Units_Sold]]),0)</f>
        <v>-0.23612463485881208</v>
      </c>
      <c r="S745" s="23" t="s">
        <v>58</v>
      </c>
      <c r="T745" s="23" t="s">
        <v>32</v>
      </c>
      <c r="U745" s="23">
        <f>IF(tbl_raw[[#This Row],[Order_Status]]="Returned",1,0)</f>
        <v>0</v>
      </c>
      <c r="V745" s="23">
        <f>IF(tbl_raw[[#This Row],[Payment_Method]]="COD",1,0)</f>
        <v>0</v>
      </c>
      <c r="W745" s="26">
        <f>MIN(1,(tbl_raw[[#This Row],[Discount_Pct]]*1.4)+(tbl_raw[[#This Row],[COD_Flag]]*0.35))</f>
        <v>0.51800000000000002</v>
      </c>
    </row>
    <row r="746" spans="1:23" ht="22.8" x14ac:dyDescent="0.3">
      <c r="A746" s="17" t="s">
        <v>1888</v>
      </c>
      <c r="B746" s="18" t="s">
        <v>573</v>
      </c>
      <c r="C746" s="18" t="s">
        <v>89</v>
      </c>
      <c r="D746" s="18" t="s">
        <v>78</v>
      </c>
      <c r="E746" s="18" t="s">
        <v>534</v>
      </c>
      <c r="F746" s="18" t="s">
        <v>1889</v>
      </c>
      <c r="G746" s="18" t="s">
        <v>139</v>
      </c>
      <c r="H746" s="18" t="s">
        <v>48</v>
      </c>
      <c r="I746" s="18">
        <v>12</v>
      </c>
      <c r="J746" s="19">
        <v>5244</v>
      </c>
      <c r="K746" s="19">
        <v>4772</v>
      </c>
      <c r="L746" s="20">
        <v>0.09</v>
      </c>
      <c r="M746" s="19">
        <v>2297</v>
      </c>
      <c r="N746" s="19">
        <f>(tbl_raw[[#This Row],[Selling_Price]]-tbl_raw[[#This Row],[Cost_Price]])*tbl_raw[[#This Row],[Units_Sold]]</f>
        <v>29700</v>
      </c>
      <c r="O746" s="20">
        <f>IFERROR((tbl_raw[[#This Row],[Selling_Price]]-tbl_raw[[#This Row],[Cost_Price]]) / tbl_raw[[#This Row],[Selling_Price]],0)</f>
        <v>0.51865046102263201</v>
      </c>
      <c r="P746" s="19">
        <v>42</v>
      </c>
      <c r="Q746" s="19">
        <f>tbl_raw[[#This Row],[Gross_Profit]]-(tbl_raw[[#This Row],[Shipping_Cost]]*tbl_raw[[#This Row],[Units_Sold]])</f>
        <v>29196</v>
      </c>
      <c r="R746" s="20">
        <f>IFERROR(tbl_raw[[#This Row],[Net_Profit]]/(tbl_raw[[#This Row],[Selling_Price]]*tbl_raw[[#This Row],[Units_Sold]]),0)</f>
        <v>0.50984911986588433</v>
      </c>
      <c r="S746" s="18" t="s">
        <v>65</v>
      </c>
      <c r="T746" s="18" t="s">
        <v>32</v>
      </c>
      <c r="U746" s="18">
        <f>IF(tbl_raw[[#This Row],[Order_Status]]="Returned",1,0)</f>
        <v>0</v>
      </c>
      <c r="V746" s="18">
        <f>IF(tbl_raw[[#This Row],[Payment_Method]]="COD",1,0)</f>
        <v>0</v>
      </c>
      <c r="W746" s="21">
        <f>MIN(1,(tbl_raw[[#This Row],[Discount_Pct]]*1.4)+(tbl_raw[[#This Row],[COD_Flag]]*0.35))</f>
        <v>0.126</v>
      </c>
    </row>
    <row r="747" spans="1:23" ht="22.8" x14ac:dyDescent="0.3">
      <c r="A747" s="22" t="s">
        <v>1890</v>
      </c>
      <c r="B747" s="23" t="s">
        <v>667</v>
      </c>
      <c r="C747" s="23" t="s">
        <v>35</v>
      </c>
      <c r="D747" s="23" t="s">
        <v>164</v>
      </c>
      <c r="E747" s="23" t="s">
        <v>345</v>
      </c>
      <c r="F747" s="23" t="s">
        <v>1891</v>
      </c>
      <c r="G747" s="23" t="s">
        <v>120</v>
      </c>
      <c r="H747" s="23" t="s">
        <v>39</v>
      </c>
      <c r="I747" s="23">
        <v>7</v>
      </c>
      <c r="J747" s="24">
        <v>4857</v>
      </c>
      <c r="K747" s="24">
        <v>3206</v>
      </c>
      <c r="L747" s="25">
        <v>0.34</v>
      </c>
      <c r="M747" s="24">
        <v>2468</v>
      </c>
      <c r="N747" s="24">
        <f>(tbl_raw[[#This Row],[Selling_Price]]-tbl_raw[[#This Row],[Cost_Price]])*tbl_raw[[#This Row],[Units_Sold]]</f>
        <v>5166</v>
      </c>
      <c r="O747" s="25">
        <f>IFERROR((tbl_raw[[#This Row],[Selling_Price]]-tbl_raw[[#This Row],[Cost_Price]]) / tbl_raw[[#This Row],[Selling_Price]],0)</f>
        <v>0.23019338739862757</v>
      </c>
      <c r="P747" s="24">
        <v>113</v>
      </c>
      <c r="Q747" s="24">
        <f>tbl_raw[[#This Row],[Gross_Profit]]-(tbl_raw[[#This Row],[Shipping_Cost]]*tbl_raw[[#This Row],[Units_Sold]])</f>
        <v>4375</v>
      </c>
      <c r="R747" s="25">
        <f>IFERROR(tbl_raw[[#This Row],[Net_Profit]]/(tbl_raw[[#This Row],[Selling_Price]]*tbl_raw[[#This Row],[Units_Sold]]),0)</f>
        <v>0.19494697442295694</v>
      </c>
      <c r="S747" s="23" t="s">
        <v>58</v>
      </c>
      <c r="T747" s="23" t="s">
        <v>32</v>
      </c>
      <c r="U747" s="23">
        <f>IF(tbl_raw[[#This Row],[Order_Status]]="Returned",1,0)</f>
        <v>0</v>
      </c>
      <c r="V747" s="23">
        <f>IF(tbl_raw[[#This Row],[Payment_Method]]="COD",1,0)</f>
        <v>0</v>
      </c>
      <c r="W747" s="26">
        <f>MIN(1,(tbl_raw[[#This Row],[Discount_Pct]]*1.4)+(tbl_raw[[#This Row],[COD_Flag]]*0.35))</f>
        <v>0.47599999999999998</v>
      </c>
    </row>
    <row r="748" spans="1:23" ht="22.8" x14ac:dyDescent="0.3">
      <c r="A748" s="17" t="s">
        <v>1892</v>
      </c>
      <c r="B748" s="18" t="s">
        <v>271</v>
      </c>
      <c r="C748" s="18" t="s">
        <v>199</v>
      </c>
      <c r="D748" s="18" t="s">
        <v>26</v>
      </c>
      <c r="E748" s="18" t="s">
        <v>36</v>
      </c>
      <c r="F748" s="18" t="s">
        <v>1893</v>
      </c>
      <c r="G748" s="18" t="s">
        <v>75</v>
      </c>
      <c r="H748" s="18" t="s">
        <v>48</v>
      </c>
      <c r="I748" s="18">
        <v>2</v>
      </c>
      <c r="J748" s="19">
        <v>575</v>
      </c>
      <c r="K748" s="19">
        <v>552</v>
      </c>
      <c r="L748" s="20">
        <v>0.04</v>
      </c>
      <c r="M748" s="19">
        <v>292</v>
      </c>
      <c r="N748" s="19">
        <f>(tbl_raw[[#This Row],[Selling_Price]]-tbl_raw[[#This Row],[Cost_Price]])*tbl_raw[[#This Row],[Units_Sold]]</f>
        <v>520</v>
      </c>
      <c r="O748" s="20">
        <f>IFERROR((tbl_raw[[#This Row],[Selling_Price]]-tbl_raw[[#This Row],[Cost_Price]]) / tbl_raw[[#This Row],[Selling_Price]],0)</f>
        <v>0.47101449275362317</v>
      </c>
      <c r="P748" s="19">
        <v>177</v>
      </c>
      <c r="Q748" s="19">
        <f>tbl_raw[[#This Row],[Gross_Profit]]-(tbl_raw[[#This Row],[Shipping_Cost]]*tbl_raw[[#This Row],[Units_Sold]])</f>
        <v>166</v>
      </c>
      <c r="R748" s="20">
        <f>IFERROR(tbl_raw[[#This Row],[Net_Profit]]/(tbl_raw[[#This Row],[Selling_Price]]*tbl_raw[[#This Row],[Units_Sold]]),0)</f>
        <v>0.15036231884057971</v>
      </c>
      <c r="S748" s="18" t="s">
        <v>107</v>
      </c>
      <c r="T748" s="18" t="s">
        <v>32</v>
      </c>
      <c r="U748" s="18">
        <f>IF(tbl_raw[[#This Row],[Order_Status]]="Returned",1,0)</f>
        <v>0</v>
      </c>
      <c r="V748" s="18">
        <f>IF(tbl_raw[[#This Row],[Payment_Method]]="COD",1,0)</f>
        <v>0</v>
      </c>
      <c r="W748" s="21">
        <f>MIN(1,(tbl_raw[[#This Row],[Discount_Pct]]*1.4)+(tbl_raw[[#This Row],[COD_Flag]]*0.35))</f>
        <v>5.5999999999999994E-2</v>
      </c>
    </row>
    <row r="749" spans="1:23" ht="22.8" x14ac:dyDescent="0.3">
      <c r="A749" s="22" t="s">
        <v>1894</v>
      </c>
      <c r="B749" s="23" t="s">
        <v>218</v>
      </c>
      <c r="C749" s="23" t="s">
        <v>89</v>
      </c>
      <c r="D749" s="23" t="s">
        <v>78</v>
      </c>
      <c r="E749" s="23" t="s">
        <v>79</v>
      </c>
      <c r="F749" s="23" t="s">
        <v>1895</v>
      </c>
      <c r="G749" s="23" t="s">
        <v>120</v>
      </c>
      <c r="H749" s="23" t="s">
        <v>39</v>
      </c>
      <c r="I749" s="23">
        <v>11</v>
      </c>
      <c r="J749" s="24">
        <v>3377</v>
      </c>
      <c r="K749" s="24">
        <v>2263</v>
      </c>
      <c r="L749" s="25">
        <v>0.33</v>
      </c>
      <c r="M749" s="24">
        <v>1470</v>
      </c>
      <c r="N749" s="24">
        <f>(tbl_raw[[#This Row],[Selling_Price]]-tbl_raw[[#This Row],[Cost_Price]])*tbl_raw[[#This Row],[Units_Sold]]</f>
        <v>8723</v>
      </c>
      <c r="O749" s="25">
        <f>IFERROR((tbl_raw[[#This Row],[Selling_Price]]-tbl_raw[[#This Row],[Cost_Price]]) / tbl_raw[[#This Row],[Selling_Price]],0)</f>
        <v>0.3504197967300044</v>
      </c>
      <c r="P749" s="24">
        <v>151</v>
      </c>
      <c r="Q749" s="24">
        <f>tbl_raw[[#This Row],[Gross_Profit]]-(tbl_raw[[#This Row],[Shipping_Cost]]*tbl_raw[[#This Row],[Units_Sold]])</f>
        <v>7062</v>
      </c>
      <c r="R749" s="25">
        <f>IFERROR(tbl_raw[[#This Row],[Net_Profit]]/(tbl_raw[[#This Row],[Selling_Price]]*tbl_raw[[#This Row],[Units_Sold]]),0)</f>
        <v>0.28369421122403887</v>
      </c>
      <c r="S749" s="23" t="s">
        <v>40</v>
      </c>
      <c r="T749" s="23" t="s">
        <v>59</v>
      </c>
      <c r="U749" s="23">
        <f>IF(tbl_raw[[#This Row],[Order_Status]]="Returned",1,0)</f>
        <v>0</v>
      </c>
      <c r="V749" s="23">
        <f>IF(tbl_raw[[#This Row],[Payment_Method]]="COD",1,0)</f>
        <v>1</v>
      </c>
      <c r="W749" s="26">
        <f>MIN(1,(tbl_raw[[#This Row],[Discount_Pct]]*1.4)+(tbl_raw[[#This Row],[COD_Flag]]*0.35))</f>
        <v>0.81199999999999994</v>
      </c>
    </row>
    <row r="750" spans="1:23" ht="22.8" x14ac:dyDescent="0.3">
      <c r="A750" s="17" t="s">
        <v>1896</v>
      </c>
      <c r="B750" s="18" t="s">
        <v>600</v>
      </c>
      <c r="C750" s="18" t="s">
        <v>117</v>
      </c>
      <c r="D750" s="18" t="s">
        <v>26</v>
      </c>
      <c r="E750" s="18" t="s">
        <v>27</v>
      </c>
      <c r="F750" s="18" t="s">
        <v>1897</v>
      </c>
      <c r="G750" s="18" t="s">
        <v>81</v>
      </c>
      <c r="H750" s="18" t="s">
        <v>30</v>
      </c>
      <c r="I750" s="18">
        <v>15</v>
      </c>
      <c r="J750" s="19">
        <v>814</v>
      </c>
      <c r="K750" s="19">
        <v>586</v>
      </c>
      <c r="L750" s="20">
        <v>0.28000000000000003</v>
      </c>
      <c r="M750" s="19">
        <v>597</v>
      </c>
      <c r="N750" s="19">
        <f>(tbl_raw[[#This Row],[Selling_Price]]-tbl_raw[[#This Row],[Cost_Price]])*tbl_raw[[#This Row],[Units_Sold]]</f>
        <v>-165</v>
      </c>
      <c r="O750" s="20">
        <f>IFERROR((tbl_raw[[#This Row],[Selling_Price]]-tbl_raw[[#This Row],[Cost_Price]]) / tbl_raw[[#This Row],[Selling_Price]],0)</f>
        <v>-1.877133105802048E-2</v>
      </c>
      <c r="P750" s="19">
        <v>65</v>
      </c>
      <c r="Q750" s="19">
        <f>tbl_raw[[#This Row],[Gross_Profit]]-(tbl_raw[[#This Row],[Shipping_Cost]]*tbl_raw[[#This Row],[Units_Sold]])</f>
        <v>-1140</v>
      </c>
      <c r="R750" s="20">
        <f>IFERROR(tbl_raw[[#This Row],[Net_Profit]]/(tbl_raw[[#This Row],[Selling_Price]]*tbl_raw[[#This Row],[Units_Sold]]),0)</f>
        <v>-0.12969283276450511</v>
      </c>
      <c r="S750" s="18" t="s">
        <v>40</v>
      </c>
      <c r="T750" s="18" t="s">
        <v>86</v>
      </c>
      <c r="U750" s="18">
        <f>IF(tbl_raw[[#This Row],[Order_Status]]="Returned",1,0)</f>
        <v>1</v>
      </c>
      <c r="V750" s="18">
        <f>IF(tbl_raw[[#This Row],[Payment_Method]]="COD",1,0)</f>
        <v>1</v>
      </c>
      <c r="W750" s="21">
        <f>MIN(1,(tbl_raw[[#This Row],[Discount_Pct]]*1.4)+(tbl_raw[[#This Row],[COD_Flag]]*0.35))</f>
        <v>0.74199999999999999</v>
      </c>
    </row>
    <row r="751" spans="1:23" ht="22.8" x14ac:dyDescent="0.3">
      <c r="A751" s="22" t="s">
        <v>1898</v>
      </c>
      <c r="B751" s="23" t="s">
        <v>189</v>
      </c>
      <c r="C751" s="23" t="s">
        <v>156</v>
      </c>
      <c r="D751" s="23" t="s">
        <v>44</v>
      </c>
      <c r="E751" s="23" t="s">
        <v>275</v>
      </c>
      <c r="F751" s="23" t="s">
        <v>1899</v>
      </c>
      <c r="G751" s="23" t="s">
        <v>81</v>
      </c>
      <c r="H751" s="23" t="s">
        <v>30</v>
      </c>
      <c r="I751" s="23">
        <v>11</v>
      </c>
      <c r="J751" s="24">
        <v>2469</v>
      </c>
      <c r="K751" s="24">
        <v>1778</v>
      </c>
      <c r="L751" s="25">
        <v>0.28000000000000003</v>
      </c>
      <c r="M751" s="24">
        <v>1800</v>
      </c>
      <c r="N751" s="24">
        <f>(tbl_raw[[#This Row],[Selling_Price]]-tbl_raw[[#This Row],[Cost_Price]])*tbl_raw[[#This Row],[Units_Sold]]</f>
        <v>-242</v>
      </c>
      <c r="O751" s="25">
        <f>IFERROR((tbl_raw[[#This Row],[Selling_Price]]-tbl_raw[[#This Row],[Cost_Price]]) / tbl_raw[[#This Row],[Selling_Price]],0)</f>
        <v>-1.2373453318335208E-2</v>
      </c>
      <c r="P751" s="24">
        <v>36</v>
      </c>
      <c r="Q751" s="24">
        <f>tbl_raw[[#This Row],[Gross_Profit]]-(tbl_raw[[#This Row],[Shipping_Cost]]*tbl_raw[[#This Row],[Units_Sold]])</f>
        <v>-638</v>
      </c>
      <c r="R751" s="25">
        <f>IFERROR(tbl_raw[[#This Row],[Net_Profit]]/(tbl_raw[[#This Row],[Selling_Price]]*tbl_raw[[#This Row],[Units_Sold]]),0)</f>
        <v>-3.2620922384701913E-2</v>
      </c>
      <c r="S751" s="23" t="s">
        <v>31</v>
      </c>
      <c r="T751" s="23" t="s">
        <v>49</v>
      </c>
      <c r="U751" s="23">
        <f>IF(tbl_raw[[#This Row],[Order_Status]]="Returned",1,0)</f>
        <v>0</v>
      </c>
      <c r="V751" s="23">
        <f>IF(tbl_raw[[#This Row],[Payment_Method]]="COD",1,0)</f>
        <v>0</v>
      </c>
      <c r="W751" s="26">
        <f>MIN(1,(tbl_raw[[#This Row],[Discount_Pct]]*1.4)+(tbl_raw[[#This Row],[COD_Flag]]*0.35))</f>
        <v>0.39200000000000002</v>
      </c>
    </row>
    <row r="752" spans="1:23" ht="22.8" x14ac:dyDescent="0.3">
      <c r="A752" s="17" t="s">
        <v>1900</v>
      </c>
      <c r="B752" s="18" t="s">
        <v>1901</v>
      </c>
      <c r="C752" s="18" t="s">
        <v>199</v>
      </c>
      <c r="D752" s="18" t="s">
        <v>164</v>
      </c>
      <c r="E752" s="18" t="s">
        <v>345</v>
      </c>
      <c r="F752" s="18" t="s">
        <v>1902</v>
      </c>
      <c r="G752" s="18" t="s">
        <v>75</v>
      </c>
      <c r="H752" s="18" t="s">
        <v>48</v>
      </c>
      <c r="I752" s="18">
        <v>4</v>
      </c>
      <c r="J752" s="19">
        <v>6477</v>
      </c>
      <c r="K752" s="19">
        <v>6088</v>
      </c>
      <c r="L752" s="20">
        <v>0.06</v>
      </c>
      <c r="M752" s="19">
        <v>4564</v>
      </c>
      <c r="N752" s="19">
        <f>(tbl_raw[[#This Row],[Selling_Price]]-tbl_raw[[#This Row],[Cost_Price]])*tbl_raw[[#This Row],[Units_Sold]]</f>
        <v>6096</v>
      </c>
      <c r="O752" s="20">
        <f>IFERROR((tbl_raw[[#This Row],[Selling_Price]]-tbl_raw[[#This Row],[Cost_Price]]) / tbl_raw[[#This Row],[Selling_Price]],0)</f>
        <v>0.25032851511169513</v>
      </c>
      <c r="P752" s="19">
        <v>112</v>
      </c>
      <c r="Q752" s="19">
        <f>tbl_raw[[#This Row],[Gross_Profit]]-(tbl_raw[[#This Row],[Shipping_Cost]]*tbl_raw[[#This Row],[Units_Sold]])</f>
        <v>5648</v>
      </c>
      <c r="R752" s="20">
        <f>IFERROR(tbl_raw[[#This Row],[Net_Profit]]/(tbl_raw[[#This Row],[Selling_Price]]*tbl_raw[[#This Row],[Units_Sold]]),0)</f>
        <v>0.23193166885676741</v>
      </c>
      <c r="S752" s="18" t="s">
        <v>58</v>
      </c>
      <c r="T752" s="18" t="s">
        <v>32</v>
      </c>
      <c r="U752" s="18">
        <f>IF(tbl_raw[[#This Row],[Order_Status]]="Returned",1,0)</f>
        <v>0</v>
      </c>
      <c r="V752" s="18">
        <f>IF(tbl_raw[[#This Row],[Payment_Method]]="COD",1,0)</f>
        <v>0</v>
      </c>
      <c r="W752" s="21">
        <f>MIN(1,(tbl_raw[[#This Row],[Discount_Pct]]*1.4)+(tbl_raw[[#This Row],[COD_Flag]]*0.35))</f>
        <v>8.3999999999999991E-2</v>
      </c>
    </row>
    <row r="753" spans="1:23" ht="22.8" x14ac:dyDescent="0.3">
      <c r="A753" s="22" t="s">
        <v>1903</v>
      </c>
      <c r="B753" s="23" t="s">
        <v>1213</v>
      </c>
      <c r="C753" s="23" t="s">
        <v>43</v>
      </c>
      <c r="D753" s="23" t="s">
        <v>164</v>
      </c>
      <c r="E753" s="23" t="s">
        <v>265</v>
      </c>
      <c r="F753" s="23" t="s">
        <v>1904</v>
      </c>
      <c r="G753" s="23" t="s">
        <v>102</v>
      </c>
      <c r="H753" s="23" t="s">
        <v>39</v>
      </c>
      <c r="I753" s="23">
        <v>12</v>
      </c>
      <c r="J753" s="24">
        <v>2956</v>
      </c>
      <c r="K753" s="24">
        <v>2867</v>
      </c>
      <c r="L753" s="25">
        <v>0.03</v>
      </c>
      <c r="M753" s="24">
        <v>1918</v>
      </c>
      <c r="N753" s="24">
        <f>(tbl_raw[[#This Row],[Selling_Price]]-tbl_raw[[#This Row],[Cost_Price]])*tbl_raw[[#This Row],[Units_Sold]]</f>
        <v>11388</v>
      </c>
      <c r="O753" s="25">
        <f>IFERROR((tbl_raw[[#This Row],[Selling_Price]]-tbl_raw[[#This Row],[Cost_Price]]) / tbl_raw[[#This Row],[Selling_Price]],0)</f>
        <v>0.33100802232298571</v>
      </c>
      <c r="P753" s="24">
        <v>99</v>
      </c>
      <c r="Q753" s="24">
        <f>tbl_raw[[#This Row],[Gross_Profit]]-(tbl_raw[[#This Row],[Shipping_Cost]]*tbl_raw[[#This Row],[Units_Sold]])</f>
        <v>10200</v>
      </c>
      <c r="R753" s="25">
        <f>IFERROR(tbl_raw[[#This Row],[Net_Profit]]/(tbl_raw[[#This Row],[Selling_Price]]*tbl_raw[[#This Row],[Units_Sold]]),0)</f>
        <v>0.29647715381932332</v>
      </c>
      <c r="S753" s="23" t="s">
        <v>31</v>
      </c>
      <c r="T753" s="23" t="s">
        <v>86</v>
      </c>
      <c r="U753" s="23">
        <f>IF(tbl_raw[[#This Row],[Order_Status]]="Returned",1,0)</f>
        <v>1</v>
      </c>
      <c r="V753" s="23">
        <f>IF(tbl_raw[[#This Row],[Payment_Method]]="COD",1,0)</f>
        <v>0</v>
      </c>
      <c r="W753" s="26">
        <f>MIN(1,(tbl_raw[[#This Row],[Discount_Pct]]*1.4)+(tbl_raw[[#This Row],[COD_Flag]]*0.35))</f>
        <v>4.1999999999999996E-2</v>
      </c>
    </row>
    <row r="754" spans="1:23" ht="22.8" x14ac:dyDescent="0.3">
      <c r="A754" s="17" t="s">
        <v>1905</v>
      </c>
      <c r="B754" s="18" t="s">
        <v>661</v>
      </c>
      <c r="C754" s="18" t="s">
        <v>117</v>
      </c>
      <c r="D754" s="18" t="s">
        <v>164</v>
      </c>
      <c r="E754" s="18" t="s">
        <v>265</v>
      </c>
      <c r="F754" s="18" t="s">
        <v>1906</v>
      </c>
      <c r="G754" s="18" t="s">
        <v>75</v>
      </c>
      <c r="H754" s="18" t="s">
        <v>48</v>
      </c>
      <c r="I754" s="18">
        <v>2</v>
      </c>
      <c r="J754" s="19">
        <v>3035</v>
      </c>
      <c r="K754" s="19">
        <v>2640</v>
      </c>
      <c r="L754" s="20">
        <v>0.13</v>
      </c>
      <c r="M754" s="19">
        <v>1648</v>
      </c>
      <c r="N754" s="19">
        <f>(tbl_raw[[#This Row],[Selling_Price]]-tbl_raw[[#This Row],[Cost_Price]])*tbl_raw[[#This Row],[Units_Sold]]</f>
        <v>1984</v>
      </c>
      <c r="O754" s="20">
        <f>IFERROR((tbl_raw[[#This Row],[Selling_Price]]-tbl_raw[[#This Row],[Cost_Price]]) / tbl_raw[[#This Row],[Selling_Price]],0)</f>
        <v>0.37575757575757573</v>
      </c>
      <c r="P754" s="19">
        <v>123</v>
      </c>
      <c r="Q754" s="19">
        <f>tbl_raw[[#This Row],[Gross_Profit]]-(tbl_raw[[#This Row],[Shipping_Cost]]*tbl_raw[[#This Row],[Units_Sold]])</f>
        <v>1738</v>
      </c>
      <c r="R754" s="20">
        <f>IFERROR(tbl_raw[[#This Row],[Net_Profit]]/(tbl_raw[[#This Row],[Selling_Price]]*tbl_raw[[#This Row],[Units_Sold]]),0)</f>
        <v>0.32916666666666666</v>
      </c>
      <c r="S754" s="18" t="s">
        <v>40</v>
      </c>
      <c r="T754" s="18" t="s">
        <v>32</v>
      </c>
      <c r="U754" s="18">
        <f>IF(tbl_raw[[#This Row],[Order_Status]]="Returned",1,0)</f>
        <v>0</v>
      </c>
      <c r="V754" s="18">
        <f>IF(tbl_raw[[#This Row],[Payment_Method]]="COD",1,0)</f>
        <v>1</v>
      </c>
      <c r="W754" s="21">
        <f>MIN(1,(tbl_raw[[#This Row],[Discount_Pct]]*1.4)+(tbl_raw[[#This Row],[COD_Flag]]*0.35))</f>
        <v>0.53200000000000003</v>
      </c>
    </row>
    <row r="755" spans="1:23" ht="22.8" x14ac:dyDescent="0.3">
      <c r="A755" s="22" t="s">
        <v>1907</v>
      </c>
      <c r="B755" s="23" t="s">
        <v>198</v>
      </c>
      <c r="C755" s="23" t="s">
        <v>199</v>
      </c>
      <c r="D755" s="23" t="s">
        <v>44</v>
      </c>
      <c r="E755" s="23" t="s">
        <v>45</v>
      </c>
      <c r="F755" s="23" t="s">
        <v>1908</v>
      </c>
      <c r="G755" s="23" t="s">
        <v>47</v>
      </c>
      <c r="H755" s="23" t="s">
        <v>48</v>
      </c>
      <c r="I755" s="23">
        <v>17</v>
      </c>
      <c r="J755" s="24">
        <v>3711</v>
      </c>
      <c r="K755" s="24">
        <v>2264</v>
      </c>
      <c r="L755" s="25">
        <v>0.39</v>
      </c>
      <c r="M755" s="24">
        <v>2772</v>
      </c>
      <c r="N755" s="24">
        <f>(tbl_raw[[#This Row],[Selling_Price]]-tbl_raw[[#This Row],[Cost_Price]])*tbl_raw[[#This Row],[Units_Sold]]</f>
        <v>-8636</v>
      </c>
      <c r="O755" s="25">
        <f>IFERROR((tbl_raw[[#This Row],[Selling_Price]]-tbl_raw[[#This Row],[Cost_Price]]) / tbl_raw[[#This Row],[Selling_Price]],0)</f>
        <v>-0.22438162544169613</v>
      </c>
      <c r="P755" s="24">
        <v>36</v>
      </c>
      <c r="Q755" s="24">
        <f>tbl_raw[[#This Row],[Gross_Profit]]-(tbl_raw[[#This Row],[Shipping_Cost]]*tbl_raw[[#This Row],[Units_Sold]])</f>
        <v>-9248</v>
      </c>
      <c r="R755" s="25">
        <f>IFERROR(tbl_raw[[#This Row],[Net_Profit]]/(tbl_raw[[#This Row],[Selling_Price]]*tbl_raw[[#This Row],[Units_Sold]]),0)</f>
        <v>-0.24028268551236748</v>
      </c>
      <c r="S755" s="23" t="s">
        <v>58</v>
      </c>
      <c r="T755" s="23" t="s">
        <v>32</v>
      </c>
      <c r="U755" s="23">
        <f>IF(tbl_raw[[#This Row],[Order_Status]]="Returned",1,0)</f>
        <v>0</v>
      </c>
      <c r="V755" s="23">
        <f>IF(tbl_raw[[#This Row],[Payment_Method]]="COD",1,0)</f>
        <v>0</v>
      </c>
      <c r="W755" s="26">
        <f>MIN(1,(tbl_raw[[#This Row],[Discount_Pct]]*1.4)+(tbl_raw[[#This Row],[COD_Flag]]*0.35))</f>
        <v>0.54599999999999993</v>
      </c>
    </row>
    <row r="756" spans="1:23" ht="22.8" x14ac:dyDescent="0.3">
      <c r="A756" s="17" t="s">
        <v>1909</v>
      </c>
      <c r="B756" s="18" t="s">
        <v>148</v>
      </c>
      <c r="C756" s="18" t="s">
        <v>105</v>
      </c>
      <c r="D756" s="18" t="s">
        <v>164</v>
      </c>
      <c r="E756" s="18" t="s">
        <v>265</v>
      </c>
      <c r="F756" s="18" t="s">
        <v>1910</v>
      </c>
      <c r="G756" s="18" t="s">
        <v>47</v>
      </c>
      <c r="H756" s="18" t="s">
        <v>48</v>
      </c>
      <c r="I756" s="18">
        <v>6</v>
      </c>
      <c r="J756" s="19">
        <v>4647</v>
      </c>
      <c r="K756" s="19">
        <v>2881</v>
      </c>
      <c r="L756" s="20">
        <v>0.38</v>
      </c>
      <c r="M756" s="19">
        <v>2222</v>
      </c>
      <c r="N756" s="19">
        <f>(tbl_raw[[#This Row],[Selling_Price]]-tbl_raw[[#This Row],[Cost_Price]])*tbl_raw[[#This Row],[Units_Sold]]</f>
        <v>3954</v>
      </c>
      <c r="O756" s="20">
        <f>IFERROR((tbl_raw[[#This Row],[Selling_Price]]-tbl_raw[[#This Row],[Cost_Price]]) / tbl_raw[[#This Row],[Selling_Price]],0)</f>
        <v>0.22874002082610204</v>
      </c>
      <c r="P756" s="19">
        <v>161</v>
      </c>
      <c r="Q756" s="19">
        <f>tbl_raw[[#This Row],[Gross_Profit]]-(tbl_raw[[#This Row],[Shipping_Cost]]*tbl_raw[[#This Row],[Units_Sold]])</f>
        <v>2988</v>
      </c>
      <c r="R756" s="20">
        <f>IFERROR(tbl_raw[[#This Row],[Net_Profit]]/(tbl_raw[[#This Row],[Selling_Price]]*tbl_raw[[#This Row],[Units_Sold]]),0)</f>
        <v>0.17285664699757028</v>
      </c>
      <c r="S756" s="18" t="s">
        <v>58</v>
      </c>
      <c r="T756" s="18" t="s">
        <v>32</v>
      </c>
      <c r="U756" s="18">
        <f>IF(tbl_raw[[#This Row],[Order_Status]]="Returned",1,0)</f>
        <v>0</v>
      </c>
      <c r="V756" s="18">
        <f>IF(tbl_raw[[#This Row],[Payment_Method]]="COD",1,0)</f>
        <v>0</v>
      </c>
      <c r="W756" s="21">
        <f>MIN(1,(tbl_raw[[#This Row],[Discount_Pct]]*1.4)+(tbl_raw[[#This Row],[COD_Flag]]*0.35))</f>
        <v>0.53199999999999992</v>
      </c>
    </row>
    <row r="757" spans="1:23" ht="22.8" x14ac:dyDescent="0.3">
      <c r="A757" s="22" t="s">
        <v>1911</v>
      </c>
      <c r="B757" s="23" t="s">
        <v>1336</v>
      </c>
      <c r="C757" s="23" t="s">
        <v>105</v>
      </c>
      <c r="D757" s="23" t="s">
        <v>62</v>
      </c>
      <c r="E757" s="23" t="s">
        <v>110</v>
      </c>
      <c r="F757" s="23" t="s">
        <v>1912</v>
      </c>
      <c r="G757" s="23" t="s">
        <v>81</v>
      </c>
      <c r="H757" s="23" t="s">
        <v>30</v>
      </c>
      <c r="I757" s="23">
        <v>4</v>
      </c>
      <c r="J757" s="24">
        <v>7356</v>
      </c>
      <c r="K757" s="24">
        <v>4266</v>
      </c>
      <c r="L757" s="25">
        <v>0.42</v>
      </c>
      <c r="M757" s="24">
        <v>4920</v>
      </c>
      <c r="N757" s="24">
        <f>(tbl_raw[[#This Row],[Selling_Price]]-tbl_raw[[#This Row],[Cost_Price]])*tbl_raw[[#This Row],[Units_Sold]]</f>
        <v>-2616</v>
      </c>
      <c r="O757" s="25">
        <f>IFERROR((tbl_raw[[#This Row],[Selling_Price]]-tbl_raw[[#This Row],[Cost_Price]]) / tbl_raw[[#This Row],[Selling_Price]],0)</f>
        <v>-0.15330520393811534</v>
      </c>
      <c r="P757" s="24">
        <v>60</v>
      </c>
      <c r="Q757" s="24">
        <f>tbl_raw[[#This Row],[Gross_Profit]]-(tbl_raw[[#This Row],[Shipping_Cost]]*tbl_raw[[#This Row],[Units_Sold]])</f>
        <v>-2856</v>
      </c>
      <c r="R757" s="25">
        <f>IFERROR(tbl_raw[[#This Row],[Net_Profit]]/(tbl_raw[[#This Row],[Selling_Price]]*tbl_raw[[#This Row],[Units_Sold]]),0)</f>
        <v>-0.16736990154711673</v>
      </c>
      <c r="S757" s="23" t="s">
        <v>107</v>
      </c>
      <c r="T757" s="23" t="s">
        <v>32</v>
      </c>
      <c r="U757" s="23">
        <f>IF(tbl_raw[[#This Row],[Order_Status]]="Returned",1,0)</f>
        <v>0</v>
      </c>
      <c r="V757" s="23">
        <f>IF(tbl_raw[[#This Row],[Payment_Method]]="COD",1,0)</f>
        <v>0</v>
      </c>
      <c r="W757" s="26">
        <f>MIN(1,(tbl_raw[[#This Row],[Discount_Pct]]*1.4)+(tbl_raw[[#This Row],[COD_Flag]]*0.35))</f>
        <v>0.58799999999999997</v>
      </c>
    </row>
    <row r="758" spans="1:23" ht="22.8" x14ac:dyDescent="0.3">
      <c r="A758" s="17" t="s">
        <v>1913</v>
      </c>
      <c r="B758" s="18" t="s">
        <v>511</v>
      </c>
      <c r="C758" s="18" t="s">
        <v>199</v>
      </c>
      <c r="D758" s="18" t="s">
        <v>94</v>
      </c>
      <c r="E758" s="18" t="s">
        <v>310</v>
      </c>
      <c r="F758" s="18" t="s">
        <v>1914</v>
      </c>
      <c r="G758" s="18" t="s">
        <v>143</v>
      </c>
      <c r="H758" s="18" t="s">
        <v>30</v>
      </c>
      <c r="I758" s="18">
        <v>15</v>
      </c>
      <c r="J758" s="19">
        <v>499</v>
      </c>
      <c r="K758" s="19">
        <v>464</v>
      </c>
      <c r="L758" s="20">
        <v>7.0000000000000007E-2</v>
      </c>
      <c r="M758" s="19">
        <v>282</v>
      </c>
      <c r="N758" s="19">
        <f>(tbl_raw[[#This Row],[Selling_Price]]-tbl_raw[[#This Row],[Cost_Price]])*tbl_raw[[#This Row],[Units_Sold]]</f>
        <v>2730</v>
      </c>
      <c r="O758" s="20">
        <f>IFERROR((tbl_raw[[#This Row],[Selling_Price]]-tbl_raw[[#This Row],[Cost_Price]]) / tbl_raw[[#This Row],[Selling_Price]],0)</f>
        <v>0.39224137931034481</v>
      </c>
      <c r="P758" s="19">
        <v>126</v>
      </c>
      <c r="Q758" s="19">
        <f>tbl_raw[[#This Row],[Gross_Profit]]-(tbl_raw[[#This Row],[Shipping_Cost]]*tbl_raw[[#This Row],[Units_Sold]])</f>
        <v>840</v>
      </c>
      <c r="R758" s="20">
        <f>IFERROR(tbl_raw[[#This Row],[Net_Profit]]/(tbl_raw[[#This Row],[Selling_Price]]*tbl_raw[[#This Row],[Units_Sold]]),0)</f>
        <v>0.1206896551724138</v>
      </c>
      <c r="S758" s="18" t="s">
        <v>107</v>
      </c>
      <c r="T758" s="18" t="s">
        <v>49</v>
      </c>
      <c r="U758" s="18">
        <f>IF(tbl_raw[[#This Row],[Order_Status]]="Returned",1,0)</f>
        <v>0</v>
      </c>
      <c r="V758" s="18">
        <f>IF(tbl_raw[[#This Row],[Payment_Method]]="COD",1,0)</f>
        <v>0</v>
      </c>
      <c r="W758" s="21">
        <f>MIN(1,(tbl_raw[[#This Row],[Discount_Pct]]*1.4)+(tbl_raw[[#This Row],[COD_Flag]]*0.35))</f>
        <v>9.8000000000000004E-2</v>
      </c>
    </row>
    <row r="759" spans="1:23" ht="22.8" x14ac:dyDescent="0.3">
      <c r="A759" s="22" t="s">
        <v>1915</v>
      </c>
      <c r="B759" s="23" t="s">
        <v>586</v>
      </c>
      <c r="C759" s="23" t="s">
        <v>52</v>
      </c>
      <c r="D759" s="23" t="s">
        <v>44</v>
      </c>
      <c r="E759" s="23" t="s">
        <v>275</v>
      </c>
      <c r="F759" s="23" t="s">
        <v>1916</v>
      </c>
      <c r="G759" s="23" t="s">
        <v>29</v>
      </c>
      <c r="H759" s="23" t="s">
        <v>30</v>
      </c>
      <c r="I759" s="23">
        <v>2</v>
      </c>
      <c r="J759" s="24">
        <v>1850</v>
      </c>
      <c r="K759" s="24">
        <v>1832</v>
      </c>
      <c r="L759" s="25">
        <v>0.01</v>
      </c>
      <c r="M759" s="24">
        <v>1231</v>
      </c>
      <c r="N759" s="24">
        <f>(tbl_raw[[#This Row],[Selling_Price]]-tbl_raw[[#This Row],[Cost_Price]])*tbl_raw[[#This Row],[Units_Sold]]</f>
        <v>1202</v>
      </c>
      <c r="O759" s="25">
        <f>IFERROR((tbl_raw[[#This Row],[Selling_Price]]-tbl_raw[[#This Row],[Cost_Price]]) / tbl_raw[[#This Row],[Selling_Price]],0)</f>
        <v>0.32805676855895194</v>
      </c>
      <c r="P759" s="24">
        <v>93</v>
      </c>
      <c r="Q759" s="24">
        <f>tbl_raw[[#This Row],[Gross_Profit]]-(tbl_raw[[#This Row],[Shipping_Cost]]*tbl_raw[[#This Row],[Units_Sold]])</f>
        <v>1016</v>
      </c>
      <c r="R759" s="25">
        <f>IFERROR(tbl_raw[[#This Row],[Net_Profit]]/(tbl_raw[[#This Row],[Selling_Price]]*tbl_raw[[#This Row],[Units_Sold]]),0)</f>
        <v>0.27729257641921395</v>
      </c>
      <c r="S759" s="23" t="s">
        <v>107</v>
      </c>
      <c r="T759" s="23" t="s">
        <v>32</v>
      </c>
      <c r="U759" s="23">
        <f>IF(tbl_raw[[#This Row],[Order_Status]]="Returned",1,0)</f>
        <v>0</v>
      </c>
      <c r="V759" s="23">
        <f>IF(tbl_raw[[#This Row],[Payment_Method]]="COD",1,0)</f>
        <v>0</v>
      </c>
      <c r="W759" s="26">
        <f>MIN(1,(tbl_raw[[#This Row],[Discount_Pct]]*1.4)+(tbl_raw[[#This Row],[COD_Flag]]*0.35))</f>
        <v>1.3999999999999999E-2</v>
      </c>
    </row>
    <row r="760" spans="1:23" ht="22.8" x14ac:dyDescent="0.3">
      <c r="A760" s="17" t="s">
        <v>1917</v>
      </c>
      <c r="B760" s="18" t="s">
        <v>378</v>
      </c>
      <c r="C760" s="18" t="s">
        <v>72</v>
      </c>
      <c r="D760" s="18" t="s">
        <v>78</v>
      </c>
      <c r="E760" s="18" t="s">
        <v>296</v>
      </c>
      <c r="F760" s="18" t="s">
        <v>1918</v>
      </c>
      <c r="G760" s="18" t="s">
        <v>75</v>
      </c>
      <c r="H760" s="18" t="s">
        <v>48</v>
      </c>
      <c r="I760" s="18">
        <v>14</v>
      </c>
      <c r="J760" s="19">
        <v>4293</v>
      </c>
      <c r="K760" s="19">
        <v>3005</v>
      </c>
      <c r="L760" s="20">
        <v>0.3</v>
      </c>
      <c r="M760" s="19">
        <v>2107</v>
      </c>
      <c r="N760" s="19">
        <f>(tbl_raw[[#This Row],[Selling_Price]]-tbl_raw[[#This Row],[Cost_Price]])*tbl_raw[[#This Row],[Units_Sold]]</f>
        <v>12572</v>
      </c>
      <c r="O760" s="20">
        <f>IFERROR((tbl_raw[[#This Row],[Selling_Price]]-tbl_raw[[#This Row],[Cost_Price]]) / tbl_raw[[#This Row],[Selling_Price]],0)</f>
        <v>0.29883527454242931</v>
      </c>
      <c r="P760" s="19">
        <v>155</v>
      </c>
      <c r="Q760" s="19">
        <f>tbl_raw[[#This Row],[Gross_Profit]]-(tbl_raw[[#This Row],[Shipping_Cost]]*tbl_raw[[#This Row],[Units_Sold]])</f>
        <v>10402</v>
      </c>
      <c r="R760" s="20">
        <f>IFERROR(tbl_raw[[#This Row],[Net_Profit]]/(tbl_raw[[#This Row],[Selling_Price]]*tbl_raw[[#This Row],[Units_Sold]]),0)</f>
        <v>0.24725457570715476</v>
      </c>
      <c r="S760" s="18" t="s">
        <v>58</v>
      </c>
      <c r="T760" s="18" t="s">
        <v>32</v>
      </c>
      <c r="U760" s="18">
        <f>IF(tbl_raw[[#This Row],[Order_Status]]="Returned",1,0)</f>
        <v>0</v>
      </c>
      <c r="V760" s="18">
        <f>IF(tbl_raw[[#This Row],[Payment_Method]]="COD",1,0)</f>
        <v>0</v>
      </c>
      <c r="W760" s="21">
        <f>MIN(1,(tbl_raw[[#This Row],[Discount_Pct]]*1.4)+(tbl_raw[[#This Row],[COD_Flag]]*0.35))</f>
        <v>0.42</v>
      </c>
    </row>
    <row r="761" spans="1:23" ht="22.8" x14ac:dyDescent="0.3">
      <c r="A761" s="22" t="s">
        <v>1919</v>
      </c>
      <c r="B761" s="23" t="s">
        <v>478</v>
      </c>
      <c r="C761" s="23" t="s">
        <v>99</v>
      </c>
      <c r="D761" s="23" t="s">
        <v>94</v>
      </c>
      <c r="E761" s="23" t="s">
        <v>180</v>
      </c>
      <c r="F761" s="23" t="s">
        <v>1920</v>
      </c>
      <c r="G761" s="23" t="s">
        <v>75</v>
      </c>
      <c r="H761" s="23" t="s">
        <v>48</v>
      </c>
      <c r="I761" s="23">
        <v>16</v>
      </c>
      <c r="J761" s="24">
        <v>4377</v>
      </c>
      <c r="K761" s="24">
        <v>2845</v>
      </c>
      <c r="L761" s="25">
        <v>0.35</v>
      </c>
      <c r="M761" s="24">
        <v>3230</v>
      </c>
      <c r="N761" s="24">
        <f>(tbl_raw[[#This Row],[Selling_Price]]-tbl_raw[[#This Row],[Cost_Price]])*tbl_raw[[#This Row],[Units_Sold]]</f>
        <v>-6160</v>
      </c>
      <c r="O761" s="25">
        <f>IFERROR((tbl_raw[[#This Row],[Selling_Price]]-tbl_raw[[#This Row],[Cost_Price]]) / tbl_raw[[#This Row],[Selling_Price]],0)</f>
        <v>-0.13532513181019332</v>
      </c>
      <c r="P761" s="24">
        <v>96</v>
      </c>
      <c r="Q761" s="24">
        <f>tbl_raw[[#This Row],[Gross_Profit]]-(tbl_raw[[#This Row],[Shipping_Cost]]*tbl_raw[[#This Row],[Units_Sold]])</f>
        <v>-7696</v>
      </c>
      <c r="R761" s="25">
        <f>IFERROR(tbl_raw[[#This Row],[Net_Profit]]/(tbl_raw[[#This Row],[Selling_Price]]*tbl_raw[[#This Row],[Units_Sold]]),0)</f>
        <v>-0.16906854130052723</v>
      </c>
      <c r="S761" s="23" t="s">
        <v>65</v>
      </c>
      <c r="T761" s="23" t="s">
        <v>32</v>
      </c>
      <c r="U761" s="23">
        <f>IF(tbl_raw[[#This Row],[Order_Status]]="Returned",1,0)</f>
        <v>0</v>
      </c>
      <c r="V761" s="23">
        <f>IF(tbl_raw[[#This Row],[Payment_Method]]="COD",1,0)</f>
        <v>0</v>
      </c>
      <c r="W761" s="26">
        <f>MIN(1,(tbl_raw[[#This Row],[Discount_Pct]]*1.4)+(tbl_raw[[#This Row],[COD_Flag]]*0.35))</f>
        <v>0.48999999999999994</v>
      </c>
    </row>
    <row r="762" spans="1:23" ht="22.8" x14ac:dyDescent="0.3">
      <c r="A762" s="17" t="s">
        <v>1921</v>
      </c>
      <c r="B762" s="18" t="s">
        <v>768</v>
      </c>
      <c r="C762" s="18" t="s">
        <v>199</v>
      </c>
      <c r="D762" s="18" t="s">
        <v>175</v>
      </c>
      <c r="E762" s="18" t="s">
        <v>176</v>
      </c>
      <c r="F762" s="18" t="s">
        <v>1922</v>
      </c>
      <c r="G762" s="18" t="s">
        <v>81</v>
      </c>
      <c r="H762" s="18" t="s">
        <v>30</v>
      </c>
      <c r="I762" s="18">
        <v>11</v>
      </c>
      <c r="J762" s="19">
        <v>5380</v>
      </c>
      <c r="K762" s="19">
        <v>3389</v>
      </c>
      <c r="L762" s="20">
        <v>0.37</v>
      </c>
      <c r="M762" s="19">
        <v>3535</v>
      </c>
      <c r="N762" s="19">
        <f>(tbl_raw[[#This Row],[Selling_Price]]-tbl_raw[[#This Row],[Cost_Price]])*tbl_raw[[#This Row],[Units_Sold]]</f>
        <v>-1606</v>
      </c>
      <c r="O762" s="20">
        <f>IFERROR((tbl_raw[[#This Row],[Selling_Price]]-tbl_raw[[#This Row],[Cost_Price]]) / tbl_raw[[#This Row],[Selling_Price]],0)</f>
        <v>-4.3080554735910298E-2</v>
      </c>
      <c r="P762" s="19">
        <v>154</v>
      </c>
      <c r="Q762" s="19">
        <f>tbl_raw[[#This Row],[Gross_Profit]]-(tbl_raw[[#This Row],[Shipping_Cost]]*tbl_raw[[#This Row],[Units_Sold]])</f>
        <v>-3300</v>
      </c>
      <c r="R762" s="20">
        <f>IFERROR(tbl_raw[[#This Row],[Net_Profit]]/(tbl_raw[[#This Row],[Selling_Price]]*tbl_raw[[#This Row],[Units_Sold]]),0)</f>
        <v>-8.8521687813514313E-2</v>
      </c>
      <c r="S762" s="18" t="s">
        <v>107</v>
      </c>
      <c r="T762" s="18" t="s">
        <v>49</v>
      </c>
      <c r="U762" s="18">
        <f>IF(tbl_raw[[#This Row],[Order_Status]]="Returned",1,0)</f>
        <v>0</v>
      </c>
      <c r="V762" s="18">
        <f>IF(tbl_raw[[#This Row],[Payment_Method]]="COD",1,0)</f>
        <v>0</v>
      </c>
      <c r="W762" s="21">
        <f>MIN(1,(tbl_raw[[#This Row],[Discount_Pct]]*1.4)+(tbl_raw[[#This Row],[COD_Flag]]*0.35))</f>
        <v>0.51800000000000002</v>
      </c>
    </row>
    <row r="763" spans="1:23" ht="22.8" x14ac:dyDescent="0.3">
      <c r="A763" s="22" t="s">
        <v>1923</v>
      </c>
      <c r="B763" s="23" t="s">
        <v>287</v>
      </c>
      <c r="C763" s="23" t="s">
        <v>43</v>
      </c>
      <c r="D763" s="23" t="s">
        <v>44</v>
      </c>
      <c r="E763" s="23" t="s">
        <v>45</v>
      </c>
      <c r="F763" s="23" t="s">
        <v>1924</v>
      </c>
      <c r="G763" s="23" t="s">
        <v>47</v>
      </c>
      <c r="H763" s="23" t="s">
        <v>48</v>
      </c>
      <c r="I763" s="23">
        <v>9</v>
      </c>
      <c r="J763" s="24">
        <v>4261</v>
      </c>
      <c r="K763" s="24">
        <v>4261</v>
      </c>
      <c r="L763" s="25">
        <v>0</v>
      </c>
      <c r="M763" s="24">
        <v>2376</v>
      </c>
      <c r="N763" s="24">
        <f>(tbl_raw[[#This Row],[Selling_Price]]-tbl_raw[[#This Row],[Cost_Price]])*tbl_raw[[#This Row],[Units_Sold]]</f>
        <v>16965</v>
      </c>
      <c r="O763" s="25">
        <f>IFERROR((tbl_raw[[#This Row],[Selling_Price]]-tbl_raw[[#This Row],[Cost_Price]]) / tbl_raw[[#This Row],[Selling_Price]],0)</f>
        <v>0.44238441680356722</v>
      </c>
      <c r="P763" s="24">
        <v>155</v>
      </c>
      <c r="Q763" s="24">
        <f>tbl_raw[[#This Row],[Gross_Profit]]-(tbl_raw[[#This Row],[Shipping_Cost]]*tbl_raw[[#This Row],[Units_Sold]])</f>
        <v>15570</v>
      </c>
      <c r="R763" s="25">
        <f>IFERROR(tbl_raw[[#This Row],[Net_Profit]]/(tbl_raw[[#This Row],[Selling_Price]]*tbl_raw[[#This Row],[Units_Sold]]),0)</f>
        <v>0.40600797934757099</v>
      </c>
      <c r="S763" s="23" t="s">
        <v>40</v>
      </c>
      <c r="T763" s="23" t="s">
        <v>86</v>
      </c>
      <c r="U763" s="23">
        <f>IF(tbl_raw[[#This Row],[Order_Status]]="Returned",1,0)</f>
        <v>1</v>
      </c>
      <c r="V763" s="23">
        <f>IF(tbl_raw[[#This Row],[Payment_Method]]="COD",1,0)</f>
        <v>1</v>
      </c>
      <c r="W763" s="26">
        <f>MIN(1,(tbl_raw[[#This Row],[Discount_Pct]]*1.4)+(tbl_raw[[#This Row],[COD_Flag]]*0.35))</f>
        <v>0.35</v>
      </c>
    </row>
    <row r="764" spans="1:23" ht="22.8" x14ac:dyDescent="0.3">
      <c r="A764" s="17" t="s">
        <v>1925</v>
      </c>
      <c r="B764" s="18" t="s">
        <v>1068</v>
      </c>
      <c r="C764" s="18" t="s">
        <v>199</v>
      </c>
      <c r="D764" s="18" t="s">
        <v>26</v>
      </c>
      <c r="E764" s="18" t="s">
        <v>100</v>
      </c>
      <c r="F764" s="18" t="s">
        <v>1926</v>
      </c>
      <c r="G764" s="18" t="s">
        <v>29</v>
      </c>
      <c r="H764" s="18" t="s">
        <v>30</v>
      </c>
      <c r="I764" s="18">
        <v>14</v>
      </c>
      <c r="J764" s="19">
        <v>5632</v>
      </c>
      <c r="K764" s="19">
        <v>3661</v>
      </c>
      <c r="L764" s="20">
        <v>0.35</v>
      </c>
      <c r="M764" s="19">
        <v>3437</v>
      </c>
      <c r="N764" s="19">
        <f>(tbl_raw[[#This Row],[Selling_Price]]-tbl_raw[[#This Row],[Cost_Price]])*tbl_raw[[#This Row],[Units_Sold]]</f>
        <v>3136</v>
      </c>
      <c r="O764" s="20">
        <f>IFERROR((tbl_raw[[#This Row],[Selling_Price]]-tbl_raw[[#This Row],[Cost_Price]]) / tbl_raw[[#This Row],[Selling_Price]],0)</f>
        <v>6.1185468451242828E-2</v>
      </c>
      <c r="P764" s="19">
        <v>62</v>
      </c>
      <c r="Q764" s="19">
        <f>tbl_raw[[#This Row],[Gross_Profit]]-(tbl_raw[[#This Row],[Shipping_Cost]]*tbl_raw[[#This Row],[Units_Sold]])</f>
        <v>2268</v>
      </c>
      <c r="R764" s="20">
        <f>IFERROR(tbl_raw[[#This Row],[Net_Profit]]/(tbl_raw[[#This Row],[Selling_Price]]*tbl_raw[[#This Row],[Units_Sold]]),0)</f>
        <v>4.4250204862059543E-2</v>
      </c>
      <c r="S764" s="18" t="s">
        <v>40</v>
      </c>
      <c r="T764" s="18" t="s">
        <v>49</v>
      </c>
      <c r="U764" s="18">
        <f>IF(tbl_raw[[#This Row],[Order_Status]]="Returned",1,0)</f>
        <v>0</v>
      </c>
      <c r="V764" s="18">
        <f>IF(tbl_raw[[#This Row],[Payment_Method]]="COD",1,0)</f>
        <v>1</v>
      </c>
      <c r="W764" s="21">
        <f>MIN(1,(tbl_raw[[#This Row],[Discount_Pct]]*1.4)+(tbl_raw[[#This Row],[COD_Flag]]*0.35))</f>
        <v>0.83999999999999986</v>
      </c>
    </row>
    <row r="765" spans="1:23" ht="22.8" x14ac:dyDescent="0.3">
      <c r="A765" s="22" t="s">
        <v>1927</v>
      </c>
      <c r="B765" s="23" t="s">
        <v>435</v>
      </c>
      <c r="C765" s="23" t="s">
        <v>199</v>
      </c>
      <c r="D765" s="23" t="s">
        <v>44</v>
      </c>
      <c r="E765" s="23" t="s">
        <v>279</v>
      </c>
      <c r="F765" s="23" t="s">
        <v>1928</v>
      </c>
      <c r="G765" s="23" t="s">
        <v>143</v>
      </c>
      <c r="H765" s="23" t="s">
        <v>30</v>
      </c>
      <c r="I765" s="23">
        <v>10</v>
      </c>
      <c r="J765" s="24">
        <v>4116</v>
      </c>
      <c r="K765" s="24">
        <v>2511</v>
      </c>
      <c r="L765" s="25">
        <v>0.39</v>
      </c>
      <c r="M765" s="24">
        <v>2654</v>
      </c>
      <c r="N765" s="24">
        <f>(tbl_raw[[#This Row],[Selling_Price]]-tbl_raw[[#This Row],[Cost_Price]])*tbl_raw[[#This Row],[Units_Sold]]</f>
        <v>-1430</v>
      </c>
      <c r="O765" s="25">
        <f>IFERROR((tbl_raw[[#This Row],[Selling_Price]]-tbl_raw[[#This Row],[Cost_Price]]) / tbl_raw[[#This Row],[Selling_Price]],0)</f>
        <v>-5.6949422540820388E-2</v>
      </c>
      <c r="P765" s="24">
        <v>127</v>
      </c>
      <c r="Q765" s="24">
        <f>tbl_raw[[#This Row],[Gross_Profit]]-(tbl_raw[[#This Row],[Shipping_Cost]]*tbl_raw[[#This Row],[Units_Sold]])</f>
        <v>-2700</v>
      </c>
      <c r="R765" s="25">
        <f>IFERROR(tbl_raw[[#This Row],[Net_Profit]]/(tbl_raw[[#This Row],[Selling_Price]]*tbl_raw[[#This Row],[Units_Sold]]),0)</f>
        <v>-0.10752688172043011</v>
      </c>
      <c r="S765" s="23" t="s">
        <v>31</v>
      </c>
      <c r="T765" s="23" t="s">
        <v>32</v>
      </c>
      <c r="U765" s="23">
        <f>IF(tbl_raw[[#This Row],[Order_Status]]="Returned",1,0)</f>
        <v>0</v>
      </c>
      <c r="V765" s="23">
        <f>IF(tbl_raw[[#This Row],[Payment_Method]]="COD",1,0)</f>
        <v>0</v>
      </c>
      <c r="W765" s="26">
        <f>MIN(1,(tbl_raw[[#This Row],[Discount_Pct]]*1.4)+(tbl_raw[[#This Row],[COD_Flag]]*0.35))</f>
        <v>0.54599999999999993</v>
      </c>
    </row>
    <row r="766" spans="1:23" ht="22.8" x14ac:dyDescent="0.3">
      <c r="A766" s="17" t="s">
        <v>1929</v>
      </c>
      <c r="B766" s="18" t="s">
        <v>335</v>
      </c>
      <c r="C766" s="18" t="s">
        <v>105</v>
      </c>
      <c r="D766" s="18" t="s">
        <v>44</v>
      </c>
      <c r="E766" s="18" t="s">
        <v>45</v>
      </c>
      <c r="F766" s="18" t="s">
        <v>1930</v>
      </c>
      <c r="G766" s="18" t="s">
        <v>75</v>
      </c>
      <c r="H766" s="18" t="s">
        <v>48</v>
      </c>
      <c r="I766" s="18">
        <v>14</v>
      </c>
      <c r="J766" s="19">
        <v>3110</v>
      </c>
      <c r="K766" s="19">
        <v>2332</v>
      </c>
      <c r="L766" s="20">
        <v>0.25</v>
      </c>
      <c r="M766" s="19">
        <v>1421</v>
      </c>
      <c r="N766" s="19">
        <f>(tbl_raw[[#This Row],[Selling_Price]]-tbl_raw[[#This Row],[Cost_Price]])*tbl_raw[[#This Row],[Units_Sold]]</f>
        <v>12754</v>
      </c>
      <c r="O766" s="20">
        <f>IFERROR((tbl_raw[[#This Row],[Selling_Price]]-tbl_raw[[#This Row],[Cost_Price]]) / tbl_raw[[#This Row],[Selling_Price]],0)</f>
        <v>0.39065180102915953</v>
      </c>
      <c r="P766" s="19">
        <v>95</v>
      </c>
      <c r="Q766" s="19">
        <f>tbl_raw[[#This Row],[Gross_Profit]]-(tbl_raw[[#This Row],[Shipping_Cost]]*tbl_raw[[#This Row],[Units_Sold]])</f>
        <v>11424</v>
      </c>
      <c r="R766" s="20">
        <f>IFERROR(tbl_raw[[#This Row],[Net_Profit]]/(tbl_raw[[#This Row],[Selling_Price]]*tbl_raw[[#This Row],[Units_Sold]]),0)</f>
        <v>0.34991423670668953</v>
      </c>
      <c r="S766" s="18" t="s">
        <v>107</v>
      </c>
      <c r="T766" s="18" t="s">
        <v>32</v>
      </c>
      <c r="U766" s="18">
        <f>IF(tbl_raw[[#This Row],[Order_Status]]="Returned",1,0)</f>
        <v>0</v>
      </c>
      <c r="V766" s="18">
        <f>IF(tbl_raw[[#This Row],[Payment_Method]]="COD",1,0)</f>
        <v>0</v>
      </c>
      <c r="W766" s="21">
        <f>MIN(1,(tbl_raw[[#This Row],[Discount_Pct]]*1.4)+(tbl_raw[[#This Row],[COD_Flag]]*0.35))</f>
        <v>0.35</v>
      </c>
    </row>
    <row r="767" spans="1:23" ht="22.8" x14ac:dyDescent="0.3">
      <c r="A767" s="22" t="s">
        <v>1931</v>
      </c>
      <c r="B767" s="23" t="s">
        <v>603</v>
      </c>
      <c r="C767" s="23" t="s">
        <v>52</v>
      </c>
      <c r="D767" s="23" t="s">
        <v>53</v>
      </c>
      <c r="E767" s="23" t="s">
        <v>54</v>
      </c>
      <c r="F767" s="23" t="s">
        <v>1932</v>
      </c>
      <c r="G767" s="23" t="s">
        <v>120</v>
      </c>
      <c r="H767" s="23" t="s">
        <v>39</v>
      </c>
      <c r="I767" s="23">
        <v>3</v>
      </c>
      <c r="J767" s="24">
        <v>6486</v>
      </c>
      <c r="K767" s="24">
        <v>6162</v>
      </c>
      <c r="L767" s="25">
        <v>0.05</v>
      </c>
      <c r="M767" s="24">
        <v>4069</v>
      </c>
      <c r="N767" s="24">
        <f>(tbl_raw[[#This Row],[Selling_Price]]-tbl_raw[[#This Row],[Cost_Price]])*tbl_raw[[#This Row],[Units_Sold]]</f>
        <v>6279</v>
      </c>
      <c r="O767" s="25">
        <f>IFERROR((tbl_raw[[#This Row],[Selling_Price]]-tbl_raw[[#This Row],[Cost_Price]]) / tbl_raw[[#This Row],[Selling_Price]],0)</f>
        <v>0.33966244725738398</v>
      </c>
      <c r="P767" s="24">
        <v>122</v>
      </c>
      <c r="Q767" s="24">
        <f>tbl_raw[[#This Row],[Gross_Profit]]-(tbl_raw[[#This Row],[Shipping_Cost]]*tbl_raw[[#This Row],[Units_Sold]])</f>
        <v>5913</v>
      </c>
      <c r="R767" s="25">
        <f>IFERROR(tbl_raw[[#This Row],[Net_Profit]]/(tbl_raw[[#This Row],[Selling_Price]]*tbl_raw[[#This Row],[Units_Sold]]),0)</f>
        <v>0.31986368062317427</v>
      </c>
      <c r="S767" s="23" t="s">
        <v>31</v>
      </c>
      <c r="T767" s="23" t="s">
        <v>32</v>
      </c>
      <c r="U767" s="23">
        <f>IF(tbl_raw[[#This Row],[Order_Status]]="Returned",1,0)</f>
        <v>0</v>
      </c>
      <c r="V767" s="23">
        <f>IF(tbl_raw[[#This Row],[Payment_Method]]="COD",1,0)</f>
        <v>0</v>
      </c>
      <c r="W767" s="26">
        <f>MIN(1,(tbl_raw[[#This Row],[Discount_Pct]]*1.4)+(tbl_raw[[#This Row],[COD_Flag]]*0.35))</f>
        <v>6.9999999999999993E-2</v>
      </c>
    </row>
    <row r="768" spans="1:23" ht="22.8" x14ac:dyDescent="0.3">
      <c r="A768" s="17" t="s">
        <v>1933</v>
      </c>
      <c r="B768" s="18" t="s">
        <v>926</v>
      </c>
      <c r="C768" s="18" t="s">
        <v>199</v>
      </c>
      <c r="D768" s="18" t="s">
        <v>175</v>
      </c>
      <c r="E768" s="18" t="s">
        <v>149</v>
      </c>
      <c r="F768" s="18" t="s">
        <v>1934</v>
      </c>
      <c r="G768" s="18" t="s">
        <v>102</v>
      </c>
      <c r="H768" s="18" t="s">
        <v>39</v>
      </c>
      <c r="I768" s="18">
        <v>2</v>
      </c>
      <c r="J768" s="19">
        <v>5408</v>
      </c>
      <c r="K768" s="19">
        <v>3353</v>
      </c>
      <c r="L768" s="20">
        <v>0.38</v>
      </c>
      <c r="M768" s="19">
        <v>2564</v>
      </c>
      <c r="N768" s="19">
        <f>(tbl_raw[[#This Row],[Selling_Price]]-tbl_raw[[#This Row],[Cost_Price]])*tbl_raw[[#This Row],[Units_Sold]]</f>
        <v>1578</v>
      </c>
      <c r="O768" s="20">
        <f>IFERROR((tbl_raw[[#This Row],[Selling_Price]]-tbl_raw[[#This Row],[Cost_Price]]) / tbl_raw[[#This Row],[Selling_Price]],0)</f>
        <v>0.23531166119892633</v>
      </c>
      <c r="P768" s="19">
        <v>147</v>
      </c>
      <c r="Q768" s="19">
        <f>tbl_raw[[#This Row],[Gross_Profit]]-(tbl_raw[[#This Row],[Shipping_Cost]]*tbl_raw[[#This Row],[Units_Sold]])</f>
        <v>1284</v>
      </c>
      <c r="R768" s="20">
        <f>IFERROR(tbl_raw[[#This Row],[Net_Profit]]/(tbl_raw[[#This Row],[Selling_Price]]*tbl_raw[[#This Row],[Units_Sold]]),0)</f>
        <v>0.19147032508201611</v>
      </c>
      <c r="S768" s="18" t="s">
        <v>65</v>
      </c>
      <c r="T768" s="18" t="s">
        <v>32</v>
      </c>
      <c r="U768" s="18">
        <f>IF(tbl_raw[[#This Row],[Order_Status]]="Returned",1,0)</f>
        <v>0</v>
      </c>
      <c r="V768" s="18">
        <f>IF(tbl_raw[[#This Row],[Payment_Method]]="COD",1,0)</f>
        <v>0</v>
      </c>
      <c r="W768" s="21">
        <f>MIN(1,(tbl_raw[[#This Row],[Discount_Pct]]*1.4)+(tbl_raw[[#This Row],[COD_Flag]]*0.35))</f>
        <v>0.53199999999999992</v>
      </c>
    </row>
    <row r="769" spans="1:23" ht="22.8" x14ac:dyDescent="0.3">
      <c r="A769" s="22" t="s">
        <v>1935</v>
      </c>
      <c r="B769" s="23" t="s">
        <v>1515</v>
      </c>
      <c r="C769" s="23" t="s">
        <v>117</v>
      </c>
      <c r="D769" s="23" t="s">
        <v>44</v>
      </c>
      <c r="E769" s="23" t="s">
        <v>275</v>
      </c>
      <c r="F769" s="23" t="s">
        <v>1936</v>
      </c>
      <c r="G769" s="23" t="s">
        <v>47</v>
      </c>
      <c r="H769" s="23" t="s">
        <v>48</v>
      </c>
      <c r="I769" s="23">
        <v>1</v>
      </c>
      <c r="J769" s="24">
        <v>7529</v>
      </c>
      <c r="K769" s="24">
        <v>4894</v>
      </c>
      <c r="L769" s="25">
        <v>0.35</v>
      </c>
      <c r="M769" s="24">
        <v>4349</v>
      </c>
      <c r="N769" s="24">
        <f>(tbl_raw[[#This Row],[Selling_Price]]-tbl_raw[[#This Row],[Cost_Price]])*tbl_raw[[#This Row],[Units_Sold]]</f>
        <v>545</v>
      </c>
      <c r="O769" s="25">
        <f>IFERROR((tbl_raw[[#This Row],[Selling_Price]]-tbl_raw[[#This Row],[Cost_Price]]) / tbl_raw[[#This Row],[Selling_Price]],0)</f>
        <v>0.11136085002043318</v>
      </c>
      <c r="P769" s="24">
        <v>70</v>
      </c>
      <c r="Q769" s="24">
        <f>tbl_raw[[#This Row],[Gross_Profit]]-(tbl_raw[[#This Row],[Shipping_Cost]]*tbl_raw[[#This Row],[Units_Sold]])</f>
        <v>475</v>
      </c>
      <c r="R769" s="25">
        <f>IFERROR(tbl_raw[[#This Row],[Net_Profit]]/(tbl_raw[[#This Row],[Selling_Price]]*tbl_raw[[#This Row],[Units_Sold]]),0)</f>
        <v>9.7057621577441772E-2</v>
      </c>
      <c r="S769" s="23" t="s">
        <v>107</v>
      </c>
      <c r="T769" s="23" t="s">
        <v>49</v>
      </c>
      <c r="U769" s="23">
        <f>IF(tbl_raw[[#This Row],[Order_Status]]="Returned",1,0)</f>
        <v>0</v>
      </c>
      <c r="V769" s="23">
        <f>IF(tbl_raw[[#This Row],[Payment_Method]]="COD",1,0)</f>
        <v>0</v>
      </c>
      <c r="W769" s="26">
        <f>MIN(1,(tbl_raw[[#This Row],[Discount_Pct]]*1.4)+(tbl_raw[[#This Row],[COD_Flag]]*0.35))</f>
        <v>0.48999999999999994</v>
      </c>
    </row>
    <row r="770" spans="1:23" ht="22.8" x14ac:dyDescent="0.3">
      <c r="A770" s="17" t="s">
        <v>1937</v>
      </c>
      <c r="B770" s="18" t="s">
        <v>1884</v>
      </c>
      <c r="C770" s="18" t="s">
        <v>52</v>
      </c>
      <c r="D770" s="18" t="s">
        <v>94</v>
      </c>
      <c r="E770" s="18" t="s">
        <v>207</v>
      </c>
      <c r="F770" s="18" t="s">
        <v>208</v>
      </c>
      <c r="G770" s="18" t="s">
        <v>139</v>
      </c>
      <c r="H770" s="18" t="s">
        <v>48</v>
      </c>
      <c r="I770" s="18">
        <v>1</v>
      </c>
      <c r="J770" s="19">
        <v>405</v>
      </c>
      <c r="K770" s="19">
        <v>259</v>
      </c>
      <c r="L770" s="20">
        <v>0.36</v>
      </c>
      <c r="M770" s="19">
        <v>281</v>
      </c>
      <c r="N770" s="19">
        <f>(tbl_raw[[#This Row],[Selling_Price]]-tbl_raw[[#This Row],[Cost_Price]])*tbl_raw[[#This Row],[Units_Sold]]</f>
        <v>-22</v>
      </c>
      <c r="O770" s="20">
        <f>IFERROR((tbl_raw[[#This Row],[Selling_Price]]-tbl_raw[[#This Row],[Cost_Price]]) / tbl_raw[[#This Row],[Selling_Price]],0)</f>
        <v>-8.4942084942084939E-2</v>
      </c>
      <c r="P770" s="19">
        <v>108</v>
      </c>
      <c r="Q770" s="19">
        <f>tbl_raw[[#This Row],[Gross_Profit]]-(tbl_raw[[#This Row],[Shipping_Cost]]*tbl_raw[[#This Row],[Units_Sold]])</f>
        <v>-130</v>
      </c>
      <c r="R770" s="20">
        <f>IFERROR(tbl_raw[[#This Row],[Net_Profit]]/(tbl_raw[[#This Row],[Selling_Price]]*tbl_raw[[#This Row],[Units_Sold]]),0)</f>
        <v>-0.50193050193050193</v>
      </c>
      <c r="S770" s="18" t="s">
        <v>65</v>
      </c>
      <c r="T770" s="18" t="s">
        <v>32</v>
      </c>
      <c r="U770" s="18">
        <f>IF(tbl_raw[[#This Row],[Order_Status]]="Returned",1,0)</f>
        <v>0</v>
      </c>
      <c r="V770" s="18">
        <f>IF(tbl_raw[[#This Row],[Payment_Method]]="COD",1,0)</f>
        <v>0</v>
      </c>
      <c r="W770" s="21">
        <f>MIN(1,(tbl_raw[[#This Row],[Discount_Pct]]*1.4)+(tbl_raw[[#This Row],[COD_Flag]]*0.35))</f>
        <v>0.504</v>
      </c>
    </row>
    <row r="771" spans="1:23" ht="22.8" x14ac:dyDescent="0.3">
      <c r="A771" s="22" t="s">
        <v>1938</v>
      </c>
      <c r="B771" s="23" t="s">
        <v>709</v>
      </c>
      <c r="C771" s="23" t="s">
        <v>199</v>
      </c>
      <c r="D771" s="23" t="s">
        <v>94</v>
      </c>
      <c r="E771" s="23" t="s">
        <v>137</v>
      </c>
      <c r="F771" s="23" t="s">
        <v>1939</v>
      </c>
      <c r="G771" s="23" t="s">
        <v>29</v>
      </c>
      <c r="H771" s="23" t="s">
        <v>30</v>
      </c>
      <c r="I771" s="23">
        <v>20</v>
      </c>
      <c r="J771" s="24">
        <v>5227</v>
      </c>
      <c r="K771" s="24">
        <v>3293</v>
      </c>
      <c r="L771" s="25">
        <v>0.37</v>
      </c>
      <c r="M771" s="24">
        <v>3557</v>
      </c>
      <c r="N771" s="24">
        <f>(tbl_raw[[#This Row],[Selling_Price]]-tbl_raw[[#This Row],[Cost_Price]])*tbl_raw[[#This Row],[Units_Sold]]</f>
        <v>-5280</v>
      </c>
      <c r="O771" s="25">
        <f>IFERROR((tbl_raw[[#This Row],[Selling_Price]]-tbl_raw[[#This Row],[Cost_Price]]) / tbl_raw[[#This Row],[Selling_Price]],0)</f>
        <v>-8.0170057698147584E-2</v>
      </c>
      <c r="P771" s="24">
        <v>117</v>
      </c>
      <c r="Q771" s="24">
        <f>tbl_raw[[#This Row],[Gross_Profit]]-(tbl_raw[[#This Row],[Shipping_Cost]]*tbl_raw[[#This Row],[Units_Sold]])</f>
        <v>-7620</v>
      </c>
      <c r="R771" s="25">
        <f>IFERROR(tbl_raw[[#This Row],[Net_Profit]]/(tbl_raw[[#This Row],[Selling_Price]]*tbl_raw[[#This Row],[Units_Sold]]),0)</f>
        <v>-0.1156999696325539</v>
      </c>
      <c r="S771" s="23" t="s">
        <v>40</v>
      </c>
      <c r="T771" s="23" t="s">
        <v>32</v>
      </c>
      <c r="U771" s="23">
        <f>IF(tbl_raw[[#This Row],[Order_Status]]="Returned",1,0)</f>
        <v>0</v>
      </c>
      <c r="V771" s="23">
        <f>IF(tbl_raw[[#This Row],[Payment_Method]]="COD",1,0)</f>
        <v>1</v>
      </c>
      <c r="W771" s="26">
        <f>MIN(1,(tbl_raw[[#This Row],[Discount_Pct]]*1.4)+(tbl_raw[[#This Row],[COD_Flag]]*0.35))</f>
        <v>0.86799999999999999</v>
      </c>
    </row>
    <row r="772" spans="1:23" ht="22.8" x14ac:dyDescent="0.3">
      <c r="A772" s="17" t="s">
        <v>1940</v>
      </c>
      <c r="B772" s="18" t="s">
        <v>189</v>
      </c>
      <c r="C772" s="18" t="s">
        <v>156</v>
      </c>
      <c r="D772" s="18" t="s">
        <v>78</v>
      </c>
      <c r="E772" s="18" t="s">
        <v>79</v>
      </c>
      <c r="F772" s="18" t="s">
        <v>1941</v>
      </c>
      <c r="G772" s="18" t="s">
        <v>81</v>
      </c>
      <c r="H772" s="18" t="s">
        <v>30</v>
      </c>
      <c r="I772" s="18">
        <v>14</v>
      </c>
      <c r="J772" s="19">
        <v>2002</v>
      </c>
      <c r="K772" s="19">
        <v>1361</v>
      </c>
      <c r="L772" s="20">
        <v>0.32</v>
      </c>
      <c r="M772" s="19">
        <v>889</v>
      </c>
      <c r="N772" s="19">
        <f>(tbl_raw[[#This Row],[Selling_Price]]-tbl_raw[[#This Row],[Cost_Price]])*tbl_raw[[#This Row],[Units_Sold]]</f>
        <v>6608</v>
      </c>
      <c r="O772" s="20">
        <f>IFERROR((tbl_raw[[#This Row],[Selling_Price]]-tbl_raw[[#This Row],[Cost_Price]]) / tbl_raw[[#This Row],[Selling_Price]],0)</f>
        <v>0.34680382072005878</v>
      </c>
      <c r="P772" s="19">
        <v>48</v>
      </c>
      <c r="Q772" s="19">
        <f>tbl_raw[[#This Row],[Gross_Profit]]-(tbl_raw[[#This Row],[Shipping_Cost]]*tbl_raw[[#This Row],[Units_Sold]])</f>
        <v>5936</v>
      </c>
      <c r="R772" s="20">
        <f>IFERROR(tbl_raw[[#This Row],[Net_Profit]]/(tbl_raw[[#This Row],[Selling_Price]]*tbl_raw[[#This Row],[Units_Sold]]),0)</f>
        <v>0.31153563556208669</v>
      </c>
      <c r="S772" s="18" t="s">
        <v>65</v>
      </c>
      <c r="T772" s="18" t="s">
        <v>59</v>
      </c>
      <c r="U772" s="18">
        <f>IF(tbl_raw[[#This Row],[Order_Status]]="Returned",1,0)</f>
        <v>0</v>
      </c>
      <c r="V772" s="18">
        <f>IF(tbl_raw[[#This Row],[Payment_Method]]="COD",1,0)</f>
        <v>0</v>
      </c>
      <c r="W772" s="21">
        <f>MIN(1,(tbl_raw[[#This Row],[Discount_Pct]]*1.4)+(tbl_raw[[#This Row],[COD_Flag]]*0.35))</f>
        <v>0.44799999999999995</v>
      </c>
    </row>
    <row r="773" spans="1:23" ht="22.8" x14ac:dyDescent="0.3">
      <c r="A773" s="22" t="s">
        <v>1942</v>
      </c>
      <c r="B773" s="23" t="s">
        <v>202</v>
      </c>
      <c r="C773" s="23" t="s">
        <v>25</v>
      </c>
      <c r="D773" s="23" t="s">
        <v>164</v>
      </c>
      <c r="E773" s="23" t="s">
        <v>413</v>
      </c>
      <c r="F773" s="23" t="s">
        <v>1943</v>
      </c>
      <c r="G773" s="23" t="s">
        <v>120</v>
      </c>
      <c r="H773" s="23" t="s">
        <v>39</v>
      </c>
      <c r="I773" s="23">
        <v>3</v>
      </c>
      <c r="J773" s="24">
        <v>400</v>
      </c>
      <c r="K773" s="24">
        <v>396</v>
      </c>
      <c r="L773" s="25">
        <v>0.01</v>
      </c>
      <c r="M773" s="24">
        <v>268</v>
      </c>
      <c r="N773" s="24">
        <f>(tbl_raw[[#This Row],[Selling_Price]]-tbl_raw[[#This Row],[Cost_Price]])*tbl_raw[[#This Row],[Units_Sold]]</f>
        <v>384</v>
      </c>
      <c r="O773" s="25">
        <f>IFERROR((tbl_raw[[#This Row],[Selling_Price]]-tbl_raw[[#This Row],[Cost_Price]]) / tbl_raw[[#This Row],[Selling_Price]],0)</f>
        <v>0.32323232323232326</v>
      </c>
      <c r="P773" s="24">
        <v>53</v>
      </c>
      <c r="Q773" s="24">
        <f>tbl_raw[[#This Row],[Gross_Profit]]-(tbl_raw[[#This Row],[Shipping_Cost]]*tbl_raw[[#This Row],[Units_Sold]])</f>
        <v>225</v>
      </c>
      <c r="R773" s="25">
        <f>IFERROR(tbl_raw[[#This Row],[Net_Profit]]/(tbl_raw[[#This Row],[Selling_Price]]*tbl_raw[[#This Row],[Units_Sold]]),0)</f>
        <v>0.18939393939393939</v>
      </c>
      <c r="S773" s="23" t="s">
        <v>65</v>
      </c>
      <c r="T773" s="23" t="s">
        <v>49</v>
      </c>
      <c r="U773" s="23">
        <f>IF(tbl_raw[[#This Row],[Order_Status]]="Returned",1,0)</f>
        <v>0</v>
      </c>
      <c r="V773" s="23">
        <f>IF(tbl_raw[[#This Row],[Payment_Method]]="COD",1,0)</f>
        <v>0</v>
      </c>
      <c r="W773" s="26">
        <f>MIN(1,(tbl_raw[[#This Row],[Discount_Pct]]*1.4)+(tbl_raw[[#This Row],[COD_Flag]]*0.35))</f>
        <v>1.3999999999999999E-2</v>
      </c>
    </row>
    <row r="774" spans="1:23" ht="22.8" x14ac:dyDescent="0.3">
      <c r="A774" s="17" t="s">
        <v>1944</v>
      </c>
      <c r="B774" s="18" t="s">
        <v>136</v>
      </c>
      <c r="C774" s="18" t="s">
        <v>72</v>
      </c>
      <c r="D774" s="18" t="s">
        <v>78</v>
      </c>
      <c r="E774" s="18" t="s">
        <v>296</v>
      </c>
      <c r="F774" s="18" t="s">
        <v>1945</v>
      </c>
      <c r="G774" s="18" t="s">
        <v>81</v>
      </c>
      <c r="H774" s="18" t="s">
        <v>30</v>
      </c>
      <c r="I774" s="18">
        <v>15</v>
      </c>
      <c r="J774" s="19">
        <v>5149</v>
      </c>
      <c r="K774" s="19">
        <v>3347</v>
      </c>
      <c r="L774" s="20">
        <v>0.35</v>
      </c>
      <c r="M774" s="19">
        <v>2396</v>
      </c>
      <c r="N774" s="19">
        <f>(tbl_raw[[#This Row],[Selling_Price]]-tbl_raw[[#This Row],[Cost_Price]])*tbl_raw[[#This Row],[Units_Sold]]</f>
        <v>14265</v>
      </c>
      <c r="O774" s="20">
        <f>IFERROR((tbl_raw[[#This Row],[Selling_Price]]-tbl_raw[[#This Row],[Cost_Price]]) / tbl_raw[[#This Row],[Selling_Price]],0)</f>
        <v>0.28413504631012848</v>
      </c>
      <c r="P774" s="19">
        <v>128</v>
      </c>
      <c r="Q774" s="19">
        <f>tbl_raw[[#This Row],[Gross_Profit]]-(tbl_raw[[#This Row],[Shipping_Cost]]*tbl_raw[[#This Row],[Units_Sold]])</f>
        <v>12345</v>
      </c>
      <c r="R774" s="20">
        <f>IFERROR(tbl_raw[[#This Row],[Net_Profit]]/(tbl_raw[[#This Row],[Selling_Price]]*tbl_raw[[#This Row],[Units_Sold]]),0)</f>
        <v>0.24589184344188825</v>
      </c>
      <c r="S774" s="18" t="s">
        <v>40</v>
      </c>
      <c r="T774" s="18" t="s">
        <v>32</v>
      </c>
      <c r="U774" s="18">
        <f>IF(tbl_raw[[#This Row],[Order_Status]]="Returned",1,0)</f>
        <v>0</v>
      </c>
      <c r="V774" s="18">
        <f>IF(tbl_raw[[#This Row],[Payment_Method]]="COD",1,0)</f>
        <v>1</v>
      </c>
      <c r="W774" s="21">
        <f>MIN(1,(tbl_raw[[#This Row],[Discount_Pct]]*1.4)+(tbl_raw[[#This Row],[COD_Flag]]*0.35))</f>
        <v>0.83999999999999986</v>
      </c>
    </row>
    <row r="775" spans="1:23" ht="22.8" x14ac:dyDescent="0.3">
      <c r="A775" s="22" t="s">
        <v>1946</v>
      </c>
      <c r="B775" s="23" t="s">
        <v>1148</v>
      </c>
      <c r="C775" s="23" t="s">
        <v>35</v>
      </c>
      <c r="D775" s="23" t="s">
        <v>78</v>
      </c>
      <c r="E775" s="23" t="s">
        <v>79</v>
      </c>
      <c r="F775" s="23" t="s">
        <v>1947</v>
      </c>
      <c r="G775" s="23" t="s">
        <v>139</v>
      </c>
      <c r="H775" s="23" t="s">
        <v>48</v>
      </c>
      <c r="I775" s="23">
        <v>9</v>
      </c>
      <c r="J775" s="24">
        <v>847</v>
      </c>
      <c r="K775" s="24">
        <v>796</v>
      </c>
      <c r="L775" s="25">
        <v>0.06</v>
      </c>
      <c r="M775" s="24">
        <v>346</v>
      </c>
      <c r="N775" s="24">
        <f>(tbl_raw[[#This Row],[Selling_Price]]-tbl_raw[[#This Row],[Cost_Price]])*tbl_raw[[#This Row],[Units_Sold]]</f>
        <v>4050</v>
      </c>
      <c r="O775" s="25">
        <f>IFERROR((tbl_raw[[#This Row],[Selling_Price]]-tbl_raw[[#This Row],[Cost_Price]]) / tbl_raw[[#This Row],[Selling_Price]],0)</f>
        <v>0.5653266331658291</v>
      </c>
      <c r="P775" s="24">
        <v>178</v>
      </c>
      <c r="Q775" s="24">
        <f>tbl_raw[[#This Row],[Gross_Profit]]-(tbl_raw[[#This Row],[Shipping_Cost]]*tbl_raw[[#This Row],[Units_Sold]])</f>
        <v>2448</v>
      </c>
      <c r="R775" s="25">
        <f>IFERROR(tbl_raw[[#This Row],[Net_Profit]]/(tbl_raw[[#This Row],[Selling_Price]]*tbl_raw[[#This Row],[Units_Sold]]),0)</f>
        <v>0.34170854271356782</v>
      </c>
      <c r="S775" s="23" t="s">
        <v>58</v>
      </c>
      <c r="T775" s="23" t="s">
        <v>49</v>
      </c>
      <c r="U775" s="23">
        <f>IF(tbl_raw[[#This Row],[Order_Status]]="Returned",1,0)</f>
        <v>0</v>
      </c>
      <c r="V775" s="23">
        <f>IF(tbl_raw[[#This Row],[Payment_Method]]="COD",1,0)</f>
        <v>0</v>
      </c>
      <c r="W775" s="26">
        <f>MIN(1,(tbl_raw[[#This Row],[Discount_Pct]]*1.4)+(tbl_raw[[#This Row],[COD_Flag]]*0.35))</f>
        <v>8.3999999999999991E-2</v>
      </c>
    </row>
    <row r="776" spans="1:23" ht="22.8" x14ac:dyDescent="0.3">
      <c r="A776" s="17" t="s">
        <v>1948</v>
      </c>
      <c r="B776" s="18" t="s">
        <v>701</v>
      </c>
      <c r="C776" s="18" t="s">
        <v>72</v>
      </c>
      <c r="D776" s="18" t="s">
        <v>164</v>
      </c>
      <c r="E776" s="18" t="s">
        <v>413</v>
      </c>
      <c r="F776" s="18" t="s">
        <v>1949</v>
      </c>
      <c r="G776" s="18" t="s">
        <v>81</v>
      </c>
      <c r="H776" s="18" t="s">
        <v>30</v>
      </c>
      <c r="I776" s="18">
        <v>3</v>
      </c>
      <c r="J776" s="19">
        <v>804</v>
      </c>
      <c r="K776" s="19">
        <v>498</v>
      </c>
      <c r="L776" s="20">
        <v>0.38</v>
      </c>
      <c r="M776" s="19">
        <v>578</v>
      </c>
      <c r="N776" s="19">
        <f>(tbl_raw[[#This Row],[Selling_Price]]-tbl_raw[[#This Row],[Cost_Price]])*tbl_raw[[#This Row],[Units_Sold]]</f>
        <v>-240</v>
      </c>
      <c r="O776" s="20">
        <f>IFERROR((tbl_raw[[#This Row],[Selling_Price]]-tbl_raw[[#This Row],[Cost_Price]]) / tbl_raw[[#This Row],[Selling_Price]],0)</f>
        <v>-0.1606425702811245</v>
      </c>
      <c r="P776" s="19">
        <v>61</v>
      </c>
      <c r="Q776" s="19">
        <f>tbl_raw[[#This Row],[Gross_Profit]]-(tbl_raw[[#This Row],[Shipping_Cost]]*tbl_raw[[#This Row],[Units_Sold]])</f>
        <v>-423</v>
      </c>
      <c r="R776" s="20">
        <f>IFERROR(tbl_raw[[#This Row],[Net_Profit]]/(tbl_raw[[#This Row],[Selling_Price]]*tbl_raw[[#This Row],[Units_Sold]]),0)</f>
        <v>-0.28313253012048195</v>
      </c>
      <c r="S776" s="18" t="s">
        <v>58</v>
      </c>
      <c r="T776" s="18" t="s">
        <v>32</v>
      </c>
      <c r="U776" s="18">
        <f>IF(tbl_raw[[#This Row],[Order_Status]]="Returned",1,0)</f>
        <v>0</v>
      </c>
      <c r="V776" s="18">
        <f>IF(tbl_raw[[#This Row],[Payment_Method]]="COD",1,0)</f>
        <v>0</v>
      </c>
      <c r="W776" s="21">
        <f>MIN(1,(tbl_raw[[#This Row],[Discount_Pct]]*1.4)+(tbl_raw[[#This Row],[COD_Flag]]*0.35))</f>
        <v>0.53199999999999992</v>
      </c>
    </row>
    <row r="777" spans="1:23" ht="22.8" x14ac:dyDescent="0.3">
      <c r="A777" s="22" t="s">
        <v>1950</v>
      </c>
      <c r="B777" s="23" t="s">
        <v>274</v>
      </c>
      <c r="C777" s="23" t="s">
        <v>72</v>
      </c>
      <c r="D777" s="23" t="s">
        <v>175</v>
      </c>
      <c r="E777" s="23" t="s">
        <v>225</v>
      </c>
      <c r="F777" s="23" t="s">
        <v>1951</v>
      </c>
      <c r="G777" s="23" t="s">
        <v>47</v>
      </c>
      <c r="H777" s="23" t="s">
        <v>48</v>
      </c>
      <c r="I777" s="23">
        <v>13</v>
      </c>
      <c r="J777" s="24">
        <v>7140</v>
      </c>
      <c r="K777" s="24">
        <v>5069</v>
      </c>
      <c r="L777" s="25">
        <v>0.28999999999999998</v>
      </c>
      <c r="M777" s="24">
        <v>3983</v>
      </c>
      <c r="N777" s="24">
        <f>(tbl_raw[[#This Row],[Selling_Price]]-tbl_raw[[#This Row],[Cost_Price]])*tbl_raw[[#This Row],[Units_Sold]]</f>
        <v>14118</v>
      </c>
      <c r="O777" s="25">
        <f>IFERROR((tbl_raw[[#This Row],[Selling_Price]]-tbl_raw[[#This Row],[Cost_Price]]) / tbl_raw[[#This Row],[Selling_Price]],0)</f>
        <v>0.21424344052081279</v>
      </c>
      <c r="P777" s="24">
        <v>54</v>
      </c>
      <c r="Q777" s="24">
        <f>tbl_raw[[#This Row],[Gross_Profit]]-(tbl_raw[[#This Row],[Shipping_Cost]]*tbl_raw[[#This Row],[Units_Sold]])</f>
        <v>13416</v>
      </c>
      <c r="R777" s="25">
        <f>IFERROR(tbl_raw[[#This Row],[Net_Profit]]/(tbl_raw[[#This Row],[Selling_Price]]*tbl_raw[[#This Row],[Units_Sold]]),0)</f>
        <v>0.20359045176563426</v>
      </c>
      <c r="S777" s="23" t="s">
        <v>107</v>
      </c>
      <c r="T777" s="23" t="s">
        <v>32</v>
      </c>
      <c r="U777" s="23">
        <f>IF(tbl_raw[[#This Row],[Order_Status]]="Returned",1,0)</f>
        <v>0</v>
      </c>
      <c r="V777" s="23">
        <f>IF(tbl_raw[[#This Row],[Payment_Method]]="COD",1,0)</f>
        <v>0</v>
      </c>
      <c r="W777" s="26">
        <f>MIN(1,(tbl_raw[[#This Row],[Discount_Pct]]*1.4)+(tbl_raw[[#This Row],[COD_Flag]]*0.35))</f>
        <v>0.40599999999999997</v>
      </c>
    </row>
    <row r="778" spans="1:23" ht="22.8" x14ac:dyDescent="0.3">
      <c r="A778" s="17" t="s">
        <v>1952</v>
      </c>
      <c r="B778" s="18" t="s">
        <v>640</v>
      </c>
      <c r="C778" s="18" t="s">
        <v>199</v>
      </c>
      <c r="D778" s="18" t="s">
        <v>26</v>
      </c>
      <c r="E778" s="18" t="s">
        <v>125</v>
      </c>
      <c r="F778" s="18" t="s">
        <v>1953</v>
      </c>
      <c r="G778" s="18" t="s">
        <v>56</v>
      </c>
      <c r="H778" s="18" t="s">
        <v>57</v>
      </c>
      <c r="I778" s="18">
        <v>16</v>
      </c>
      <c r="J778" s="19">
        <v>7960</v>
      </c>
      <c r="K778" s="19">
        <v>5811</v>
      </c>
      <c r="L778" s="20">
        <v>0.27</v>
      </c>
      <c r="M778" s="19">
        <v>3198</v>
      </c>
      <c r="N778" s="19">
        <f>(tbl_raw[[#This Row],[Selling_Price]]-tbl_raw[[#This Row],[Cost_Price]])*tbl_raw[[#This Row],[Units_Sold]]</f>
        <v>41808</v>
      </c>
      <c r="O778" s="20">
        <f>IFERROR((tbl_raw[[#This Row],[Selling_Price]]-tbl_raw[[#This Row],[Cost_Price]]) / tbl_raw[[#This Row],[Selling_Price]],0)</f>
        <v>0.44966442953020136</v>
      </c>
      <c r="P778" s="19">
        <v>108</v>
      </c>
      <c r="Q778" s="19">
        <f>tbl_raw[[#This Row],[Gross_Profit]]-(tbl_raw[[#This Row],[Shipping_Cost]]*tbl_raw[[#This Row],[Units_Sold]])</f>
        <v>40080</v>
      </c>
      <c r="R778" s="20">
        <f>IFERROR(tbl_raw[[#This Row],[Net_Profit]]/(tbl_raw[[#This Row],[Selling_Price]]*tbl_raw[[#This Row],[Units_Sold]]),0)</f>
        <v>0.43107898812596801</v>
      </c>
      <c r="S778" s="18" t="s">
        <v>107</v>
      </c>
      <c r="T778" s="18" t="s">
        <v>32</v>
      </c>
      <c r="U778" s="18">
        <f>IF(tbl_raw[[#This Row],[Order_Status]]="Returned",1,0)</f>
        <v>0</v>
      </c>
      <c r="V778" s="18">
        <f>IF(tbl_raw[[#This Row],[Payment_Method]]="COD",1,0)</f>
        <v>0</v>
      </c>
      <c r="W778" s="21">
        <f>MIN(1,(tbl_raw[[#This Row],[Discount_Pct]]*1.4)+(tbl_raw[[#This Row],[COD_Flag]]*0.35))</f>
        <v>0.378</v>
      </c>
    </row>
    <row r="779" spans="1:23" ht="22.8" x14ac:dyDescent="0.3">
      <c r="A779" s="22" t="s">
        <v>1954</v>
      </c>
      <c r="B779" s="23" t="s">
        <v>727</v>
      </c>
      <c r="C779" s="23" t="s">
        <v>132</v>
      </c>
      <c r="D779" s="23" t="s">
        <v>26</v>
      </c>
      <c r="E779" s="23" t="s">
        <v>36</v>
      </c>
      <c r="F779" s="23" t="s">
        <v>1955</v>
      </c>
      <c r="G779" s="23" t="s">
        <v>81</v>
      </c>
      <c r="H779" s="23" t="s">
        <v>30</v>
      </c>
      <c r="I779" s="23">
        <v>7</v>
      </c>
      <c r="J779" s="24">
        <v>6962</v>
      </c>
      <c r="K779" s="24">
        <v>6614</v>
      </c>
      <c r="L779" s="25">
        <v>0.05</v>
      </c>
      <c r="M779" s="24">
        <v>3313</v>
      </c>
      <c r="N779" s="24">
        <f>(tbl_raw[[#This Row],[Selling_Price]]-tbl_raw[[#This Row],[Cost_Price]])*tbl_raw[[#This Row],[Units_Sold]]</f>
        <v>23107</v>
      </c>
      <c r="O779" s="25">
        <f>IFERROR((tbl_raw[[#This Row],[Selling_Price]]-tbl_raw[[#This Row],[Cost_Price]]) / tbl_raw[[#This Row],[Selling_Price]],0)</f>
        <v>0.4990928333837315</v>
      </c>
      <c r="P779" s="24">
        <v>79</v>
      </c>
      <c r="Q779" s="24">
        <f>tbl_raw[[#This Row],[Gross_Profit]]-(tbl_raw[[#This Row],[Shipping_Cost]]*tbl_raw[[#This Row],[Units_Sold]])</f>
        <v>22554</v>
      </c>
      <c r="R779" s="25">
        <f>IFERROR(tbl_raw[[#This Row],[Net_Profit]]/(tbl_raw[[#This Row],[Selling_Price]]*tbl_raw[[#This Row],[Units_Sold]]),0)</f>
        <v>0.48714847293619595</v>
      </c>
      <c r="S779" s="23" t="s">
        <v>40</v>
      </c>
      <c r="T779" s="23" t="s">
        <v>86</v>
      </c>
      <c r="U779" s="23">
        <f>IF(tbl_raw[[#This Row],[Order_Status]]="Returned",1,0)</f>
        <v>1</v>
      </c>
      <c r="V779" s="23">
        <f>IF(tbl_raw[[#This Row],[Payment_Method]]="COD",1,0)</f>
        <v>1</v>
      </c>
      <c r="W779" s="26">
        <f>MIN(1,(tbl_raw[[#This Row],[Discount_Pct]]*1.4)+(tbl_raw[[#This Row],[COD_Flag]]*0.35))</f>
        <v>0.42</v>
      </c>
    </row>
    <row r="780" spans="1:23" ht="22.8" x14ac:dyDescent="0.3">
      <c r="A780" s="17" t="s">
        <v>1956</v>
      </c>
      <c r="B780" s="18" t="s">
        <v>264</v>
      </c>
      <c r="C780" s="18" t="s">
        <v>43</v>
      </c>
      <c r="D780" s="18" t="s">
        <v>53</v>
      </c>
      <c r="E780" s="18" t="s">
        <v>90</v>
      </c>
      <c r="F780" s="18" t="s">
        <v>1957</v>
      </c>
      <c r="G780" s="18" t="s">
        <v>120</v>
      </c>
      <c r="H780" s="18" t="s">
        <v>39</v>
      </c>
      <c r="I780" s="18">
        <v>12</v>
      </c>
      <c r="J780" s="19">
        <v>5723</v>
      </c>
      <c r="K780" s="19">
        <v>4063</v>
      </c>
      <c r="L780" s="20">
        <v>0.28999999999999998</v>
      </c>
      <c r="M780" s="19">
        <v>3225</v>
      </c>
      <c r="N780" s="19">
        <f>(tbl_raw[[#This Row],[Selling_Price]]-tbl_raw[[#This Row],[Cost_Price]])*tbl_raw[[#This Row],[Units_Sold]]</f>
        <v>10056</v>
      </c>
      <c r="O780" s="20">
        <f>IFERROR((tbl_raw[[#This Row],[Selling_Price]]-tbl_raw[[#This Row],[Cost_Price]]) / tbl_raw[[#This Row],[Selling_Price]],0)</f>
        <v>0.20625153827221265</v>
      </c>
      <c r="P780" s="19">
        <v>151</v>
      </c>
      <c r="Q780" s="19">
        <f>tbl_raw[[#This Row],[Gross_Profit]]-(tbl_raw[[#This Row],[Shipping_Cost]]*tbl_raw[[#This Row],[Units_Sold]])</f>
        <v>8244</v>
      </c>
      <c r="R780" s="20">
        <f>IFERROR(tbl_raw[[#This Row],[Net_Profit]]/(tbl_raw[[#This Row],[Selling_Price]]*tbl_raw[[#This Row],[Units_Sold]]),0)</f>
        <v>0.16908688161457053</v>
      </c>
      <c r="S780" s="18" t="s">
        <v>31</v>
      </c>
      <c r="T780" s="18" t="s">
        <v>32</v>
      </c>
      <c r="U780" s="18">
        <f>IF(tbl_raw[[#This Row],[Order_Status]]="Returned",1,0)</f>
        <v>0</v>
      </c>
      <c r="V780" s="18">
        <f>IF(tbl_raw[[#This Row],[Payment_Method]]="COD",1,0)</f>
        <v>0</v>
      </c>
      <c r="W780" s="21">
        <f>MIN(1,(tbl_raw[[#This Row],[Discount_Pct]]*1.4)+(tbl_raw[[#This Row],[COD_Flag]]*0.35))</f>
        <v>0.40599999999999997</v>
      </c>
    </row>
    <row r="781" spans="1:23" ht="22.8" x14ac:dyDescent="0.3">
      <c r="A781" s="22" t="s">
        <v>1958</v>
      </c>
      <c r="B781" s="23" t="s">
        <v>141</v>
      </c>
      <c r="C781" s="23" t="s">
        <v>35</v>
      </c>
      <c r="D781" s="23" t="s">
        <v>164</v>
      </c>
      <c r="E781" s="23" t="s">
        <v>165</v>
      </c>
      <c r="F781" s="23" t="s">
        <v>1959</v>
      </c>
      <c r="G781" s="23" t="s">
        <v>143</v>
      </c>
      <c r="H781" s="23" t="s">
        <v>30</v>
      </c>
      <c r="I781" s="23">
        <v>13</v>
      </c>
      <c r="J781" s="24">
        <v>1003</v>
      </c>
      <c r="K781" s="24">
        <v>642</v>
      </c>
      <c r="L781" s="25">
        <v>0.36</v>
      </c>
      <c r="M781" s="24">
        <v>607</v>
      </c>
      <c r="N781" s="24">
        <f>(tbl_raw[[#This Row],[Selling_Price]]-tbl_raw[[#This Row],[Cost_Price]])*tbl_raw[[#This Row],[Units_Sold]]</f>
        <v>455</v>
      </c>
      <c r="O781" s="25">
        <f>IFERROR((tbl_raw[[#This Row],[Selling_Price]]-tbl_raw[[#This Row],[Cost_Price]]) / tbl_raw[[#This Row],[Selling_Price]],0)</f>
        <v>5.4517133956386292E-2</v>
      </c>
      <c r="P781" s="24">
        <v>55</v>
      </c>
      <c r="Q781" s="24">
        <f>tbl_raw[[#This Row],[Gross_Profit]]-(tbl_raw[[#This Row],[Shipping_Cost]]*tbl_raw[[#This Row],[Units_Sold]])</f>
        <v>-260</v>
      </c>
      <c r="R781" s="25">
        <f>IFERROR(tbl_raw[[#This Row],[Net_Profit]]/(tbl_raw[[#This Row],[Selling_Price]]*tbl_raw[[#This Row],[Units_Sold]]),0)</f>
        <v>-3.1152647975077882E-2</v>
      </c>
      <c r="S781" s="23" t="s">
        <v>40</v>
      </c>
      <c r="T781" s="23" t="s">
        <v>32</v>
      </c>
      <c r="U781" s="23">
        <f>IF(tbl_raw[[#This Row],[Order_Status]]="Returned",1,0)</f>
        <v>0</v>
      </c>
      <c r="V781" s="23">
        <f>IF(tbl_raw[[#This Row],[Payment_Method]]="COD",1,0)</f>
        <v>1</v>
      </c>
      <c r="W781" s="26">
        <f>MIN(1,(tbl_raw[[#This Row],[Discount_Pct]]*1.4)+(tbl_raw[[#This Row],[COD_Flag]]*0.35))</f>
        <v>0.85399999999999998</v>
      </c>
    </row>
    <row r="782" spans="1:23" ht="22.8" x14ac:dyDescent="0.3">
      <c r="A782" s="17" t="s">
        <v>1960</v>
      </c>
      <c r="B782" s="18" t="s">
        <v>1438</v>
      </c>
      <c r="C782" s="18" t="s">
        <v>117</v>
      </c>
      <c r="D782" s="18" t="s">
        <v>53</v>
      </c>
      <c r="E782" s="18" t="s">
        <v>160</v>
      </c>
      <c r="F782" s="18" t="s">
        <v>1961</v>
      </c>
      <c r="G782" s="18" t="s">
        <v>120</v>
      </c>
      <c r="H782" s="18" t="s">
        <v>39</v>
      </c>
      <c r="I782" s="18">
        <v>20</v>
      </c>
      <c r="J782" s="19">
        <v>3188</v>
      </c>
      <c r="K782" s="19">
        <v>2901</v>
      </c>
      <c r="L782" s="20">
        <v>0.09</v>
      </c>
      <c r="M782" s="19">
        <v>1669</v>
      </c>
      <c r="N782" s="19">
        <f>(tbl_raw[[#This Row],[Selling_Price]]-tbl_raw[[#This Row],[Cost_Price]])*tbl_raw[[#This Row],[Units_Sold]]</f>
        <v>24640</v>
      </c>
      <c r="O782" s="20">
        <f>IFERROR((tbl_raw[[#This Row],[Selling_Price]]-tbl_raw[[#This Row],[Cost_Price]]) / tbl_raw[[#This Row],[Selling_Price]],0)</f>
        <v>0.42468114443295413</v>
      </c>
      <c r="P782" s="19">
        <v>165</v>
      </c>
      <c r="Q782" s="19">
        <f>tbl_raw[[#This Row],[Gross_Profit]]-(tbl_raw[[#This Row],[Shipping_Cost]]*tbl_raw[[#This Row],[Units_Sold]])</f>
        <v>21340</v>
      </c>
      <c r="R782" s="20">
        <f>IFERROR(tbl_raw[[#This Row],[Net_Profit]]/(tbl_raw[[#This Row],[Selling_Price]]*tbl_raw[[#This Row],[Units_Sold]]),0)</f>
        <v>0.3678042054463978</v>
      </c>
      <c r="S782" s="18" t="s">
        <v>58</v>
      </c>
      <c r="T782" s="18" t="s">
        <v>49</v>
      </c>
      <c r="U782" s="18">
        <f>IF(tbl_raw[[#This Row],[Order_Status]]="Returned",1,0)</f>
        <v>0</v>
      </c>
      <c r="V782" s="18">
        <f>IF(tbl_raw[[#This Row],[Payment_Method]]="COD",1,0)</f>
        <v>0</v>
      </c>
      <c r="W782" s="21">
        <f>MIN(1,(tbl_raw[[#This Row],[Discount_Pct]]*1.4)+(tbl_raw[[#This Row],[COD_Flag]]*0.35))</f>
        <v>0.126</v>
      </c>
    </row>
    <row r="783" spans="1:23" ht="22.8" x14ac:dyDescent="0.3">
      <c r="A783" s="22" t="s">
        <v>1962</v>
      </c>
      <c r="B783" s="23" t="s">
        <v>524</v>
      </c>
      <c r="C783" s="23" t="s">
        <v>105</v>
      </c>
      <c r="D783" s="23" t="s">
        <v>78</v>
      </c>
      <c r="E783" s="23" t="s">
        <v>79</v>
      </c>
      <c r="F783" s="23" t="s">
        <v>1963</v>
      </c>
      <c r="G783" s="23" t="s">
        <v>38</v>
      </c>
      <c r="H783" s="23" t="s">
        <v>39</v>
      </c>
      <c r="I783" s="23">
        <v>12</v>
      </c>
      <c r="J783" s="24">
        <v>3307</v>
      </c>
      <c r="K783" s="24">
        <v>3142</v>
      </c>
      <c r="L783" s="25">
        <v>0.05</v>
      </c>
      <c r="M783" s="24">
        <v>2259</v>
      </c>
      <c r="N783" s="24">
        <f>(tbl_raw[[#This Row],[Selling_Price]]-tbl_raw[[#This Row],[Cost_Price]])*tbl_raw[[#This Row],[Units_Sold]]</f>
        <v>10596</v>
      </c>
      <c r="O783" s="25">
        <f>IFERROR((tbl_raw[[#This Row],[Selling_Price]]-tbl_raw[[#This Row],[Cost_Price]]) / tbl_raw[[#This Row],[Selling_Price]],0)</f>
        <v>0.28103119032463397</v>
      </c>
      <c r="P783" s="24">
        <v>94</v>
      </c>
      <c r="Q783" s="24">
        <f>tbl_raw[[#This Row],[Gross_Profit]]-(tbl_raw[[#This Row],[Shipping_Cost]]*tbl_raw[[#This Row],[Units_Sold]])</f>
        <v>9468</v>
      </c>
      <c r="R783" s="25">
        <f>IFERROR(tbl_raw[[#This Row],[Net_Profit]]/(tbl_raw[[#This Row],[Selling_Price]]*tbl_raw[[#This Row],[Units_Sold]]),0)</f>
        <v>0.2511139401654997</v>
      </c>
      <c r="S783" s="23" t="s">
        <v>40</v>
      </c>
      <c r="T783" s="23" t="s">
        <v>32</v>
      </c>
      <c r="U783" s="23">
        <f>IF(tbl_raw[[#This Row],[Order_Status]]="Returned",1,0)</f>
        <v>0</v>
      </c>
      <c r="V783" s="23">
        <f>IF(tbl_raw[[#This Row],[Payment_Method]]="COD",1,0)</f>
        <v>1</v>
      </c>
      <c r="W783" s="26">
        <f>MIN(1,(tbl_raw[[#This Row],[Discount_Pct]]*1.4)+(tbl_raw[[#This Row],[COD_Flag]]*0.35))</f>
        <v>0.42</v>
      </c>
    </row>
    <row r="784" spans="1:23" ht="22.8" x14ac:dyDescent="0.3">
      <c r="A784" s="17" t="s">
        <v>1964</v>
      </c>
      <c r="B784" s="18" t="s">
        <v>1321</v>
      </c>
      <c r="C784" s="18" t="s">
        <v>25</v>
      </c>
      <c r="D784" s="18" t="s">
        <v>44</v>
      </c>
      <c r="E784" s="18" t="s">
        <v>73</v>
      </c>
      <c r="F784" s="18" t="s">
        <v>1965</v>
      </c>
      <c r="G784" s="18" t="s">
        <v>56</v>
      </c>
      <c r="H784" s="18" t="s">
        <v>57</v>
      </c>
      <c r="I784" s="18">
        <v>4</v>
      </c>
      <c r="J784" s="19">
        <v>275</v>
      </c>
      <c r="K784" s="19">
        <v>190</v>
      </c>
      <c r="L784" s="20">
        <v>0.31</v>
      </c>
      <c r="M784" s="19">
        <v>179</v>
      </c>
      <c r="N784" s="19">
        <f>(tbl_raw[[#This Row],[Selling_Price]]-tbl_raw[[#This Row],[Cost_Price]])*tbl_raw[[#This Row],[Units_Sold]]</f>
        <v>44</v>
      </c>
      <c r="O784" s="20">
        <f>IFERROR((tbl_raw[[#This Row],[Selling_Price]]-tbl_raw[[#This Row],[Cost_Price]]) / tbl_raw[[#This Row],[Selling_Price]],0)</f>
        <v>5.7894736842105263E-2</v>
      </c>
      <c r="P784" s="19">
        <v>62</v>
      </c>
      <c r="Q784" s="19">
        <f>tbl_raw[[#This Row],[Gross_Profit]]-(tbl_raw[[#This Row],[Shipping_Cost]]*tbl_raw[[#This Row],[Units_Sold]])</f>
        <v>-204</v>
      </c>
      <c r="R784" s="20">
        <f>IFERROR(tbl_raw[[#This Row],[Net_Profit]]/(tbl_raw[[#This Row],[Selling_Price]]*tbl_raw[[#This Row],[Units_Sold]]),0)</f>
        <v>-0.26842105263157895</v>
      </c>
      <c r="S784" s="18" t="s">
        <v>65</v>
      </c>
      <c r="T784" s="18" t="s">
        <v>49</v>
      </c>
      <c r="U784" s="18">
        <f>IF(tbl_raw[[#This Row],[Order_Status]]="Returned",1,0)</f>
        <v>0</v>
      </c>
      <c r="V784" s="18">
        <f>IF(tbl_raw[[#This Row],[Payment_Method]]="COD",1,0)</f>
        <v>0</v>
      </c>
      <c r="W784" s="21">
        <f>MIN(1,(tbl_raw[[#This Row],[Discount_Pct]]*1.4)+(tbl_raw[[#This Row],[COD_Flag]]*0.35))</f>
        <v>0.434</v>
      </c>
    </row>
    <row r="785" spans="1:23" ht="22.8" x14ac:dyDescent="0.3">
      <c r="A785" s="22" t="s">
        <v>1966</v>
      </c>
      <c r="B785" s="23" t="s">
        <v>1967</v>
      </c>
      <c r="C785" s="23" t="s">
        <v>105</v>
      </c>
      <c r="D785" s="23" t="s">
        <v>78</v>
      </c>
      <c r="E785" s="23" t="s">
        <v>79</v>
      </c>
      <c r="F785" s="23" t="s">
        <v>1968</v>
      </c>
      <c r="G785" s="23" t="s">
        <v>29</v>
      </c>
      <c r="H785" s="23" t="s">
        <v>30</v>
      </c>
      <c r="I785" s="23">
        <v>17</v>
      </c>
      <c r="J785" s="24">
        <v>1896</v>
      </c>
      <c r="K785" s="24">
        <v>1422</v>
      </c>
      <c r="L785" s="25">
        <v>0.25</v>
      </c>
      <c r="M785" s="24">
        <v>1234</v>
      </c>
      <c r="N785" s="24">
        <f>(tbl_raw[[#This Row],[Selling_Price]]-tbl_raw[[#This Row],[Cost_Price]])*tbl_raw[[#This Row],[Units_Sold]]</f>
        <v>3196</v>
      </c>
      <c r="O785" s="25">
        <f>IFERROR((tbl_raw[[#This Row],[Selling_Price]]-tbl_raw[[#This Row],[Cost_Price]]) / tbl_raw[[#This Row],[Selling_Price]],0)</f>
        <v>0.13220815752461323</v>
      </c>
      <c r="P785" s="24">
        <v>172</v>
      </c>
      <c r="Q785" s="24">
        <f>tbl_raw[[#This Row],[Gross_Profit]]-(tbl_raw[[#This Row],[Shipping_Cost]]*tbl_raw[[#This Row],[Units_Sold]])</f>
        <v>272</v>
      </c>
      <c r="R785" s="25">
        <f>IFERROR(tbl_raw[[#This Row],[Net_Profit]]/(tbl_raw[[#This Row],[Selling_Price]]*tbl_raw[[#This Row],[Units_Sold]]),0)</f>
        <v>1.1251758087201125E-2</v>
      </c>
      <c r="S785" s="23" t="s">
        <v>58</v>
      </c>
      <c r="T785" s="23" t="s">
        <v>32</v>
      </c>
      <c r="U785" s="23">
        <f>IF(tbl_raw[[#This Row],[Order_Status]]="Returned",1,0)</f>
        <v>0</v>
      </c>
      <c r="V785" s="23">
        <f>IF(tbl_raw[[#This Row],[Payment_Method]]="COD",1,0)</f>
        <v>0</v>
      </c>
      <c r="W785" s="26">
        <f>MIN(1,(tbl_raw[[#This Row],[Discount_Pct]]*1.4)+(tbl_raw[[#This Row],[COD_Flag]]*0.35))</f>
        <v>0.35</v>
      </c>
    </row>
    <row r="786" spans="1:23" ht="22.8" x14ac:dyDescent="0.3">
      <c r="A786" s="17" t="s">
        <v>1969</v>
      </c>
      <c r="B786" s="18" t="s">
        <v>1970</v>
      </c>
      <c r="C786" s="18" t="s">
        <v>25</v>
      </c>
      <c r="D786" s="18" t="s">
        <v>78</v>
      </c>
      <c r="E786" s="18" t="s">
        <v>79</v>
      </c>
      <c r="F786" s="18" t="s">
        <v>1971</v>
      </c>
      <c r="G786" s="18" t="s">
        <v>56</v>
      </c>
      <c r="H786" s="18" t="s">
        <v>57</v>
      </c>
      <c r="I786" s="18">
        <v>7</v>
      </c>
      <c r="J786" s="19">
        <v>1738</v>
      </c>
      <c r="K786" s="19">
        <v>1112</v>
      </c>
      <c r="L786" s="20">
        <v>0.36</v>
      </c>
      <c r="M786" s="19">
        <v>999</v>
      </c>
      <c r="N786" s="19">
        <f>(tbl_raw[[#This Row],[Selling_Price]]-tbl_raw[[#This Row],[Cost_Price]])*tbl_raw[[#This Row],[Units_Sold]]</f>
        <v>791</v>
      </c>
      <c r="O786" s="20">
        <f>IFERROR((tbl_raw[[#This Row],[Selling_Price]]-tbl_raw[[#This Row],[Cost_Price]]) / tbl_raw[[#This Row],[Selling_Price]],0)</f>
        <v>0.10161870503597123</v>
      </c>
      <c r="P786" s="19">
        <v>179</v>
      </c>
      <c r="Q786" s="19">
        <f>tbl_raw[[#This Row],[Gross_Profit]]-(tbl_raw[[#This Row],[Shipping_Cost]]*tbl_raw[[#This Row],[Units_Sold]])</f>
        <v>-462</v>
      </c>
      <c r="R786" s="20">
        <f>IFERROR(tbl_raw[[#This Row],[Net_Profit]]/(tbl_raw[[#This Row],[Selling_Price]]*tbl_raw[[#This Row],[Units_Sold]]),0)</f>
        <v>-5.935251798561151E-2</v>
      </c>
      <c r="S786" s="18" t="s">
        <v>31</v>
      </c>
      <c r="T786" s="18" t="s">
        <v>32</v>
      </c>
      <c r="U786" s="18">
        <f>IF(tbl_raw[[#This Row],[Order_Status]]="Returned",1,0)</f>
        <v>0</v>
      </c>
      <c r="V786" s="18">
        <f>IF(tbl_raw[[#This Row],[Payment_Method]]="COD",1,0)</f>
        <v>0</v>
      </c>
      <c r="W786" s="21">
        <f>MIN(1,(tbl_raw[[#This Row],[Discount_Pct]]*1.4)+(tbl_raw[[#This Row],[COD_Flag]]*0.35))</f>
        <v>0.504</v>
      </c>
    </row>
    <row r="787" spans="1:23" ht="22.8" x14ac:dyDescent="0.3">
      <c r="A787" s="22" t="s">
        <v>1972</v>
      </c>
      <c r="B787" s="23" t="s">
        <v>198</v>
      </c>
      <c r="C787" s="23" t="s">
        <v>199</v>
      </c>
      <c r="D787" s="23" t="s">
        <v>78</v>
      </c>
      <c r="E787" s="23" t="s">
        <v>118</v>
      </c>
      <c r="F787" s="23" t="s">
        <v>1973</v>
      </c>
      <c r="G787" s="23" t="s">
        <v>139</v>
      </c>
      <c r="H787" s="23" t="s">
        <v>48</v>
      </c>
      <c r="I787" s="23">
        <v>10</v>
      </c>
      <c r="J787" s="24">
        <v>339</v>
      </c>
      <c r="K787" s="24">
        <v>220</v>
      </c>
      <c r="L787" s="25">
        <v>0.35</v>
      </c>
      <c r="M787" s="24">
        <v>204</v>
      </c>
      <c r="N787" s="24">
        <f>(tbl_raw[[#This Row],[Selling_Price]]-tbl_raw[[#This Row],[Cost_Price]])*tbl_raw[[#This Row],[Units_Sold]]</f>
        <v>160</v>
      </c>
      <c r="O787" s="25">
        <f>IFERROR((tbl_raw[[#This Row],[Selling_Price]]-tbl_raw[[#This Row],[Cost_Price]]) / tbl_raw[[#This Row],[Selling_Price]],0)</f>
        <v>7.2727272727272724E-2</v>
      </c>
      <c r="P787" s="24">
        <v>31</v>
      </c>
      <c r="Q787" s="24">
        <f>tbl_raw[[#This Row],[Gross_Profit]]-(tbl_raw[[#This Row],[Shipping_Cost]]*tbl_raw[[#This Row],[Units_Sold]])</f>
        <v>-150</v>
      </c>
      <c r="R787" s="25">
        <f>IFERROR(tbl_raw[[#This Row],[Net_Profit]]/(tbl_raw[[#This Row],[Selling_Price]]*tbl_raw[[#This Row],[Units_Sold]]),0)</f>
        <v>-6.8181818181818177E-2</v>
      </c>
      <c r="S787" s="23" t="s">
        <v>31</v>
      </c>
      <c r="T787" s="23" t="s">
        <v>59</v>
      </c>
      <c r="U787" s="23">
        <f>IF(tbl_raw[[#This Row],[Order_Status]]="Returned",1,0)</f>
        <v>0</v>
      </c>
      <c r="V787" s="23">
        <f>IF(tbl_raw[[#This Row],[Payment_Method]]="COD",1,0)</f>
        <v>0</v>
      </c>
      <c r="W787" s="26">
        <f>MIN(1,(tbl_raw[[#This Row],[Discount_Pct]]*1.4)+(tbl_raw[[#This Row],[COD_Flag]]*0.35))</f>
        <v>0.48999999999999994</v>
      </c>
    </row>
    <row r="788" spans="1:23" ht="22.8" x14ac:dyDescent="0.3">
      <c r="A788" s="17" t="s">
        <v>1974</v>
      </c>
      <c r="B788" s="18" t="s">
        <v>586</v>
      </c>
      <c r="C788" s="18" t="s">
        <v>52</v>
      </c>
      <c r="D788" s="18" t="s">
        <v>26</v>
      </c>
      <c r="E788" s="18" t="s">
        <v>27</v>
      </c>
      <c r="F788" s="18" t="s">
        <v>1975</v>
      </c>
      <c r="G788" s="18" t="s">
        <v>139</v>
      </c>
      <c r="H788" s="18" t="s">
        <v>48</v>
      </c>
      <c r="I788" s="18">
        <v>3</v>
      </c>
      <c r="J788" s="19">
        <v>3865</v>
      </c>
      <c r="K788" s="19">
        <v>2435</v>
      </c>
      <c r="L788" s="20">
        <v>0.37</v>
      </c>
      <c r="M788" s="19">
        <v>2107</v>
      </c>
      <c r="N788" s="19">
        <f>(tbl_raw[[#This Row],[Selling_Price]]-tbl_raw[[#This Row],[Cost_Price]])*tbl_raw[[#This Row],[Units_Sold]]</f>
        <v>984</v>
      </c>
      <c r="O788" s="20">
        <f>IFERROR((tbl_raw[[#This Row],[Selling_Price]]-tbl_raw[[#This Row],[Cost_Price]]) / tbl_raw[[#This Row],[Selling_Price]],0)</f>
        <v>0.13470225872689939</v>
      </c>
      <c r="P788" s="19">
        <v>75</v>
      </c>
      <c r="Q788" s="19">
        <f>tbl_raw[[#This Row],[Gross_Profit]]-(tbl_raw[[#This Row],[Shipping_Cost]]*tbl_raw[[#This Row],[Units_Sold]])</f>
        <v>759</v>
      </c>
      <c r="R788" s="20">
        <f>IFERROR(tbl_raw[[#This Row],[Net_Profit]]/(tbl_raw[[#This Row],[Selling_Price]]*tbl_raw[[#This Row],[Units_Sold]]),0)</f>
        <v>0.10390143737166324</v>
      </c>
      <c r="S788" s="18" t="s">
        <v>107</v>
      </c>
      <c r="T788" s="18" t="s">
        <v>32</v>
      </c>
      <c r="U788" s="18">
        <f>IF(tbl_raw[[#This Row],[Order_Status]]="Returned",1,0)</f>
        <v>0</v>
      </c>
      <c r="V788" s="18">
        <f>IF(tbl_raw[[#This Row],[Payment_Method]]="COD",1,0)</f>
        <v>0</v>
      </c>
      <c r="W788" s="21">
        <f>MIN(1,(tbl_raw[[#This Row],[Discount_Pct]]*1.4)+(tbl_raw[[#This Row],[COD_Flag]]*0.35))</f>
        <v>0.51800000000000002</v>
      </c>
    </row>
    <row r="789" spans="1:23" ht="22.8" x14ac:dyDescent="0.3">
      <c r="A789" s="22" t="s">
        <v>1976</v>
      </c>
      <c r="B789" s="23" t="s">
        <v>900</v>
      </c>
      <c r="C789" s="23" t="s">
        <v>105</v>
      </c>
      <c r="D789" s="23" t="s">
        <v>44</v>
      </c>
      <c r="E789" s="23" t="s">
        <v>275</v>
      </c>
      <c r="F789" s="23" t="s">
        <v>1977</v>
      </c>
      <c r="G789" s="23" t="s">
        <v>139</v>
      </c>
      <c r="H789" s="23" t="s">
        <v>48</v>
      </c>
      <c r="I789" s="23">
        <v>13</v>
      </c>
      <c r="J789" s="24">
        <v>2528</v>
      </c>
      <c r="K789" s="24">
        <v>1416</v>
      </c>
      <c r="L789" s="25">
        <v>0.44</v>
      </c>
      <c r="M789" s="24">
        <v>1448</v>
      </c>
      <c r="N789" s="24">
        <f>(tbl_raw[[#This Row],[Selling_Price]]-tbl_raw[[#This Row],[Cost_Price]])*tbl_raw[[#This Row],[Units_Sold]]</f>
        <v>-416</v>
      </c>
      <c r="O789" s="25">
        <f>IFERROR((tbl_raw[[#This Row],[Selling_Price]]-tbl_raw[[#This Row],[Cost_Price]]) / tbl_raw[[#This Row],[Selling_Price]],0)</f>
        <v>-2.2598870056497175E-2</v>
      </c>
      <c r="P789" s="24">
        <v>126</v>
      </c>
      <c r="Q789" s="24">
        <f>tbl_raw[[#This Row],[Gross_Profit]]-(tbl_raw[[#This Row],[Shipping_Cost]]*tbl_raw[[#This Row],[Units_Sold]])</f>
        <v>-2054</v>
      </c>
      <c r="R789" s="25">
        <f>IFERROR(tbl_raw[[#This Row],[Net_Profit]]/(tbl_raw[[#This Row],[Selling_Price]]*tbl_raw[[#This Row],[Units_Sold]]),0)</f>
        <v>-0.1115819209039548</v>
      </c>
      <c r="S789" s="23" t="s">
        <v>58</v>
      </c>
      <c r="T789" s="23" t="s">
        <v>49</v>
      </c>
      <c r="U789" s="23">
        <f>IF(tbl_raw[[#This Row],[Order_Status]]="Returned",1,0)</f>
        <v>0</v>
      </c>
      <c r="V789" s="23">
        <f>IF(tbl_raw[[#This Row],[Payment_Method]]="COD",1,0)</f>
        <v>0</v>
      </c>
      <c r="W789" s="26">
        <f>MIN(1,(tbl_raw[[#This Row],[Discount_Pct]]*1.4)+(tbl_raw[[#This Row],[COD_Flag]]*0.35))</f>
        <v>0.61599999999999999</v>
      </c>
    </row>
    <row r="790" spans="1:23" ht="22.8" x14ac:dyDescent="0.3">
      <c r="A790" s="17" t="s">
        <v>1978</v>
      </c>
      <c r="B790" s="18" t="s">
        <v>1979</v>
      </c>
      <c r="C790" s="18" t="s">
        <v>72</v>
      </c>
      <c r="D790" s="18" t="s">
        <v>94</v>
      </c>
      <c r="E790" s="18" t="s">
        <v>207</v>
      </c>
      <c r="F790" s="18" t="s">
        <v>1980</v>
      </c>
      <c r="G790" s="18" t="s">
        <v>139</v>
      </c>
      <c r="H790" s="18" t="s">
        <v>48</v>
      </c>
      <c r="I790" s="18">
        <v>5</v>
      </c>
      <c r="J790" s="19">
        <v>1020</v>
      </c>
      <c r="K790" s="19">
        <v>867</v>
      </c>
      <c r="L790" s="20">
        <v>0.15</v>
      </c>
      <c r="M790" s="19">
        <v>653</v>
      </c>
      <c r="N790" s="19">
        <f>(tbl_raw[[#This Row],[Selling_Price]]-tbl_raw[[#This Row],[Cost_Price]])*tbl_raw[[#This Row],[Units_Sold]]</f>
        <v>1070</v>
      </c>
      <c r="O790" s="20">
        <f>IFERROR((tbl_raw[[#This Row],[Selling_Price]]-tbl_raw[[#This Row],[Cost_Price]]) / tbl_raw[[#This Row],[Selling_Price]],0)</f>
        <v>0.24682814302191464</v>
      </c>
      <c r="P790" s="19">
        <v>95</v>
      </c>
      <c r="Q790" s="19">
        <f>tbl_raw[[#This Row],[Gross_Profit]]-(tbl_raw[[#This Row],[Shipping_Cost]]*tbl_raw[[#This Row],[Units_Sold]])</f>
        <v>595</v>
      </c>
      <c r="R790" s="20">
        <f>IFERROR(tbl_raw[[#This Row],[Net_Profit]]/(tbl_raw[[#This Row],[Selling_Price]]*tbl_raw[[#This Row],[Units_Sold]]),0)</f>
        <v>0.13725490196078433</v>
      </c>
      <c r="S790" s="18" t="s">
        <v>40</v>
      </c>
      <c r="T790" s="18" t="s">
        <v>86</v>
      </c>
      <c r="U790" s="18">
        <f>IF(tbl_raw[[#This Row],[Order_Status]]="Returned",1,0)</f>
        <v>1</v>
      </c>
      <c r="V790" s="18">
        <f>IF(tbl_raw[[#This Row],[Payment_Method]]="COD",1,0)</f>
        <v>1</v>
      </c>
      <c r="W790" s="21">
        <f>MIN(1,(tbl_raw[[#This Row],[Discount_Pct]]*1.4)+(tbl_raw[[#This Row],[COD_Flag]]*0.35))</f>
        <v>0.55999999999999994</v>
      </c>
    </row>
    <row r="791" spans="1:23" ht="22.8" x14ac:dyDescent="0.3">
      <c r="A791" s="22" t="s">
        <v>1981</v>
      </c>
      <c r="B791" s="23" t="s">
        <v>1600</v>
      </c>
      <c r="C791" s="23" t="s">
        <v>89</v>
      </c>
      <c r="D791" s="23" t="s">
        <v>26</v>
      </c>
      <c r="E791" s="23" t="s">
        <v>125</v>
      </c>
      <c r="F791" s="23" t="s">
        <v>1982</v>
      </c>
      <c r="G791" s="23" t="s">
        <v>139</v>
      </c>
      <c r="H791" s="23" t="s">
        <v>48</v>
      </c>
      <c r="I791" s="23">
        <v>4</v>
      </c>
      <c r="J791" s="24">
        <v>574</v>
      </c>
      <c r="K791" s="24">
        <v>494</v>
      </c>
      <c r="L791" s="25">
        <v>0.14000000000000001</v>
      </c>
      <c r="M791" s="24">
        <v>283</v>
      </c>
      <c r="N791" s="24">
        <f>(tbl_raw[[#This Row],[Selling_Price]]-tbl_raw[[#This Row],[Cost_Price]])*tbl_raw[[#This Row],[Units_Sold]]</f>
        <v>844</v>
      </c>
      <c r="O791" s="25">
        <f>IFERROR((tbl_raw[[#This Row],[Selling_Price]]-tbl_raw[[#This Row],[Cost_Price]]) / tbl_raw[[#This Row],[Selling_Price]],0)</f>
        <v>0.42712550607287447</v>
      </c>
      <c r="P791" s="24">
        <v>133</v>
      </c>
      <c r="Q791" s="24">
        <f>tbl_raw[[#This Row],[Gross_Profit]]-(tbl_raw[[#This Row],[Shipping_Cost]]*tbl_raw[[#This Row],[Units_Sold]])</f>
        <v>312</v>
      </c>
      <c r="R791" s="25">
        <f>IFERROR(tbl_raw[[#This Row],[Net_Profit]]/(tbl_raw[[#This Row],[Selling_Price]]*tbl_raw[[#This Row],[Units_Sold]]),0)</f>
        <v>0.15789473684210525</v>
      </c>
      <c r="S791" s="23" t="s">
        <v>31</v>
      </c>
      <c r="T791" s="23" t="s">
        <v>32</v>
      </c>
      <c r="U791" s="23">
        <f>IF(tbl_raw[[#This Row],[Order_Status]]="Returned",1,0)</f>
        <v>0</v>
      </c>
      <c r="V791" s="23">
        <f>IF(tbl_raw[[#This Row],[Payment_Method]]="COD",1,0)</f>
        <v>0</v>
      </c>
      <c r="W791" s="26">
        <f>MIN(1,(tbl_raw[[#This Row],[Discount_Pct]]*1.4)+(tbl_raw[[#This Row],[COD_Flag]]*0.35))</f>
        <v>0.19600000000000001</v>
      </c>
    </row>
    <row r="792" spans="1:23" ht="22.8" x14ac:dyDescent="0.3">
      <c r="A792" s="17" t="s">
        <v>1983</v>
      </c>
      <c r="B792" s="18" t="s">
        <v>847</v>
      </c>
      <c r="C792" s="18" t="s">
        <v>43</v>
      </c>
      <c r="D792" s="18" t="s">
        <v>62</v>
      </c>
      <c r="E792" s="18" t="s">
        <v>110</v>
      </c>
      <c r="F792" s="18" t="s">
        <v>1984</v>
      </c>
      <c r="G792" s="18" t="s">
        <v>56</v>
      </c>
      <c r="H792" s="18" t="s">
        <v>57</v>
      </c>
      <c r="I792" s="18">
        <v>5</v>
      </c>
      <c r="J792" s="19">
        <v>6074</v>
      </c>
      <c r="K792" s="19">
        <v>3644</v>
      </c>
      <c r="L792" s="20">
        <v>0.4</v>
      </c>
      <c r="M792" s="19">
        <v>4483</v>
      </c>
      <c r="N792" s="19">
        <f>(tbl_raw[[#This Row],[Selling_Price]]-tbl_raw[[#This Row],[Cost_Price]])*tbl_raw[[#This Row],[Units_Sold]]</f>
        <v>-4195</v>
      </c>
      <c r="O792" s="20">
        <f>IFERROR((tbl_raw[[#This Row],[Selling_Price]]-tbl_raw[[#This Row],[Cost_Price]]) / tbl_raw[[#This Row],[Selling_Price]],0)</f>
        <v>-0.23024149286498352</v>
      </c>
      <c r="P792" s="19">
        <v>92</v>
      </c>
      <c r="Q792" s="19">
        <f>tbl_raw[[#This Row],[Gross_Profit]]-(tbl_raw[[#This Row],[Shipping_Cost]]*tbl_raw[[#This Row],[Units_Sold]])</f>
        <v>-4655</v>
      </c>
      <c r="R792" s="20">
        <f>IFERROR(tbl_raw[[#This Row],[Net_Profit]]/(tbl_raw[[#This Row],[Selling_Price]]*tbl_raw[[#This Row],[Units_Sold]]),0)</f>
        <v>-0.25548847420417126</v>
      </c>
      <c r="S792" s="18" t="s">
        <v>31</v>
      </c>
      <c r="T792" s="18" t="s">
        <v>32</v>
      </c>
      <c r="U792" s="18">
        <f>IF(tbl_raw[[#This Row],[Order_Status]]="Returned",1,0)</f>
        <v>0</v>
      </c>
      <c r="V792" s="18">
        <f>IF(tbl_raw[[#This Row],[Payment_Method]]="COD",1,0)</f>
        <v>0</v>
      </c>
      <c r="W792" s="21">
        <f>MIN(1,(tbl_raw[[#This Row],[Discount_Pct]]*1.4)+(tbl_raw[[#This Row],[COD_Flag]]*0.35))</f>
        <v>0.55999999999999994</v>
      </c>
    </row>
    <row r="793" spans="1:23" ht="22.8" x14ac:dyDescent="0.3">
      <c r="A793" s="22" t="s">
        <v>1985</v>
      </c>
      <c r="B793" s="23" t="s">
        <v>348</v>
      </c>
      <c r="C793" s="23" t="s">
        <v>35</v>
      </c>
      <c r="D793" s="23" t="s">
        <v>62</v>
      </c>
      <c r="E793" s="23" t="s">
        <v>68</v>
      </c>
      <c r="F793" s="23" t="s">
        <v>1986</v>
      </c>
      <c r="G793" s="23" t="s">
        <v>56</v>
      </c>
      <c r="H793" s="23" t="s">
        <v>57</v>
      </c>
      <c r="I793" s="23">
        <v>16</v>
      </c>
      <c r="J793" s="24">
        <v>1961</v>
      </c>
      <c r="K793" s="24">
        <v>1726</v>
      </c>
      <c r="L793" s="25">
        <v>0.12</v>
      </c>
      <c r="M793" s="24">
        <v>988</v>
      </c>
      <c r="N793" s="24">
        <f>(tbl_raw[[#This Row],[Selling_Price]]-tbl_raw[[#This Row],[Cost_Price]])*tbl_raw[[#This Row],[Units_Sold]]</f>
        <v>11808</v>
      </c>
      <c r="O793" s="25">
        <f>IFERROR((tbl_raw[[#This Row],[Selling_Price]]-tbl_raw[[#This Row],[Cost_Price]]) / tbl_raw[[#This Row],[Selling_Price]],0)</f>
        <v>0.42757821552723058</v>
      </c>
      <c r="P793" s="24">
        <v>42</v>
      </c>
      <c r="Q793" s="24">
        <f>tbl_raw[[#This Row],[Gross_Profit]]-(tbl_raw[[#This Row],[Shipping_Cost]]*tbl_raw[[#This Row],[Units_Sold]])</f>
        <v>11136</v>
      </c>
      <c r="R793" s="25">
        <f>IFERROR(tbl_raw[[#This Row],[Net_Profit]]/(tbl_raw[[#This Row],[Selling_Price]]*tbl_raw[[#This Row],[Units_Sold]]),0)</f>
        <v>0.40324449594438005</v>
      </c>
      <c r="S793" s="23" t="s">
        <v>65</v>
      </c>
      <c r="T793" s="23" t="s">
        <v>32</v>
      </c>
      <c r="U793" s="23">
        <f>IF(tbl_raw[[#This Row],[Order_Status]]="Returned",1,0)</f>
        <v>0</v>
      </c>
      <c r="V793" s="23">
        <f>IF(tbl_raw[[#This Row],[Payment_Method]]="COD",1,0)</f>
        <v>0</v>
      </c>
      <c r="W793" s="26">
        <f>MIN(1,(tbl_raw[[#This Row],[Discount_Pct]]*1.4)+(tbl_raw[[#This Row],[COD_Flag]]*0.35))</f>
        <v>0.16799999999999998</v>
      </c>
    </row>
    <row r="794" spans="1:23" ht="22.8" x14ac:dyDescent="0.3">
      <c r="A794" s="17" t="s">
        <v>1987</v>
      </c>
      <c r="B794" s="18" t="s">
        <v>327</v>
      </c>
      <c r="C794" s="18" t="s">
        <v>25</v>
      </c>
      <c r="D794" s="18" t="s">
        <v>94</v>
      </c>
      <c r="E794" s="18" t="s">
        <v>207</v>
      </c>
      <c r="F794" s="18" t="s">
        <v>1988</v>
      </c>
      <c r="G794" s="18" t="s">
        <v>75</v>
      </c>
      <c r="H794" s="18" t="s">
        <v>48</v>
      </c>
      <c r="I794" s="18">
        <v>2</v>
      </c>
      <c r="J794" s="19">
        <v>1857</v>
      </c>
      <c r="K794" s="19">
        <v>1300</v>
      </c>
      <c r="L794" s="20">
        <v>0.3</v>
      </c>
      <c r="M794" s="19">
        <v>1047</v>
      </c>
      <c r="N794" s="19">
        <f>(tbl_raw[[#This Row],[Selling_Price]]-tbl_raw[[#This Row],[Cost_Price]])*tbl_raw[[#This Row],[Units_Sold]]</f>
        <v>506</v>
      </c>
      <c r="O794" s="20">
        <f>IFERROR((tbl_raw[[#This Row],[Selling_Price]]-tbl_raw[[#This Row],[Cost_Price]]) / tbl_raw[[#This Row],[Selling_Price]],0)</f>
        <v>0.19461538461538461</v>
      </c>
      <c r="P794" s="19">
        <v>88</v>
      </c>
      <c r="Q794" s="19">
        <f>tbl_raw[[#This Row],[Gross_Profit]]-(tbl_raw[[#This Row],[Shipping_Cost]]*tbl_raw[[#This Row],[Units_Sold]])</f>
        <v>330</v>
      </c>
      <c r="R794" s="20">
        <f>IFERROR(tbl_raw[[#This Row],[Net_Profit]]/(tbl_raw[[#This Row],[Selling_Price]]*tbl_raw[[#This Row],[Units_Sold]]),0)</f>
        <v>0.12692307692307692</v>
      </c>
      <c r="S794" s="18" t="s">
        <v>31</v>
      </c>
      <c r="T794" s="18" t="s">
        <v>32</v>
      </c>
      <c r="U794" s="18">
        <f>IF(tbl_raw[[#This Row],[Order_Status]]="Returned",1,0)</f>
        <v>0</v>
      </c>
      <c r="V794" s="18">
        <f>IF(tbl_raw[[#This Row],[Payment_Method]]="COD",1,0)</f>
        <v>0</v>
      </c>
      <c r="W794" s="21">
        <f>MIN(1,(tbl_raw[[#This Row],[Discount_Pct]]*1.4)+(tbl_raw[[#This Row],[COD_Flag]]*0.35))</f>
        <v>0.42</v>
      </c>
    </row>
    <row r="795" spans="1:23" ht="22.8" x14ac:dyDescent="0.3">
      <c r="A795" s="22" t="s">
        <v>1989</v>
      </c>
      <c r="B795" s="23" t="s">
        <v>247</v>
      </c>
      <c r="C795" s="23" t="s">
        <v>199</v>
      </c>
      <c r="D795" s="23" t="s">
        <v>44</v>
      </c>
      <c r="E795" s="23" t="s">
        <v>279</v>
      </c>
      <c r="F795" s="23" t="s">
        <v>1990</v>
      </c>
      <c r="G795" s="23" t="s">
        <v>75</v>
      </c>
      <c r="H795" s="23" t="s">
        <v>48</v>
      </c>
      <c r="I795" s="23">
        <v>5</v>
      </c>
      <c r="J795" s="24">
        <v>6813</v>
      </c>
      <c r="K795" s="24">
        <v>6472</v>
      </c>
      <c r="L795" s="25">
        <v>0.05</v>
      </c>
      <c r="M795" s="24">
        <v>3035</v>
      </c>
      <c r="N795" s="24">
        <f>(tbl_raw[[#This Row],[Selling_Price]]-tbl_raw[[#This Row],[Cost_Price]])*tbl_raw[[#This Row],[Units_Sold]]</f>
        <v>17185</v>
      </c>
      <c r="O795" s="25">
        <f>IFERROR((tbl_raw[[#This Row],[Selling_Price]]-tbl_raw[[#This Row],[Cost_Price]]) / tbl_raw[[#This Row],[Selling_Price]],0)</f>
        <v>0.53105686032138444</v>
      </c>
      <c r="P795" s="24">
        <v>168</v>
      </c>
      <c r="Q795" s="24">
        <f>tbl_raw[[#This Row],[Gross_Profit]]-(tbl_raw[[#This Row],[Shipping_Cost]]*tbl_raw[[#This Row],[Units_Sold]])</f>
        <v>16345</v>
      </c>
      <c r="R795" s="25">
        <f>IFERROR(tbl_raw[[#This Row],[Net_Profit]]/(tbl_raw[[#This Row],[Selling_Price]]*tbl_raw[[#This Row],[Units_Sold]]),0)</f>
        <v>0.50509888751545118</v>
      </c>
      <c r="S795" s="23" t="s">
        <v>31</v>
      </c>
      <c r="T795" s="23" t="s">
        <v>59</v>
      </c>
      <c r="U795" s="23">
        <f>IF(tbl_raw[[#This Row],[Order_Status]]="Returned",1,0)</f>
        <v>0</v>
      </c>
      <c r="V795" s="23">
        <f>IF(tbl_raw[[#This Row],[Payment_Method]]="COD",1,0)</f>
        <v>0</v>
      </c>
      <c r="W795" s="26">
        <f>MIN(1,(tbl_raw[[#This Row],[Discount_Pct]]*1.4)+(tbl_raw[[#This Row],[COD_Flag]]*0.35))</f>
        <v>6.9999999999999993E-2</v>
      </c>
    </row>
    <row r="796" spans="1:23" ht="22.8" x14ac:dyDescent="0.3">
      <c r="A796" s="17" t="s">
        <v>1991</v>
      </c>
      <c r="B796" s="18" t="s">
        <v>865</v>
      </c>
      <c r="C796" s="18" t="s">
        <v>105</v>
      </c>
      <c r="D796" s="18" t="s">
        <v>78</v>
      </c>
      <c r="E796" s="18" t="s">
        <v>118</v>
      </c>
      <c r="F796" s="18" t="s">
        <v>1992</v>
      </c>
      <c r="G796" s="18" t="s">
        <v>143</v>
      </c>
      <c r="H796" s="18" t="s">
        <v>30</v>
      </c>
      <c r="I796" s="18">
        <v>14</v>
      </c>
      <c r="J796" s="19">
        <v>1481</v>
      </c>
      <c r="K796" s="19">
        <v>1274</v>
      </c>
      <c r="L796" s="20">
        <v>0.14000000000000001</v>
      </c>
      <c r="M796" s="19">
        <v>1043</v>
      </c>
      <c r="N796" s="19">
        <f>(tbl_raw[[#This Row],[Selling_Price]]-tbl_raw[[#This Row],[Cost_Price]])*tbl_raw[[#This Row],[Units_Sold]]</f>
        <v>3234</v>
      </c>
      <c r="O796" s="20">
        <f>IFERROR((tbl_raw[[#This Row],[Selling_Price]]-tbl_raw[[#This Row],[Cost_Price]]) / tbl_raw[[#This Row],[Selling_Price]],0)</f>
        <v>0.18131868131868131</v>
      </c>
      <c r="P796" s="19">
        <v>127</v>
      </c>
      <c r="Q796" s="19">
        <f>tbl_raw[[#This Row],[Gross_Profit]]-(tbl_raw[[#This Row],[Shipping_Cost]]*tbl_raw[[#This Row],[Units_Sold]])</f>
        <v>1456</v>
      </c>
      <c r="R796" s="20">
        <f>IFERROR(tbl_raw[[#This Row],[Net_Profit]]/(tbl_raw[[#This Row],[Selling_Price]]*tbl_raw[[#This Row],[Units_Sold]]),0)</f>
        <v>8.1632653061224483E-2</v>
      </c>
      <c r="S796" s="18" t="s">
        <v>40</v>
      </c>
      <c r="T796" s="18" t="s">
        <v>32</v>
      </c>
      <c r="U796" s="18">
        <f>IF(tbl_raw[[#This Row],[Order_Status]]="Returned",1,0)</f>
        <v>0</v>
      </c>
      <c r="V796" s="18">
        <f>IF(tbl_raw[[#This Row],[Payment_Method]]="COD",1,0)</f>
        <v>1</v>
      </c>
      <c r="W796" s="21">
        <f>MIN(1,(tbl_raw[[#This Row],[Discount_Pct]]*1.4)+(tbl_raw[[#This Row],[COD_Flag]]*0.35))</f>
        <v>0.54600000000000004</v>
      </c>
    </row>
    <row r="797" spans="1:23" ht="22.8" x14ac:dyDescent="0.3">
      <c r="A797" s="22" t="s">
        <v>1993</v>
      </c>
      <c r="B797" s="23" t="s">
        <v>122</v>
      </c>
      <c r="C797" s="23" t="s">
        <v>72</v>
      </c>
      <c r="D797" s="23" t="s">
        <v>26</v>
      </c>
      <c r="E797" s="23" t="s">
        <v>168</v>
      </c>
      <c r="F797" s="23" t="s">
        <v>1994</v>
      </c>
      <c r="G797" s="23" t="s">
        <v>143</v>
      </c>
      <c r="H797" s="23" t="s">
        <v>30</v>
      </c>
      <c r="I797" s="23">
        <v>1</v>
      </c>
      <c r="J797" s="24">
        <v>3915</v>
      </c>
      <c r="K797" s="24">
        <v>2975</v>
      </c>
      <c r="L797" s="25">
        <v>0.24</v>
      </c>
      <c r="M797" s="24">
        <v>2048</v>
      </c>
      <c r="N797" s="24">
        <f>(tbl_raw[[#This Row],[Selling_Price]]-tbl_raw[[#This Row],[Cost_Price]])*tbl_raw[[#This Row],[Units_Sold]]</f>
        <v>927</v>
      </c>
      <c r="O797" s="25">
        <f>IFERROR((tbl_raw[[#This Row],[Selling_Price]]-tbl_raw[[#This Row],[Cost_Price]]) / tbl_raw[[#This Row],[Selling_Price]],0)</f>
        <v>0.31159663865546217</v>
      </c>
      <c r="P797" s="24">
        <v>48</v>
      </c>
      <c r="Q797" s="24">
        <f>tbl_raw[[#This Row],[Gross_Profit]]-(tbl_raw[[#This Row],[Shipping_Cost]]*tbl_raw[[#This Row],[Units_Sold]])</f>
        <v>879</v>
      </c>
      <c r="R797" s="25">
        <f>IFERROR(tbl_raw[[#This Row],[Net_Profit]]/(tbl_raw[[#This Row],[Selling_Price]]*tbl_raw[[#This Row],[Units_Sold]]),0)</f>
        <v>0.2954621848739496</v>
      </c>
      <c r="S797" s="23" t="s">
        <v>65</v>
      </c>
      <c r="T797" s="23" t="s">
        <v>32</v>
      </c>
      <c r="U797" s="23">
        <f>IF(tbl_raw[[#This Row],[Order_Status]]="Returned",1,0)</f>
        <v>0</v>
      </c>
      <c r="V797" s="23">
        <f>IF(tbl_raw[[#This Row],[Payment_Method]]="COD",1,0)</f>
        <v>0</v>
      </c>
      <c r="W797" s="26">
        <f>MIN(1,(tbl_raw[[#This Row],[Discount_Pct]]*1.4)+(tbl_raw[[#This Row],[COD_Flag]]*0.35))</f>
        <v>0.33599999999999997</v>
      </c>
    </row>
    <row r="798" spans="1:23" ht="22.8" x14ac:dyDescent="0.3">
      <c r="A798" s="17" t="s">
        <v>1995</v>
      </c>
      <c r="B798" s="18" t="s">
        <v>1392</v>
      </c>
      <c r="C798" s="18" t="s">
        <v>43</v>
      </c>
      <c r="D798" s="18" t="s">
        <v>78</v>
      </c>
      <c r="E798" s="18" t="s">
        <v>84</v>
      </c>
      <c r="F798" s="18" t="s">
        <v>1996</v>
      </c>
      <c r="G798" s="18" t="s">
        <v>139</v>
      </c>
      <c r="H798" s="18" t="s">
        <v>48</v>
      </c>
      <c r="I798" s="18">
        <v>15</v>
      </c>
      <c r="J798" s="19">
        <v>2326</v>
      </c>
      <c r="K798" s="19">
        <v>2233</v>
      </c>
      <c r="L798" s="20">
        <v>0.04</v>
      </c>
      <c r="M798" s="19">
        <v>1458</v>
      </c>
      <c r="N798" s="19">
        <f>(tbl_raw[[#This Row],[Selling_Price]]-tbl_raw[[#This Row],[Cost_Price]])*tbl_raw[[#This Row],[Units_Sold]]</f>
        <v>11625</v>
      </c>
      <c r="O798" s="20">
        <f>IFERROR((tbl_raw[[#This Row],[Selling_Price]]-tbl_raw[[#This Row],[Cost_Price]]) / tbl_raw[[#This Row],[Selling_Price]],0)</f>
        <v>0.3470667263770712</v>
      </c>
      <c r="P798" s="19">
        <v>140</v>
      </c>
      <c r="Q798" s="19">
        <f>tbl_raw[[#This Row],[Gross_Profit]]-(tbl_raw[[#This Row],[Shipping_Cost]]*tbl_raw[[#This Row],[Units_Sold]])</f>
        <v>9525</v>
      </c>
      <c r="R798" s="20">
        <f>IFERROR(tbl_raw[[#This Row],[Net_Profit]]/(tbl_raw[[#This Row],[Selling_Price]]*tbl_raw[[#This Row],[Units_Sold]]),0)</f>
        <v>0.28437080161218092</v>
      </c>
      <c r="S798" s="18" t="s">
        <v>31</v>
      </c>
      <c r="T798" s="18" t="s">
        <v>32</v>
      </c>
      <c r="U798" s="18">
        <f>IF(tbl_raw[[#This Row],[Order_Status]]="Returned",1,0)</f>
        <v>0</v>
      </c>
      <c r="V798" s="18">
        <f>IF(tbl_raw[[#This Row],[Payment_Method]]="COD",1,0)</f>
        <v>0</v>
      </c>
      <c r="W798" s="21">
        <f>MIN(1,(tbl_raw[[#This Row],[Discount_Pct]]*1.4)+(tbl_raw[[#This Row],[COD_Flag]]*0.35))</f>
        <v>5.5999999999999994E-2</v>
      </c>
    </row>
    <row r="799" spans="1:23" ht="22.8" x14ac:dyDescent="0.3">
      <c r="A799" s="22" t="s">
        <v>1997</v>
      </c>
      <c r="B799" s="23" t="s">
        <v>1998</v>
      </c>
      <c r="C799" s="23" t="s">
        <v>43</v>
      </c>
      <c r="D799" s="23" t="s">
        <v>53</v>
      </c>
      <c r="E799" s="23" t="s">
        <v>54</v>
      </c>
      <c r="F799" s="23" t="s">
        <v>1999</v>
      </c>
      <c r="G799" s="23" t="s">
        <v>75</v>
      </c>
      <c r="H799" s="23" t="s">
        <v>48</v>
      </c>
      <c r="I799" s="23">
        <v>17</v>
      </c>
      <c r="J799" s="24">
        <v>3582</v>
      </c>
      <c r="K799" s="24">
        <v>2472</v>
      </c>
      <c r="L799" s="25">
        <v>0.31</v>
      </c>
      <c r="M799" s="24">
        <v>2243</v>
      </c>
      <c r="N799" s="24">
        <f>(tbl_raw[[#This Row],[Selling_Price]]-tbl_raw[[#This Row],[Cost_Price]])*tbl_raw[[#This Row],[Units_Sold]]</f>
        <v>3893</v>
      </c>
      <c r="O799" s="25">
        <f>IFERROR((tbl_raw[[#This Row],[Selling_Price]]-tbl_raw[[#This Row],[Cost_Price]]) / tbl_raw[[#This Row],[Selling_Price]],0)</f>
        <v>9.263754045307443E-2</v>
      </c>
      <c r="P799" s="24">
        <v>174</v>
      </c>
      <c r="Q799" s="24">
        <f>tbl_raw[[#This Row],[Gross_Profit]]-(tbl_raw[[#This Row],[Shipping_Cost]]*tbl_raw[[#This Row],[Units_Sold]])</f>
        <v>935</v>
      </c>
      <c r="R799" s="25">
        <f>IFERROR(tbl_raw[[#This Row],[Net_Profit]]/(tbl_raw[[#This Row],[Selling_Price]]*tbl_raw[[#This Row],[Units_Sold]]),0)</f>
        <v>2.2249190938511326E-2</v>
      </c>
      <c r="S799" s="23" t="s">
        <v>40</v>
      </c>
      <c r="T799" s="23" t="s">
        <v>49</v>
      </c>
      <c r="U799" s="23">
        <f>IF(tbl_raw[[#This Row],[Order_Status]]="Returned",1,0)</f>
        <v>0</v>
      </c>
      <c r="V799" s="23">
        <f>IF(tbl_raw[[#This Row],[Payment_Method]]="COD",1,0)</f>
        <v>1</v>
      </c>
      <c r="W799" s="26">
        <f>MIN(1,(tbl_raw[[#This Row],[Discount_Pct]]*1.4)+(tbl_raw[[#This Row],[COD_Flag]]*0.35))</f>
        <v>0.78400000000000003</v>
      </c>
    </row>
    <row r="800" spans="1:23" ht="22.8" x14ac:dyDescent="0.3">
      <c r="A800" s="17" t="s">
        <v>2000</v>
      </c>
      <c r="B800" s="18" t="s">
        <v>1008</v>
      </c>
      <c r="C800" s="18" t="s">
        <v>199</v>
      </c>
      <c r="D800" s="18" t="s">
        <v>94</v>
      </c>
      <c r="E800" s="18" t="s">
        <v>207</v>
      </c>
      <c r="F800" s="18" t="s">
        <v>2001</v>
      </c>
      <c r="G800" s="18" t="s">
        <v>120</v>
      </c>
      <c r="H800" s="18" t="s">
        <v>39</v>
      </c>
      <c r="I800" s="18">
        <v>9</v>
      </c>
      <c r="J800" s="19">
        <v>1966</v>
      </c>
      <c r="K800" s="19">
        <v>1416</v>
      </c>
      <c r="L800" s="20">
        <v>0.28000000000000003</v>
      </c>
      <c r="M800" s="19">
        <v>1279</v>
      </c>
      <c r="N800" s="19">
        <f>(tbl_raw[[#This Row],[Selling_Price]]-tbl_raw[[#This Row],[Cost_Price]])*tbl_raw[[#This Row],[Units_Sold]]</f>
        <v>1233</v>
      </c>
      <c r="O800" s="20">
        <f>IFERROR((tbl_raw[[#This Row],[Selling_Price]]-tbl_raw[[#This Row],[Cost_Price]]) / tbl_raw[[#This Row],[Selling_Price]],0)</f>
        <v>9.6751412429378528E-2</v>
      </c>
      <c r="P800" s="19">
        <v>89</v>
      </c>
      <c r="Q800" s="19">
        <f>tbl_raw[[#This Row],[Gross_Profit]]-(tbl_raw[[#This Row],[Shipping_Cost]]*tbl_raw[[#This Row],[Units_Sold]])</f>
        <v>432</v>
      </c>
      <c r="R800" s="20">
        <f>IFERROR(tbl_raw[[#This Row],[Net_Profit]]/(tbl_raw[[#This Row],[Selling_Price]]*tbl_raw[[#This Row],[Units_Sold]]),0)</f>
        <v>3.3898305084745763E-2</v>
      </c>
      <c r="S800" s="18" t="s">
        <v>58</v>
      </c>
      <c r="T800" s="18" t="s">
        <v>86</v>
      </c>
      <c r="U800" s="18">
        <f>IF(tbl_raw[[#This Row],[Order_Status]]="Returned",1,0)</f>
        <v>1</v>
      </c>
      <c r="V800" s="18">
        <f>IF(tbl_raw[[#This Row],[Payment_Method]]="COD",1,0)</f>
        <v>0</v>
      </c>
      <c r="W800" s="21">
        <f>MIN(1,(tbl_raw[[#This Row],[Discount_Pct]]*1.4)+(tbl_raw[[#This Row],[COD_Flag]]*0.35))</f>
        <v>0.39200000000000002</v>
      </c>
    </row>
    <row r="801" spans="1:23" ht="22.8" x14ac:dyDescent="0.3">
      <c r="A801" s="22" t="s">
        <v>2002</v>
      </c>
      <c r="B801" s="23" t="s">
        <v>917</v>
      </c>
      <c r="C801" s="23" t="s">
        <v>156</v>
      </c>
      <c r="D801" s="23" t="s">
        <v>62</v>
      </c>
      <c r="E801" s="23" t="s">
        <v>203</v>
      </c>
      <c r="F801" s="23" t="s">
        <v>2003</v>
      </c>
      <c r="G801" s="23" t="s">
        <v>29</v>
      </c>
      <c r="H801" s="23" t="s">
        <v>30</v>
      </c>
      <c r="I801" s="23">
        <v>12</v>
      </c>
      <c r="J801" s="24">
        <v>5168</v>
      </c>
      <c r="K801" s="24">
        <v>3514</v>
      </c>
      <c r="L801" s="25">
        <v>0.32</v>
      </c>
      <c r="M801" s="24">
        <v>2588</v>
      </c>
      <c r="N801" s="24">
        <f>(tbl_raw[[#This Row],[Selling_Price]]-tbl_raw[[#This Row],[Cost_Price]])*tbl_raw[[#This Row],[Units_Sold]]</f>
        <v>11112</v>
      </c>
      <c r="O801" s="25">
        <f>IFERROR((tbl_raw[[#This Row],[Selling_Price]]-tbl_raw[[#This Row],[Cost_Price]]) / tbl_raw[[#This Row],[Selling_Price]],0)</f>
        <v>0.263517359134889</v>
      </c>
      <c r="P801" s="24">
        <v>30</v>
      </c>
      <c r="Q801" s="24">
        <f>tbl_raw[[#This Row],[Gross_Profit]]-(tbl_raw[[#This Row],[Shipping_Cost]]*tbl_raw[[#This Row],[Units_Sold]])</f>
        <v>10752</v>
      </c>
      <c r="R801" s="25">
        <f>IFERROR(tbl_raw[[#This Row],[Net_Profit]]/(tbl_raw[[#This Row],[Selling_Price]]*tbl_raw[[#This Row],[Units_Sold]]),0)</f>
        <v>0.2549800796812749</v>
      </c>
      <c r="S801" s="23" t="s">
        <v>40</v>
      </c>
      <c r="T801" s="23" t="s">
        <v>86</v>
      </c>
      <c r="U801" s="23">
        <f>IF(tbl_raw[[#This Row],[Order_Status]]="Returned",1,0)</f>
        <v>1</v>
      </c>
      <c r="V801" s="23">
        <f>IF(tbl_raw[[#This Row],[Payment_Method]]="COD",1,0)</f>
        <v>1</v>
      </c>
      <c r="W801" s="26">
        <f>MIN(1,(tbl_raw[[#This Row],[Discount_Pct]]*1.4)+(tbl_raw[[#This Row],[COD_Flag]]*0.35))</f>
        <v>0.79799999999999993</v>
      </c>
    </row>
    <row r="802" spans="1:23" ht="22.8" x14ac:dyDescent="0.3">
      <c r="A802" s="17" t="s">
        <v>2004</v>
      </c>
      <c r="B802" s="18" t="s">
        <v>384</v>
      </c>
      <c r="C802" s="18" t="s">
        <v>117</v>
      </c>
      <c r="D802" s="18" t="s">
        <v>53</v>
      </c>
      <c r="E802" s="18" t="s">
        <v>145</v>
      </c>
      <c r="F802" s="18" t="s">
        <v>2005</v>
      </c>
      <c r="G802" s="18" t="s">
        <v>56</v>
      </c>
      <c r="H802" s="18" t="s">
        <v>57</v>
      </c>
      <c r="I802" s="18">
        <v>3</v>
      </c>
      <c r="J802" s="19">
        <v>1500</v>
      </c>
      <c r="K802" s="19">
        <v>1275</v>
      </c>
      <c r="L802" s="20">
        <v>0.15</v>
      </c>
      <c r="M802" s="19">
        <v>839</v>
      </c>
      <c r="N802" s="19">
        <f>(tbl_raw[[#This Row],[Selling_Price]]-tbl_raw[[#This Row],[Cost_Price]])*tbl_raw[[#This Row],[Units_Sold]]</f>
        <v>1308</v>
      </c>
      <c r="O802" s="20">
        <f>IFERROR((tbl_raw[[#This Row],[Selling_Price]]-tbl_raw[[#This Row],[Cost_Price]]) / tbl_raw[[#This Row],[Selling_Price]],0)</f>
        <v>0.34196078431372551</v>
      </c>
      <c r="P802" s="19">
        <v>174</v>
      </c>
      <c r="Q802" s="19">
        <f>tbl_raw[[#This Row],[Gross_Profit]]-(tbl_raw[[#This Row],[Shipping_Cost]]*tbl_raw[[#This Row],[Units_Sold]])</f>
        <v>786</v>
      </c>
      <c r="R802" s="20">
        <f>IFERROR(tbl_raw[[#This Row],[Net_Profit]]/(tbl_raw[[#This Row],[Selling_Price]]*tbl_raw[[#This Row],[Units_Sold]]),0)</f>
        <v>0.20549019607843139</v>
      </c>
      <c r="S802" s="18" t="s">
        <v>31</v>
      </c>
      <c r="T802" s="18" t="s">
        <v>32</v>
      </c>
      <c r="U802" s="18">
        <f>IF(tbl_raw[[#This Row],[Order_Status]]="Returned",1,0)</f>
        <v>0</v>
      </c>
      <c r="V802" s="18">
        <f>IF(tbl_raw[[#This Row],[Payment_Method]]="COD",1,0)</f>
        <v>0</v>
      </c>
      <c r="W802" s="21">
        <f>MIN(1,(tbl_raw[[#This Row],[Discount_Pct]]*1.4)+(tbl_raw[[#This Row],[COD_Flag]]*0.35))</f>
        <v>0.21</v>
      </c>
    </row>
    <row r="803" spans="1:23" ht="22.8" x14ac:dyDescent="0.3">
      <c r="A803" s="22" t="s">
        <v>2006</v>
      </c>
      <c r="B803" s="23" t="s">
        <v>691</v>
      </c>
      <c r="C803" s="23" t="s">
        <v>99</v>
      </c>
      <c r="D803" s="23" t="s">
        <v>164</v>
      </c>
      <c r="E803" s="23" t="s">
        <v>265</v>
      </c>
      <c r="F803" s="23" t="s">
        <v>2007</v>
      </c>
      <c r="G803" s="23" t="s">
        <v>56</v>
      </c>
      <c r="H803" s="23" t="s">
        <v>57</v>
      </c>
      <c r="I803" s="23">
        <v>16</v>
      </c>
      <c r="J803" s="24">
        <v>4749</v>
      </c>
      <c r="K803" s="24">
        <v>3704</v>
      </c>
      <c r="L803" s="25">
        <v>0.22</v>
      </c>
      <c r="M803" s="24">
        <v>2311</v>
      </c>
      <c r="N803" s="24">
        <f>(tbl_raw[[#This Row],[Selling_Price]]-tbl_raw[[#This Row],[Cost_Price]])*tbl_raw[[#This Row],[Units_Sold]]</f>
        <v>22288</v>
      </c>
      <c r="O803" s="25">
        <f>IFERROR((tbl_raw[[#This Row],[Selling_Price]]-tbl_raw[[#This Row],[Cost_Price]]) / tbl_raw[[#This Row],[Selling_Price]],0)</f>
        <v>0.37607991360691145</v>
      </c>
      <c r="P803" s="24">
        <v>46</v>
      </c>
      <c r="Q803" s="24">
        <f>tbl_raw[[#This Row],[Gross_Profit]]-(tbl_raw[[#This Row],[Shipping_Cost]]*tbl_raw[[#This Row],[Units_Sold]])</f>
        <v>21552</v>
      </c>
      <c r="R803" s="25">
        <f>IFERROR(tbl_raw[[#This Row],[Net_Profit]]/(tbl_raw[[#This Row],[Selling_Price]]*tbl_raw[[#This Row],[Units_Sold]]),0)</f>
        <v>0.36366090712742982</v>
      </c>
      <c r="S803" s="23" t="s">
        <v>58</v>
      </c>
      <c r="T803" s="23" t="s">
        <v>49</v>
      </c>
      <c r="U803" s="23">
        <f>IF(tbl_raw[[#This Row],[Order_Status]]="Returned",1,0)</f>
        <v>0</v>
      </c>
      <c r="V803" s="23">
        <f>IF(tbl_raw[[#This Row],[Payment_Method]]="COD",1,0)</f>
        <v>0</v>
      </c>
      <c r="W803" s="26">
        <f>MIN(1,(tbl_raw[[#This Row],[Discount_Pct]]*1.4)+(tbl_raw[[#This Row],[COD_Flag]]*0.35))</f>
        <v>0.308</v>
      </c>
    </row>
    <row r="804" spans="1:23" ht="22.8" x14ac:dyDescent="0.3">
      <c r="A804" s="17" t="s">
        <v>2008</v>
      </c>
      <c r="B804" s="18" t="s">
        <v>34</v>
      </c>
      <c r="C804" s="18" t="s">
        <v>35</v>
      </c>
      <c r="D804" s="18" t="s">
        <v>164</v>
      </c>
      <c r="E804" s="18" t="s">
        <v>165</v>
      </c>
      <c r="F804" s="18" t="s">
        <v>2009</v>
      </c>
      <c r="G804" s="18" t="s">
        <v>120</v>
      </c>
      <c r="H804" s="18" t="s">
        <v>39</v>
      </c>
      <c r="I804" s="18">
        <v>4</v>
      </c>
      <c r="J804" s="19">
        <v>2576</v>
      </c>
      <c r="K804" s="19">
        <v>1726</v>
      </c>
      <c r="L804" s="20">
        <v>0.33</v>
      </c>
      <c r="M804" s="19">
        <v>1438</v>
      </c>
      <c r="N804" s="19">
        <f>(tbl_raw[[#This Row],[Selling_Price]]-tbl_raw[[#This Row],[Cost_Price]])*tbl_raw[[#This Row],[Units_Sold]]</f>
        <v>1152</v>
      </c>
      <c r="O804" s="20">
        <f>IFERROR((tbl_raw[[#This Row],[Selling_Price]]-tbl_raw[[#This Row],[Cost_Price]]) / tbl_raw[[#This Row],[Selling_Price]],0)</f>
        <v>0.16685979142526072</v>
      </c>
      <c r="P804" s="19">
        <v>140</v>
      </c>
      <c r="Q804" s="19">
        <f>tbl_raw[[#This Row],[Gross_Profit]]-(tbl_raw[[#This Row],[Shipping_Cost]]*tbl_raw[[#This Row],[Units_Sold]])</f>
        <v>592</v>
      </c>
      <c r="R804" s="20">
        <f>IFERROR(tbl_raw[[#This Row],[Net_Profit]]/(tbl_raw[[#This Row],[Selling_Price]]*tbl_raw[[#This Row],[Units_Sold]]),0)</f>
        <v>8.574739281575898E-2</v>
      </c>
      <c r="S804" s="18" t="s">
        <v>65</v>
      </c>
      <c r="T804" s="18" t="s">
        <v>32</v>
      </c>
      <c r="U804" s="18">
        <f>IF(tbl_raw[[#This Row],[Order_Status]]="Returned",1,0)</f>
        <v>0</v>
      </c>
      <c r="V804" s="18">
        <f>IF(tbl_raw[[#This Row],[Payment_Method]]="COD",1,0)</f>
        <v>0</v>
      </c>
      <c r="W804" s="21">
        <f>MIN(1,(tbl_raw[[#This Row],[Discount_Pct]]*1.4)+(tbl_raw[[#This Row],[COD_Flag]]*0.35))</f>
        <v>0.46199999999999997</v>
      </c>
    </row>
    <row r="805" spans="1:23" ht="22.8" x14ac:dyDescent="0.3">
      <c r="A805" s="22" t="s">
        <v>2010</v>
      </c>
      <c r="B805" s="23" t="s">
        <v>109</v>
      </c>
      <c r="C805" s="23" t="s">
        <v>89</v>
      </c>
      <c r="D805" s="23" t="s">
        <v>26</v>
      </c>
      <c r="E805" s="23" t="s">
        <v>27</v>
      </c>
      <c r="F805" s="23" t="s">
        <v>2011</v>
      </c>
      <c r="G805" s="23" t="s">
        <v>56</v>
      </c>
      <c r="H805" s="23" t="s">
        <v>57</v>
      </c>
      <c r="I805" s="23">
        <v>17</v>
      </c>
      <c r="J805" s="24">
        <v>6241</v>
      </c>
      <c r="K805" s="24">
        <v>3807</v>
      </c>
      <c r="L805" s="25">
        <v>0.39</v>
      </c>
      <c r="M805" s="24">
        <v>4467</v>
      </c>
      <c r="N805" s="24">
        <f>(tbl_raw[[#This Row],[Selling_Price]]-tbl_raw[[#This Row],[Cost_Price]])*tbl_raw[[#This Row],[Units_Sold]]</f>
        <v>-11220</v>
      </c>
      <c r="O805" s="25">
        <f>IFERROR((tbl_raw[[#This Row],[Selling_Price]]-tbl_raw[[#This Row],[Cost_Price]]) / tbl_raw[[#This Row],[Selling_Price]],0)</f>
        <v>-0.17336485421591805</v>
      </c>
      <c r="P805" s="24">
        <v>119</v>
      </c>
      <c r="Q805" s="24">
        <f>tbl_raw[[#This Row],[Gross_Profit]]-(tbl_raw[[#This Row],[Shipping_Cost]]*tbl_raw[[#This Row],[Units_Sold]])</f>
        <v>-13243</v>
      </c>
      <c r="R805" s="25">
        <f>IFERROR(tbl_raw[[#This Row],[Net_Profit]]/(tbl_raw[[#This Row],[Selling_Price]]*tbl_raw[[#This Row],[Units_Sold]]),0)</f>
        <v>-0.20462306277909115</v>
      </c>
      <c r="S805" s="23" t="s">
        <v>58</v>
      </c>
      <c r="T805" s="23" t="s">
        <v>32</v>
      </c>
      <c r="U805" s="23">
        <f>IF(tbl_raw[[#This Row],[Order_Status]]="Returned",1,0)</f>
        <v>0</v>
      </c>
      <c r="V805" s="23">
        <f>IF(tbl_raw[[#This Row],[Payment_Method]]="COD",1,0)</f>
        <v>0</v>
      </c>
      <c r="W805" s="26">
        <f>MIN(1,(tbl_raw[[#This Row],[Discount_Pct]]*1.4)+(tbl_raw[[#This Row],[COD_Flag]]*0.35))</f>
        <v>0.54599999999999993</v>
      </c>
    </row>
    <row r="806" spans="1:23" ht="22.8" x14ac:dyDescent="0.3">
      <c r="A806" s="17" t="s">
        <v>2012</v>
      </c>
      <c r="B806" s="18" t="s">
        <v>819</v>
      </c>
      <c r="C806" s="18" t="s">
        <v>25</v>
      </c>
      <c r="D806" s="18" t="s">
        <v>164</v>
      </c>
      <c r="E806" s="18" t="s">
        <v>251</v>
      </c>
      <c r="F806" s="18" t="s">
        <v>2013</v>
      </c>
      <c r="G806" s="18" t="s">
        <v>29</v>
      </c>
      <c r="H806" s="18" t="s">
        <v>30</v>
      </c>
      <c r="I806" s="18">
        <v>5</v>
      </c>
      <c r="J806" s="19">
        <v>2986</v>
      </c>
      <c r="K806" s="19">
        <v>2956</v>
      </c>
      <c r="L806" s="20">
        <v>0.01</v>
      </c>
      <c r="M806" s="19">
        <v>1798</v>
      </c>
      <c r="N806" s="19">
        <f>(tbl_raw[[#This Row],[Selling_Price]]-tbl_raw[[#This Row],[Cost_Price]])*tbl_raw[[#This Row],[Units_Sold]]</f>
        <v>5790</v>
      </c>
      <c r="O806" s="20">
        <f>IFERROR((tbl_raw[[#This Row],[Selling_Price]]-tbl_raw[[#This Row],[Cost_Price]]) / tbl_raw[[#This Row],[Selling_Price]],0)</f>
        <v>0.39174560216508797</v>
      </c>
      <c r="P806" s="19">
        <v>134</v>
      </c>
      <c r="Q806" s="19">
        <f>tbl_raw[[#This Row],[Gross_Profit]]-(tbl_raw[[#This Row],[Shipping_Cost]]*tbl_raw[[#This Row],[Units_Sold]])</f>
        <v>5120</v>
      </c>
      <c r="R806" s="20">
        <f>IFERROR(tbl_raw[[#This Row],[Net_Profit]]/(tbl_raw[[#This Row],[Selling_Price]]*tbl_raw[[#This Row],[Units_Sold]]),0)</f>
        <v>0.34641407307171856</v>
      </c>
      <c r="S806" s="18" t="s">
        <v>31</v>
      </c>
      <c r="T806" s="18" t="s">
        <v>32</v>
      </c>
      <c r="U806" s="18">
        <f>IF(tbl_raw[[#This Row],[Order_Status]]="Returned",1,0)</f>
        <v>0</v>
      </c>
      <c r="V806" s="18">
        <f>IF(tbl_raw[[#This Row],[Payment_Method]]="COD",1,0)</f>
        <v>0</v>
      </c>
      <c r="W806" s="21">
        <f>MIN(1,(tbl_raw[[#This Row],[Discount_Pct]]*1.4)+(tbl_raw[[#This Row],[COD_Flag]]*0.35))</f>
        <v>1.3999999999999999E-2</v>
      </c>
    </row>
    <row r="807" spans="1:23" ht="22.8" x14ac:dyDescent="0.3">
      <c r="A807" s="22" t="s">
        <v>2014</v>
      </c>
      <c r="B807" s="23" t="s">
        <v>241</v>
      </c>
      <c r="C807" s="23" t="s">
        <v>35</v>
      </c>
      <c r="D807" s="23" t="s">
        <v>175</v>
      </c>
      <c r="E807" s="23" t="s">
        <v>190</v>
      </c>
      <c r="F807" s="23" t="s">
        <v>2015</v>
      </c>
      <c r="G807" s="23" t="s">
        <v>38</v>
      </c>
      <c r="H807" s="23" t="s">
        <v>39</v>
      </c>
      <c r="I807" s="23">
        <v>15</v>
      </c>
      <c r="J807" s="24">
        <v>7901</v>
      </c>
      <c r="K807" s="24">
        <v>4820</v>
      </c>
      <c r="L807" s="25">
        <v>0.39</v>
      </c>
      <c r="M807" s="24">
        <v>3644</v>
      </c>
      <c r="N807" s="24">
        <f>(tbl_raw[[#This Row],[Selling_Price]]-tbl_raw[[#This Row],[Cost_Price]])*tbl_raw[[#This Row],[Units_Sold]]</f>
        <v>17640</v>
      </c>
      <c r="O807" s="25">
        <f>IFERROR((tbl_raw[[#This Row],[Selling_Price]]-tbl_raw[[#This Row],[Cost_Price]]) / tbl_raw[[#This Row],[Selling_Price]],0)</f>
        <v>0.24398340248962655</v>
      </c>
      <c r="P807" s="24">
        <v>167</v>
      </c>
      <c r="Q807" s="24">
        <f>tbl_raw[[#This Row],[Gross_Profit]]-(tbl_raw[[#This Row],[Shipping_Cost]]*tbl_raw[[#This Row],[Units_Sold]])</f>
        <v>15135</v>
      </c>
      <c r="R807" s="25">
        <f>IFERROR(tbl_raw[[#This Row],[Net_Profit]]/(tbl_raw[[#This Row],[Selling_Price]]*tbl_raw[[#This Row],[Units_Sold]]),0)</f>
        <v>0.20933609958506225</v>
      </c>
      <c r="S807" s="23" t="s">
        <v>107</v>
      </c>
      <c r="T807" s="23" t="s">
        <v>32</v>
      </c>
      <c r="U807" s="23">
        <f>IF(tbl_raw[[#This Row],[Order_Status]]="Returned",1,0)</f>
        <v>0</v>
      </c>
      <c r="V807" s="23">
        <f>IF(tbl_raw[[#This Row],[Payment_Method]]="COD",1,0)</f>
        <v>0</v>
      </c>
      <c r="W807" s="26">
        <f>MIN(1,(tbl_raw[[#This Row],[Discount_Pct]]*1.4)+(tbl_raw[[#This Row],[COD_Flag]]*0.35))</f>
        <v>0.54599999999999993</v>
      </c>
    </row>
    <row r="808" spans="1:23" ht="22.8" x14ac:dyDescent="0.3">
      <c r="A808" s="17" t="s">
        <v>2016</v>
      </c>
      <c r="B808" s="18" t="s">
        <v>61</v>
      </c>
      <c r="C808" s="18" t="s">
        <v>52</v>
      </c>
      <c r="D808" s="18" t="s">
        <v>53</v>
      </c>
      <c r="E808" s="18" t="s">
        <v>145</v>
      </c>
      <c r="F808" s="18" t="s">
        <v>2017</v>
      </c>
      <c r="G808" s="18" t="s">
        <v>102</v>
      </c>
      <c r="H808" s="18" t="s">
        <v>39</v>
      </c>
      <c r="I808" s="18">
        <v>17</v>
      </c>
      <c r="J808" s="19">
        <v>5674</v>
      </c>
      <c r="K808" s="19">
        <v>3518</v>
      </c>
      <c r="L808" s="20">
        <v>0.38</v>
      </c>
      <c r="M808" s="19">
        <v>2514</v>
      </c>
      <c r="N808" s="19">
        <f>(tbl_raw[[#This Row],[Selling_Price]]-tbl_raw[[#This Row],[Cost_Price]])*tbl_raw[[#This Row],[Units_Sold]]</f>
        <v>17068</v>
      </c>
      <c r="O808" s="20">
        <f>IFERROR((tbl_raw[[#This Row],[Selling_Price]]-tbl_raw[[#This Row],[Cost_Price]]) / tbl_raw[[#This Row],[Selling_Price]],0)</f>
        <v>0.28538942581011939</v>
      </c>
      <c r="P808" s="19">
        <v>149</v>
      </c>
      <c r="Q808" s="19">
        <f>tbl_raw[[#This Row],[Gross_Profit]]-(tbl_raw[[#This Row],[Shipping_Cost]]*tbl_raw[[#This Row],[Units_Sold]])</f>
        <v>14535</v>
      </c>
      <c r="R808" s="20">
        <f>IFERROR(tbl_raw[[#This Row],[Net_Profit]]/(tbl_raw[[#This Row],[Selling_Price]]*tbl_raw[[#This Row],[Units_Sold]]),0)</f>
        <v>0.24303581580443434</v>
      </c>
      <c r="S808" s="18" t="s">
        <v>65</v>
      </c>
      <c r="T808" s="18" t="s">
        <v>86</v>
      </c>
      <c r="U808" s="18">
        <f>IF(tbl_raw[[#This Row],[Order_Status]]="Returned",1,0)</f>
        <v>1</v>
      </c>
      <c r="V808" s="18">
        <f>IF(tbl_raw[[#This Row],[Payment_Method]]="COD",1,0)</f>
        <v>0</v>
      </c>
      <c r="W808" s="21">
        <f>MIN(1,(tbl_raw[[#This Row],[Discount_Pct]]*1.4)+(tbl_raw[[#This Row],[COD_Flag]]*0.35))</f>
        <v>0.53199999999999992</v>
      </c>
    </row>
    <row r="809" spans="1:23" ht="22.8" x14ac:dyDescent="0.3">
      <c r="A809" s="22" t="s">
        <v>2018</v>
      </c>
      <c r="B809" s="23" t="s">
        <v>1411</v>
      </c>
      <c r="C809" s="23" t="s">
        <v>99</v>
      </c>
      <c r="D809" s="23" t="s">
        <v>26</v>
      </c>
      <c r="E809" s="23" t="s">
        <v>168</v>
      </c>
      <c r="F809" s="23" t="s">
        <v>2019</v>
      </c>
      <c r="G809" s="23" t="s">
        <v>81</v>
      </c>
      <c r="H809" s="23" t="s">
        <v>30</v>
      </c>
      <c r="I809" s="23">
        <v>15</v>
      </c>
      <c r="J809" s="24">
        <v>5511</v>
      </c>
      <c r="K809" s="24">
        <v>4188</v>
      </c>
      <c r="L809" s="25">
        <v>0.24</v>
      </c>
      <c r="M809" s="24">
        <v>2763</v>
      </c>
      <c r="N809" s="24">
        <f>(tbl_raw[[#This Row],[Selling_Price]]-tbl_raw[[#This Row],[Cost_Price]])*tbl_raw[[#This Row],[Units_Sold]]</f>
        <v>21375</v>
      </c>
      <c r="O809" s="25">
        <f>IFERROR((tbl_raw[[#This Row],[Selling_Price]]-tbl_raw[[#This Row],[Cost_Price]]) / tbl_raw[[#This Row],[Selling_Price]],0)</f>
        <v>0.34025787965616044</v>
      </c>
      <c r="P809" s="24">
        <v>114</v>
      </c>
      <c r="Q809" s="24">
        <f>tbl_raw[[#This Row],[Gross_Profit]]-(tbl_raw[[#This Row],[Shipping_Cost]]*tbl_raw[[#This Row],[Units_Sold]])</f>
        <v>19665</v>
      </c>
      <c r="R809" s="25">
        <f>IFERROR(tbl_raw[[#This Row],[Net_Profit]]/(tbl_raw[[#This Row],[Selling_Price]]*tbl_raw[[#This Row],[Units_Sold]]),0)</f>
        <v>0.31303724928366761</v>
      </c>
      <c r="S809" s="23" t="s">
        <v>40</v>
      </c>
      <c r="T809" s="23" t="s">
        <v>32</v>
      </c>
      <c r="U809" s="23">
        <f>IF(tbl_raw[[#This Row],[Order_Status]]="Returned",1,0)</f>
        <v>0</v>
      </c>
      <c r="V809" s="23">
        <f>IF(tbl_raw[[#This Row],[Payment_Method]]="COD",1,0)</f>
        <v>1</v>
      </c>
      <c r="W809" s="26">
        <f>MIN(1,(tbl_raw[[#This Row],[Discount_Pct]]*1.4)+(tbl_raw[[#This Row],[COD_Flag]]*0.35))</f>
        <v>0.68599999999999994</v>
      </c>
    </row>
    <row r="810" spans="1:23" ht="22.8" x14ac:dyDescent="0.3">
      <c r="A810" s="17" t="s">
        <v>2020</v>
      </c>
      <c r="B810" s="18" t="s">
        <v>2021</v>
      </c>
      <c r="C810" s="18" t="s">
        <v>99</v>
      </c>
      <c r="D810" s="18" t="s">
        <v>62</v>
      </c>
      <c r="E810" s="18" t="s">
        <v>110</v>
      </c>
      <c r="F810" s="18" t="s">
        <v>2022</v>
      </c>
      <c r="G810" s="18" t="s">
        <v>143</v>
      </c>
      <c r="H810" s="18" t="s">
        <v>30</v>
      </c>
      <c r="I810" s="18">
        <v>19</v>
      </c>
      <c r="J810" s="19">
        <v>1163</v>
      </c>
      <c r="K810" s="19">
        <v>907</v>
      </c>
      <c r="L810" s="20">
        <v>0.22</v>
      </c>
      <c r="M810" s="19">
        <v>467</v>
      </c>
      <c r="N810" s="19">
        <f>(tbl_raw[[#This Row],[Selling_Price]]-tbl_raw[[#This Row],[Cost_Price]])*tbl_raw[[#This Row],[Units_Sold]]</f>
        <v>8360</v>
      </c>
      <c r="O810" s="20">
        <f>IFERROR((tbl_raw[[#This Row],[Selling_Price]]-tbl_raw[[#This Row],[Cost_Price]]) / tbl_raw[[#This Row],[Selling_Price]],0)</f>
        <v>0.48511576626240355</v>
      </c>
      <c r="P810" s="19">
        <v>83</v>
      </c>
      <c r="Q810" s="19">
        <f>tbl_raw[[#This Row],[Gross_Profit]]-(tbl_raw[[#This Row],[Shipping_Cost]]*tbl_raw[[#This Row],[Units_Sold]])</f>
        <v>6783</v>
      </c>
      <c r="R810" s="20">
        <f>IFERROR(tbl_raw[[#This Row],[Net_Profit]]/(tbl_raw[[#This Row],[Selling_Price]]*tbl_raw[[#This Row],[Units_Sold]]),0)</f>
        <v>0.39360529217199558</v>
      </c>
      <c r="S810" s="18" t="s">
        <v>58</v>
      </c>
      <c r="T810" s="18" t="s">
        <v>32</v>
      </c>
      <c r="U810" s="18">
        <f>IF(tbl_raw[[#This Row],[Order_Status]]="Returned",1,0)</f>
        <v>0</v>
      </c>
      <c r="V810" s="18">
        <f>IF(tbl_raw[[#This Row],[Payment_Method]]="COD",1,0)</f>
        <v>0</v>
      </c>
      <c r="W810" s="21">
        <f>MIN(1,(tbl_raw[[#This Row],[Discount_Pct]]*1.4)+(tbl_raw[[#This Row],[COD_Flag]]*0.35))</f>
        <v>0.308</v>
      </c>
    </row>
    <row r="811" spans="1:23" ht="22.8" x14ac:dyDescent="0.3">
      <c r="A811" s="22" t="s">
        <v>2023</v>
      </c>
      <c r="B811" s="23" t="s">
        <v>128</v>
      </c>
      <c r="C811" s="23" t="s">
        <v>99</v>
      </c>
      <c r="D811" s="23" t="s">
        <v>164</v>
      </c>
      <c r="E811" s="23" t="s">
        <v>265</v>
      </c>
      <c r="F811" s="23" t="s">
        <v>2024</v>
      </c>
      <c r="G811" s="23" t="s">
        <v>143</v>
      </c>
      <c r="H811" s="23" t="s">
        <v>30</v>
      </c>
      <c r="I811" s="23">
        <v>5</v>
      </c>
      <c r="J811" s="24">
        <v>7968</v>
      </c>
      <c r="K811" s="24">
        <v>7251</v>
      </c>
      <c r="L811" s="25">
        <v>0.09</v>
      </c>
      <c r="M811" s="24">
        <v>4819</v>
      </c>
      <c r="N811" s="24">
        <f>(tbl_raw[[#This Row],[Selling_Price]]-tbl_raw[[#This Row],[Cost_Price]])*tbl_raw[[#This Row],[Units_Sold]]</f>
        <v>12160</v>
      </c>
      <c r="O811" s="25">
        <f>IFERROR((tbl_raw[[#This Row],[Selling_Price]]-tbl_raw[[#This Row],[Cost_Price]]) / tbl_raw[[#This Row],[Selling_Price]],0)</f>
        <v>0.33540201351537718</v>
      </c>
      <c r="P811" s="24">
        <v>42</v>
      </c>
      <c r="Q811" s="24">
        <f>tbl_raw[[#This Row],[Gross_Profit]]-(tbl_raw[[#This Row],[Shipping_Cost]]*tbl_raw[[#This Row],[Units_Sold]])</f>
        <v>11950</v>
      </c>
      <c r="R811" s="25">
        <f>IFERROR(tbl_raw[[#This Row],[Net_Profit]]/(tbl_raw[[#This Row],[Selling_Price]]*tbl_raw[[#This Row],[Units_Sold]]),0)</f>
        <v>0.32960970900565439</v>
      </c>
      <c r="S811" s="23" t="s">
        <v>40</v>
      </c>
      <c r="T811" s="23" t="s">
        <v>49</v>
      </c>
      <c r="U811" s="23">
        <f>IF(tbl_raw[[#This Row],[Order_Status]]="Returned",1,0)</f>
        <v>0</v>
      </c>
      <c r="V811" s="23">
        <f>IF(tbl_raw[[#This Row],[Payment_Method]]="COD",1,0)</f>
        <v>1</v>
      </c>
      <c r="W811" s="26">
        <f>MIN(1,(tbl_raw[[#This Row],[Discount_Pct]]*1.4)+(tbl_raw[[#This Row],[COD_Flag]]*0.35))</f>
        <v>0.47599999999999998</v>
      </c>
    </row>
    <row r="812" spans="1:23" ht="22.8" x14ac:dyDescent="0.3">
      <c r="A812" s="17" t="s">
        <v>2025</v>
      </c>
      <c r="B812" s="18" t="s">
        <v>651</v>
      </c>
      <c r="C812" s="18" t="s">
        <v>35</v>
      </c>
      <c r="D812" s="18" t="s">
        <v>78</v>
      </c>
      <c r="E812" s="18" t="s">
        <v>534</v>
      </c>
      <c r="F812" s="18" t="s">
        <v>2026</v>
      </c>
      <c r="G812" s="18" t="s">
        <v>120</v>
      </c>
      <c r="H812" s="18" t="s">
        <v>39</v>
      </c>
      <c r="I812" s="18">
        <v>9</v>
      </c>
      <c r="J812" s="19">
        <v>7378</v>
      </c>
      <c r="K812" s="19">
        <v>5386</v>
      </c>
      <c r="L812" s="20">
        <v>0.27</v>
      </c>
      <c r="M812" s="19">
        <v>3399</v>
      </c>
      <c r="N812" s="19">
        <f>(tbl_raw[[#This Row],[Selling_Price]]-tbl_raw[[#This Row],[Cost_Price]])*tbl_raw[[#This Row],[Units_Sold]]</f>
        <v>17883</v>
      </c>
      <c r="O812" s="20">
        <f>IFERROR((tbl_raw[[#This Row],[Selling_Price]]-tbl_raw[[#This Row],[Cost_Price]]) / tbl_raw[[#This Row],[Selling_Price]],0)</f>
        <v>0.36891942072038619</v>
      </c>
      <c r="P812" s="19">
        <v>95</v>
      </c>
      <c r="Q812" s="19">
        <f>tbl_raw[[#This Row],[Gross_Profit]]-(tbl_raw[[#This Row],[Shipping_Cost]]*tbl_raw[[#This Row],[Units_Sold]])</f>
        <v>17028</v>
      </c>
      <c r="R812" s="20">
        <f>IFERROR(tbl_raw[[#This Row],[Net_Profit]]/(tbl_raw[[#This Row],[Selling_Price]]*tbl_raw[[#This Row],[Units_Sold]]),0)</f>
        <v>0.35128109914593392</v>
      </c>
      <c r="S812" s="18" t="s">
        <v>107</v>
      </c>
      <c r="T812" s="18" t="s">
        <v>32</v>
      </c>
      <c r="U812" s="18">
        <f>IF(tbl_raw[[#This Row],[Order_Status]]="Returned",1,0)</f>
        <v>0</v>
      </c>
      <c r="V812" s="18">
        <f>IF(tbl_raw[[#This Row],[Payment_Method]]="COD",1,0)</f>
        <v>0</v>
      </c>
      <c r="W812" s="21">
        <f>MIN(1,(tbl_raw[[#This Row],[Discount_Pct]]*1.4)+(tbl_raw[[#This Row],[COD_Flag]]*0.35))</f>
        <v>0.378</v>
      </c>
    </row>
    <row r="813" spans="1:23" ht="22.8" x14ac:dyDescent="0.3">
      <c r="A813" s="22" t="s">
        <v>2027</v>
      </c>
      <c r="B813" s="23" t="s">
        <v>141</v>
      </c>
      <c r="C813" s="23" t="s">
        <v>35</v>
      </c>
      <c r="D813" s="23" t="s">
        <v>164</v>
      </c>
      <c r="E813" s="23" t="s">
        <v>251</v>
      </c>
      <c r="F813" s="23" t="s">
        <v>2028</v>
      </c>
      <c r="G813" s="23" t="s">
        <v>29</v>
      </c>
      <c r="H813" s="23" t="s">
        <v>30</v>
      </c>
      <c r="I813" s="23">
        <v>10</v>
      </c>
      <c r="J813" s="24">
        <v>2579</v>
      </c>
      <c r="K813" s="24">
        <v>2244</v>
      </c>
      <c r="L813" s="25">
        <v>0.13</v>
      </c>
      <c r="M813" s="24">
        <v>1868</v>
      </c>
      <c r="N813" s="24">
        <f>(tbl_raw[[#This Row],[Selling_Price]]-tbl_raw[[#This Row],[Cost_Price]])*tbl_raw[[#This Row],[Units_Sold]]</f>
        <v>3760</v>
      </c>
      <c r="O813" s="25">
        <f>IFERROR((tbl_raw[[#This Row],[Selling_Price]]-tbl_raw[[#This Row],[Cost_Price]]) / tbl_raw[[#This Row],[Selling_Price]],0)</f>
        <v>0.16755793226381463</v>
      </c>
      <c r="P813" s="24">
        <v>99</v>
      </c>
      <c r="Q813" s="24">
        <f>tbl_raw[[#This Row],[Gross_Profit]]-(tbl_raw[[#This Row],[Shipping_Cost]]*tbl_raw[[#This Row],[Units_Sold]])</f>
        <v>2770</v>
      </c>
      <c r="R813" s="25">
        <f>IFERROR(tbl_raw[[#This Row],[Net_Profit]]/(tbl_raw[[#This Row],[Selling_Price]]*tbl_raw[[#This Row],[Units_Sold]]),0)</f>
        <v>0.12344028520499109</v>
      </c>
      <c r="S813" s="23" t="s">
        <v>40</v>
      </c>
      <c r="T813" s="23" t="s">
        <v>49</v>
      </c>
      <c r="U813" s="23">
        <f>IF(tbl_raw[[#This Row],[Order_Status]]="Returned",1,0)</f>
        <v>0</v>
      </c>
      <c r="V813" s="23">
        <f>IF(tbl_raw[[#This Row],[Payment_Method]]="COD",1,0)</f>
        <v>1</v>
      </c>
      <c r="W813" s="26">
        <f>MIN(1,(tbl_raw[[#This Row],[Discount_Pct]]*1.4)+(tbl_raw[[#This Row],[COD_Flag]]*0.35))</f>
        <v>0.53200000000000003</v>
      </c>
    </row>
    <row r="814" spans="1:23" ht="22.8" x14ac:dyDescent="0.3">
      <c r="A814" s="17" t="s">
        <v>2029</v>
      </c>
      <c r="B814" s="18" t="s">
        <v>332</v>
      </c>
      <c r="C814" s="18" t="s">
        <v>52</v>
      </c>
      <c r="D814" s="18" t="s">
        <v>164</v>
      </c>
      <c r="E814" s="18" t="s">
        <v>345</v>
      </c>
      <c r="F814" s="18" t="s">
        <v>2030</v>
      </c>
      <c r="G814" s="18" t="s">
        <v>56</v>
      </c>
      <c r="H814" s="18" t="s">
        <v>57</v>
      </c>
      <c r="I814" s="18">
        <v>17</v>
      </c>
      <c r="J814" s="19">
        <v>7492</v>
      </c>
      <c r="K814" s="19">
        <v>5095</v>
      </c>
      <c r="L814" s="20">
        <v>0.32</v>
      </c>
      <c r="M814" s="19">
        <v>4225</v>
      </c>
      <c r="N814" s="19">
        <f>(tbl_raw[[#This Row],[Selling_Price]]-tbl_raw[[#This Row],[Cost_Price]])*tbl_raw[[#This Row],[Units_Sold]]</f>
        <v>14790</v>
      </c>
      <c r="O814" s="20">
        <f>IFERROR((tbl_raw[[#This Row],[Selling_Price]]-tbl_raw[[#This Row],[Cost_Price]]) / tbl_raw[[#This Row],[Selling_Price]],0)</f>
        <v>0.17075564278704614</v>
      </c>
      <c r="P814" s="19">
        <v>94</v>
      </c>
      <c r="Q814" s="19">
        <f>tbl_raw[[#This Row],[Gross_Profit]]-(tbl_raw[[#This Row],[Shipping_Cost]]*tbl_raw[[#This Row],[Units_Sold]])</f>
        <v>13192</v>
      </c>
      <c r="R814" s="20">
        <f>IFERROR(tbl_raw[[#This Row],[Net_Profit]]/(tbl_raw[[#This Row],[Selling_Price]]*tbl_raw[[#This Row],[Units_Sold]]),0)</f>
        <v>0.15230618253189401</v>
      </c>
      <c r="S814" s="18" t="s">
        <v>31</v>
      </c>
      <c r="T814" s="18" t="s">
        <v>32</v>
      </c>
      <c r="U814" s="18">
        <f>IF(tbl_raw[[#This Row],[Order_Status]]="Returned",1,0)</f>
        <v>0</v>
      </c>
      <c r="V814" s="18">
        <f>IF(tbl_raw[[#This Row],[Payment_Method]]="COD",1,0)</f>
        <v>0</v>
      </c>
      <c r="W814" s="21">
        <f>MIN(1,(tbl_raw[[#This Row],[Discount_Pct]]*1.4)+(tbl_raw[[#This Row],[COD_Flag]]*0.35))</f>
        <v>0.44799999999999995</v>
      </c>
    </row>
    <row r="815" spans="1:23" ht="22.8" x14ac:dyDescent="0.3">
      <c r="A815" s="22" t="s">
        <v>2031</v>
      </c>
      <c r="B815" s="23" t="s">
        <v>148</v>
      </c>
      <c r="C815" s="23" t="s">
        <v>105</v>
      </c>
      <c r="D815" s="23" t="s">
        <v>78</v>
      </c>
      <c r="E815" s="23" t="s">
        <v>296</v>
      </c>
      <c r="F815" s="23" t="s">
        <v>2032</v>
      </c>
      <c r="G815" s="23" t="s">
        <v>81</v>
      </c>
      <c r="H815" s="23" t="s">
        <v>30</v>
      </c>
      <c r="I815" s="23">
        <v>20</v>
      </c>
      <c r="J815" s="24">
        <v>7273</v>
      </c>
      <c r="K815" s="24">
        <v>4727</v>
      </c>
      <c r="L815" s="25">
        <v>0.35</v>
      </c>
      <c r="M815" s="24">
        <v>4386</v>
      </c>
      <c r="N815" s="24">
        <f>(tbl_raw[[#This Row],[Selling_Price]]-tbl_raw[[#This Row],[Cost_Price]])*tbl_raw[[#This Row],[Units_Sold]]</f>
        <v>6820</v>
      </c>
      <c r="O815" s="25">
        <f>IFERROR((tbl_raw[[#This Row],[Selling_Price]]-tbl_raw[[#This Row],[Cost_Price]]) / tbl_raw[[#This Row],[Selling_Price]],0)</f>
        <v>7.2138777237148302E-2</v>
      </c>
      <c r="P815" s="24">
        <v>86</v>
      </c>
      <c r="Q815" s="24">
        <f>tbl_raw[[#This Row],[Gross_Profit]]-(tbl_raw[[#This Row],[Shipping_Cost]]*tbl_raw[[#This Row],[Units_Sold]])</f>
        <v>5100</v>
      </c>
      <c r="R815" s="25">
        <f>IFERROR(tbl_raw[[#This Row],[Net_Profit]]/(tbl_raw[[#This Row],[Selling_Price]]*tbl_raw[[#This Row],[Units_Sold]]),0)</f>
        <v>5.3945419928072773E-2</v>
      </c>
      <c r="S815" s="23" t="s">
        <v>65</v>
      </c>
      <c r="T815" s="23" t="s">
        <v>32</v>
      </c>
      <c r="U815" s="23">
        <f>IF(tbl_raw[[#This Row],[Order_Status]]="Returned",1,0)</f>
        <v>0</v>
      </c>
      <c r="V815" s="23">
        <f>IF(tbl_raw[[#This Row],[Payment_Method]]="COD",1,0)</f>
        <v>0</v>
      </c>
      <c r="W815" s="26">
        <f>MIN(1,(tbl_raw[[#This Row],[Discount_Pct]]*1.4)+(tbl_raw[[#This Row],[COD_Flag]]*0.35))</f>
        <v>0.48999999999999994</v>
      </c>
    </row>
    <row r="816" spans="1:23" ht="22.8" x14ac:dyDescent="0.3">
      <c r="A816" s="17" t="s">
        <v>2033</v>
      </c>
      <c r="B816" s="18" t="s">
        <v>174</v>
      </c>
      <c r="C816" s="18" t="s">
        <v>99</v>
      </c>
      <c r="D816" s="18" t="s">
        <v>78</v>
      </c>
      <c r="E816" s="18" t="s">
        <v>118</v>
      </c>
      <c r="F816" s="18" t="s">
        <v>2034</v>
      </c>
      <c r="G816" s="18" t="s">
        <v>139</v>
      </c>
      <c r="H816" s="18" t="s">
        <v>48</v>
      </c>
      <c r="I816" s="18">
        <v>15</v>
      </c>
      <c r="J816" s="19">
        <v>6498</v>
      </c>
      <c r="K816" s="19">
        <v>3964</v>
      </c>
      <c r="L816" s="20">
        <v>0.39</v>
      </c>
      <c r="M816" s="19">
        <v>3646</v>
      </c>
      <c r="N816" s="19">
        <f>(tbl_raw[[#This Row],[Selling_Price]]-tbl_raw[[#This Row],[Cost_Price]])*tbl_raw[[#This Row],[Units_Sold]]</f>
        <v>4770</v>
      </c>
      <c r="O816" s="20">
        <f>IFERROR((tbl_raw[[#This Row],[Selling_Price]]-tbl_raw[[#This Row],[Cost_Price]]) / tbl_raw[[#This Row],[Selling_Price]],0)</f>
        <v>8.0221997981836532E-2</v>
      </c>
      <c r="P816" s="19">
        <v>38</v>
      </c>
      <c r="Q816" s="19">
        <f>tbl_raw[[#This Row],[Gross_Profit]]-(tbl_raw[[#This Row],[Shipping_Cost]]*tbl_raw[[#This Row],[Units_Sold]])</f>
        <v>4200</v>
      </c>
      <c r="R816" s="20">
        <f>IFERROR(tbl_raw[[#This Row],[Net_Profit]]/(tbl_raw[[#This Row],[Selling_Price]]*tbl_raw[[#This Row],[Units_Sold]]),0)</f>
        <v>7.0635721493440967E-2</v>
      </c>
      <c r="S816" s="18" t="s">
        <v>58</v>
      </c>
      <c r="T816" s="18" t="s">
        <v>49</v>
      </c>
      <c r="U816" s="18">
        <f>IF(tbl_raw[[#This Row],[Order_Status]]="Returned",1,0)</f>
        <v>0</v>
      </c>
      <c r="V816" s="18">
        <f>IF(tbl_raw[[#This Row],[Payment_Method]]="COD",1,0)</f>
        <v>0</v>
      </c>
      <c r="W816" s="21">
        <f>MIN(1,(tbl_raw[[#This Row],[Discount_Pct]]*1.4)+(tbl_raw[[#This Row],[COD_Flag]]*0.35))</f>
        <v>0.54599999999999993</v>
      </c>
    </row>
    <row r="817" spans="1:23" ht="22.8" x14ac:dyDescent="0.3">
      <c r="A817" s="22" t="s">
        <v>2035</v>
      </c>
      <c r="B817" s="23" t="s">
        <v>611</v>
      </c>
      <c r="C817" s="23" t="s">
        <v>72</v>
      </c>
      <c r="D817" s="23" t="s">
        <v>175</v>
      </c>
      <c r="E817" s="23" t="s">
        <v>190</v>
      </c>
      <c r="F817" s="23" t="s">
        <v>2036</v>
      </c>
      <c r="G817" s="23" t="s">
        <v>75</v>
      </c>
      <c r="H817" s="23" t="s">
        <v>48</v>
      </c>
      <c r="I817" s="23">
        <v>11</v>
      </c>
      <c r="J817" s="24">
        <v>6942</v>
      </c>
      <c r="K817" s="24">
        <v>6595</v>
      </c>
      <c r="L817" s="25">
        <v>0.05</v>
      </c>
      <c r="M817" s="24">
        <v>4197</v>
      </c>
      <c r="N817" s="24">
        <f>(tbl_raw[[#This Row],[Selling_Price]]-tbl_raw[[#This Row],[Cost_Price]])*tbl_raw[[#This Row],[Units_Sold]]</f>
        <v>26378</v>
      </c>
      <c r="O817" s="25">
        <f>IFERROR((tbl_raw[[#This Row],[Selling_Price]]-tbl_raw[[#This Row],[Cost_Price]]) / tbl_raw[[#This Row],[Selling_Price]],0)</f>
        <v>0.36360879454131917</v>
      </c>
      <c r="P817" s="24">
        <v>107</v>
      </c>
      <c r="Q817" s="24">
        <f>tbl_raw[[#This Row],[Gross_Profit]]-(tbl_raw[[#This Row],[Shipping_Cost]]*tbl_raw[[#This Row],[Units_Sold]])</f>
        <v>25201</v>
      </c>
      <c r="R817" s="25">
        <f>IFERROR(tbl_raw[[#This Row],[Net_Profit]]/(tbl_raw[[#This Row],[Selling_Price]]*tbl_raw[[#This Row],[Units_Sold]]),0)</f>
        <v>0.34738438210765732</v>
      </c>
      <c r="S817" s="23" t="s">
        <v>58</v>
      </c>
      <c r="T817" s="23" t="s">
        <v>32</v>
      </c>
      <c r="U817" s="23">
        <f>IF(tbl_raw[[#This Row],[Order_Status]]="Returned",1,0)</f>
        <v>0</v>
      </c>
      <c r="V817" s="23">
        <f>IF(tbl_raw[[#This Row],[Payment_Method]]="COD",1,0)</f>
        <v>0</v>
      </c>
      <c r="W817" s="26">
        <f>MIN(1,(tbl_raw[[#This Row],[Discount_Pct]]*1.4)+(tbl_raw[[#This Row],[COD_Flag]]*0.35))</f>
        <v>6.9999999999999993E-2</v>
      </c>
    </row>
    <row r="818" spans="1:23" ht="22.8" x14ac:dyDescent="0.3">
      <c r="A818" s="17" t="s">
        <v>2037</v>
      </c>
      <c r="B818" s="18" t="s">
        <v>2038</v>
      </c>
      <c r="C818" s="18" t="s">
        <v>105</v>
      </c>
      <c r="D818" s="18" t="s">
        <v>62</v>
      </c>
      <c r="E818" s="18" t="s">
        <v>203</v>
      </c>
      <c r="F818" s="18" t="s">
        <v>2039</v>
      </c>
      <c r="G818" s="18" t="s">
        <v>81</v>
      </c>
      <c r="H818" s="18" t="s">
        <v>30</v>
      </c>
      <c r="I818" s="18">
        <v>10</v>
      </c>
      <c r="J818" s="19">
        <v>5100</v>
      </c>
      <c r="K818" s="19">
        <v>3468</v>
      </c>
      <c r="L818" s="20">
        <v>0.32</v>
      </c>
      <c r="M818" s="19">
        <v>3712</v>
      </c>
      <c r="N818" s="19">
        <f>(tbl_raw[[#This Row],[Selling_Price]]-tbl_raw[[#This Row],[Cost_Price]])*tbl_raw[[#This Row],[Units_Sold]]</f>
        <v>-2440</v>
      </c>
      <c r="O818" s="20">
        <f>IFERROR((tbl_raw[[#This Row],[Selling_Price]]-tbl_raw[[#This Row],[Cost_Price]]) / tbl_raw[[#This Row],[Selling_Price]],0)</f>
        <v>-7.0357554786620535E-2</v>
      </c>
      <c r="P818" s="19">
        <v>151</v>
      </c>
      <c r="Q818" s="19">
        <f>tbl_raw[[#This Row],[Gross_Profit]]-(tbl_raw[[#This Row],[Shipping_Cost]]*tbl_raw[[#This Row],[Units_Sold]])</f>
        <v>-3950</v>
      </c>
      <c r="R818" s="20">
        <f>IFERROR(tbl_raw[[#This Row],[Net_Profit]]/(tbl_raw[[#This Row],[Selling_Price]]*tbl_raw[[#This Row],[Units_Sold]]),0)</f>
        <v>-0.11389850057670127</v>
      </c>
      <c r="S818" s="18" t="s">
        <v>65</v>
      </c>
      <c r="T818" s="18" t="s">
        <v>32</v>
      </c>
      <c r="U818" s="18">
        <f>IF(tbl_raw[[#This Row],[Order_Status]]="Returned",1,0)</f>
        <v>0</v>
      </c>
      <c r="V818" s="18">
        <f>IF(tbl_raw[[#This Row],[Payment_Method]]="COD",1,0)</f>
        <v>0</v>
      </c>
      <c r="W818" s="21">
        <f>MIN(1,(tbl_raw[[#This Row],[Discount_Pct]]*1.4)+(tbl_raw[[#This Row],[COD_Flag]]*0.35))</f>
        <v>0.44799999999999995</v>
      </c>
    </row>
    <row r="819" spans="1:23" ht="22.8" x14ac:dyDescent="0.3">
      <c r="A819" s="22" t="s">
        <v>2040</v>
      </c>
      <c r="B819" s="23" t="s">
        <v>1231</v>
      </c>
      <c r="C819" s="23" t="s">
        <v>132</v>
      </c>
      <c r="D819" s="23" t="s">
        <v>175</v>
      </c>
      <c r="E819" s="23" t="s">
        <v>176</v>
      </c>
      <c r="F819" s="23" t="s">
        <v>2041</v>
      </c>
      <c r="G819" s="23" t="s">
        <v>29</v>
      </c>
      <c r="H819" s="23" t="s">
        <v>30</v>
      </c>
      <c r="I819" s="23">
        <v>7</v>
      </c>
      <c r="J819" s="24">
        <v>1008</v>
      </c>
      <c r="K819" s="24">
        <v>998</v>
      </c>
      <c r="L819" s="25">
        <v>0.01</v>
      </c>
      <c r="M819" s="24">
        <v>582</v>
      </c>
      <c r="N819" s="24">
        <f>(tbl_raw[[#This Row],[Selling_Price]]-tbl_raw[[#This Row],[Cost_Price]])*tbl_raw[[#This Row],[Units_Sold]]</f>
        <v>2912</v>
      </c>
      <c r="O819" s="25">
        <f>IFERROR((tbl_raw[[#This Row],[Selling_Price]]-tbl_raw[[#This Row],[Cost_Price]]) / tbl_raw[[#This Row],[Selling_Price]],0)</f>
        <v>0.41683366733466931</v>
      </c>
      <c r="P819" s="24">
        <v>89</v>
      </c>
      <c r="Q819" s="24">
        <f>tbl_raw[[#This Row],[Gross_Profit]]-(tbl_raw[[#This Row],[Shipping_Cost]]*tbl_raw[[#This Row],[Units_Sold]])</f>
        <v>2289</v>
      </c>
      <c r="R819" s="25">
        <f>IFERROR(tbl_raw[[#This Row],[Net_Profit]]/(tbl_raw[[#This Row],[Selling_Price]]*tbl_raw[[#This Row],[Units_Sold]]),0)</f>
        <v>0.32765531062124248</v>
      </c>
      <c r="S819" s="23" t="s">
        <v>58</v>
      </c>
      <c r="T819" s="23" t="s">
        <v>32</v>
      </c>
      <c r="U819" s="23">
        <f>IF(tbl_raw[[#This Row],[Order_Status]]="Returned",1,0)</f>
        <v>0</v>
      </c>
      <c r="V819" s="23">
        <f>IF(tbl_raw[[#This Row],[Payment_Method]]="COD",1,0)</f>
        <v>0</v>
      </c>
      <c r="W819" s="26">
        <f>MIN(1,(tbl_raw[[#This Row],[Discount_Pct]]*1.4)+(tbl_raw[[#This Row],[COD_Flag]]*0.35))</f>
        <v>1.3999999999999999E-2</v>
      </c>
    </row>
    <row r="820" spans="1:23" ht="22.8" x14ac:dyDescent="0.3">
      <c r="A820" s="17" t="s">
        <v>2042</v>
      </c>
      <c r="B820" s="18" t="s">
        <v>803</v>
      </c>
      <c r="C820" s="18" t="s">
        <v>43</v>
      </c>
      <c r="D820" s="18" t="s">
        <v>94</v>
      </c>
      <c r="E820" s="18" t="s">
        <v>137</v>
      </c>
      <c r="F820" s="18" t="s">
        <v>2043</v>
      </c>
      <c r="G820" s="18" t="s">
        <v>102</v>
      </c>
      <c r="H820" s="18" t="s">
        <v>39</v>
      </c>
      <c r="I820" s="18">
        <v>15</v>
      </c>
      <c r="J820" s="19">
        <v>6903</v>
      </c>
      <c r="K820" s="19">
        <v>4970</v>
      </c>
      <c r="L820" s="20">
        <v>0.28000000000000003</v>
      </c>
      <c r="M820" s="19">
        <v>3806</v>
      </c>
      <c r="N820" s="19">
        <f>(tbl_raw[[#This Row],[Selling_Price]]-tbl_raw[[#This Row],[Cost_Price]])*tbl_raw[[#This Row],[Units_Sold]]</f>
        <v>17460</v>
      </c>
      <c r="O820" s="20">
        <f>IFERROR((tbl_raw[[#This Row],[Selling_Price]]-tbl_raw[[#This Row],[Cost_Price]]) / tbl_raw[[#This Row],[Selling_Price]],0)</f>
        <v>0.23420523138832999</v>
      </c>
      <c r="P820" s="19">
        <v>125</v>
      </c>
      <c r="Q820" s="19">
        <f>tbl_raw[[#This Row],[Gross_Profit]]-(tbl_raw[[#This Row],[Shipping_Cost]]*tbl_raw[[#This Row],[Units_Sold]])</f>
        <v>15585</v>
      </c>
      <c r="R820" s="20">
        <f>IFERROR(tbl_raw[[#This Row],[Net_Profit]]/(tbl_raw[[#This Row],[Selling_Price]]*tbl_raw[[#This Row],[Units_Sold]]),0)</f>
        <v>0.20905432595573439</v>
      </c>
      <c r="S820" s="18" t="s">
        <v>40</v>
      </c>
      <c r="T820" s="18" t="s">
        <v>86</v>
      </c>
      <c r="U820" s="18">
        <f>IF(tbl_raw[[#This Row],[Order_Status]]="Returned",1,0)</f>
        <v>1</v>
      </c>
      <c r="V820" s="18">
        <f>IF(tbl_raw[[#This Row],[Payment_Method]]="COD",1,0)</f>
        <v>1</v>
      </c>
      <c r="W820" s="21">
        <f>MIN(1,(tbl_raw[[#This Row],[Discount_Pct]]*1.4)+(tbl_raw[[#This Row],[COD_Flag]]*0.35))</f>
        <v>0.74199999999999999</v>
      </c>
    </row>
    <row r="821" spans="1:23" ht="22.8" x14ac:dyDescent="0.3">
      <c r="A821" s="22" t="s">
        <v>2044</v>
      </c>
      <c r="B821" s="23" t="s">
        <v>67</v>
      </c>
      <c r="C821" s="23" t="s">
        <v>35</v>
      </c>
      <c r="D821" s="23" t="s">
        <v>94</v>
      </c>
      <c r="E821" s="23" t="s">
        <v>310</v>
      </c>
      <c r="F821" s="23" t="s">
        <v>2045</v>
      </c>
      <c r="G821" s="23" t="s">
        <v>143</v>
      </c>
      <c r="H821" s="23" t="s">
        <v>30</v>
      </c>
      <c r="I821" s="23">
        <v>10</v>
      </c>
      <c r="J821" s="24">
        <v>5407</v>
      </c>
      <c r="K821" s="24">
        <v>3082</v>
      </c>
      <c r="L821" s="25">
        <v>0.43</v>
      </c>
      <c r="M821" s="24">
        <v>3096</v>
      </c>
      <c r="N821" s="24">
        <f>(tbl_raw[[#This Row],[Selling_Price]]-tbl_raw[[#This Row],[Cost_Price]])*tbl_raw[[#This Row],[Units_Sold]]</f>
        <v>-140</v>
      </c>
      <c r="O821" s="25">
        <f>IFERROR((tbl_raw[[#This Row],[Selling_Price]]-tbl_raw[[#This Row],[Cost_Price]]) / tbl_raw[[#This Row],[Selling_Price]],0)</f>
        <v>-4.5425048669695007E-3</v>
      </c>
      <c r="P821" s="24">
        <v>130</v>
      </c>
      <c r="Q821" s="24">
        <f>tbl_raw[[#This Row],[Gross_Profit]]-(tbl_raw[[#This Row],[Shipping_Cost]]*tbl_raw[[#This Row],[Units_Sold]])</f>
        <v>-1440</v>
      </c>
      <c r="R821" s="25">
        <f>IFERROR(tbl_raw[[#This Row],[Net_Profit]]/(tbl_raw[[#This Row],[Selling_Price]]*tbl_raw[[#This Row],[Units_Sold]]),0)</f>
        <v>-4.6722907203114859E-2</v>
      </c>
      <c r="S821" s="23" t="s">
        <v>31</v>
      </c>
      <c r="T821" s="23" t="s">
        <v>86</v>
      </c>
      <c r="U821" s="23">
        <f>IF(tbl_raw[[#This Row],[Order_Status]]="Returned",1,0)</f>
        <v>1</v>
      </c>
      <c r="V821" s="23">
        <f>IF(tbl_raw[[#This Row],[Payment_Method]]="COD",1,0)</f>
        <v>0</v>
      </c>
      <c r="W821" s="26">
        <f>MIN(1,(tbl_raw[[#This Row],[Discount_Pct]]*1.4)+(tbl_raw[[#This Row],[COD_Flag]]*0.35))</f>
        <v>0.60199999999999998</v>
      </c>
    </row>
    <row r="822" spans="1:23" ht="22.8" x14ac:dyDescent="0.3">
      <c r="A822" s="17" t="s">
        <v>2046</v>
      </c>
      <c r="B822" s="18" t="s">
        <v>1438</v>
      </c>
      <c r="C822" s="18" t="s">
        <v>117</v>
      </c>
      <c r="D822" s="18" t="s">
        <v>78</v>
      </c>
      <c r="E822" s="18" t="s">
        <v>118</v>
      </c>
      <c r="F822" s="18" t="s">
        <v>2047</v>
      </c>
      <c r="G822" s="18" t="s">
        <v>143</v>
      </c>
      <c r="H822" s="18" t="s">
        <v>30</v>
      </c>
      <c r="I822" s="18">
        <v>15</v>
      </c>
      <c r="J822" s="19">
        <v>1137</v>
      </c>
      <c r="K822" s="19">
        <v>932</v>
      </c>
      <c r="L822" s="20">
        <v>0.18</v>
      </c>
      <c r="M822" s="19">
        <v>686</v>
      </c>
      <c r="N822" s="19">
        <f>(tbl_raw[[#This Row],[Selling_Price]]-tbl_raw[[#This Row],[Cost_Price]])*tbl_raw[[#This Row],[Units_Sold]]</f>
        <v>3690</v>
      </c>
      <c r="O822" s="20">
        <f>IFERROR((tbl_raw[[#This Row],[Selling_Price]]-tbl_raw[[#This Row],[Cost_Price]]) / tbl_raw[[#This Row],[Selling_Price]],0)</f>
        <v>0.26394849785407726</v>
      </c>
      <c r="P822" s="19">
        <v>35</v>
      </c>
      <c r="Q822" s="19">
        <f>tbl_raw[[#This Row],[Gross_Profit]]-(tbl_raw[[#This Row],[Shipping_Cost]]*tbl_raw[[#This Row],[Units_Sold]])</f>
        <v>3165</v>
      </c>
      <c r="R822" s="20">
        <f>IFERROR(tbl_raw[[#This Row],[Net_Profit]]/(tbl_raw[[#This Row],[Selling_Price]]*tbl_raw[[#This Row],[Units_Sold]]),0)</f>
        <v>0.22639484978540772</v>
      </c>
      <c r="S822" s="18" t="s">
        <v>65</v>
      </c>
      <c r="T822" s="18" t="s">
        <v>49</v>
      </c>
      <c r="U822" s="18">
        <f>IF(tbl_raw[[#This Row],[Order_Status]]="Returned",1,0)</f>
        <v>0</v>
      </c>
      <c r="V822" s="18">
        <f>IF(tbl_raw[[#This Row],[Payment_Method]]="COD",1,0)</f>
        <v>0</v>
      </c>
      <c r="W822" s="21">
        <f>MIN(1,(tbl_raw[[#This Row],[Discount_Pct]]*1.4)+(tbl_raw[[#This Row],[COD_Flag]]*0.35))</f>
        <v>0.252</v>
      </c>
    </row>
    <row r="823" spans="1:23" ht="22.8" x14ac:dyDescent="0.3">
      <c r="A823" s="22" t="s">
        <v>2048</v>
      </c>
      <c r="B823" s="23" t="s">
        <v>1198</v>
      </c>
      <c r="C823" s="23" t="s">
        <v>89</v>
      </c>
      <c r="D823" s="23" t="s">
        <v>62</v>
      </c>
      <c r="E823" s="23" t="s">
        <v>68</v>
      </c>
      <c r="F823" s="23" t="s">
        <v>2049</v>
      </c>
      <c r="G823" s="23" t="s">
        <v>139</v>
      </c>
      <c r="H823" s="23" t="s">
        <v>48</v>
      </c>
      <c r="I823" s="23">
        <v>6</v>
      </c>
      <c r="J823" s="24">
        <v>2990</v>
      </c>
      <c r="K823" s="24">
        <v>1824</v>
      </c>
      <c r="L823" s="25">
        <v>0.39</v>
      </c>
      <c r="M823" s="24">
        <v>1723</v>
      </c>
      <c r="N823" s="24">
        <f>(tbl_raw[[#This Row],[Selling_Price]]-tbl_raw[[#This Row],[Cost_Price]])*tbl_raw[[#This Row],[Units_Sold]]</f>
        <v>606</v>
      </c>
      <c r="O823" s="25">
        <f>IFERROR((tbl_raw[[#This Row],[Selling_Price]]-tbl_raw[[#This Row],[Cost_Price]]) / tbl_raw[[#This Row],[Selling_Price]],0)</f>
        <v>5.5372807017543858E-2</v>
      </c>
      <c r="P823" s="24">
        <v>82</v>
      </c>
      <c r="Q823" s="24">
        <f>tbl_raw[[#This Row],[Gross_Profit]]-(tbl_raw[[#This Row],[Shipping_Cost]]*tbl_raw[[#This Row],[Units_Sold]])</f>
        <v>114</v>
      </c>
      <c r="R823" s="25">
        <f>IFERROR(tbl_raw[[#This Row],[Net_Profit]]/(tbl_raw[[#This Row],[Selling_Price]]*tbl_raw[[#This Row],[Units_Sold]]),0)</f>
        <v>1.0416666666666666E-2</v>
      </c>
      <c r="S823" s="23" t="s">
        <v>65</v>
      </c>
      <c r="T823" s="23" t="s">
        <v>32</v>
      </c>
      <c r="U823" s="23">
        <f>IF(tbl_raw[[#This Row],[Order_Status]]="Returned",1,0)</f>
        <v>0</v>
      </c>
      <c r="V823" s="23">
        <f>IF(tbl_raw[[#This Row],[Payment_Method]]="COD",1,0)</f>
        <v>0</v>
      </c>
      <c r="W823" s="26">
        <f>MIN(1,(tbl_raw[[#This Row],[Discount_Pct]]*1.4)+(tbl_raw[[#This Row],[COD_Flag]]*0.35))</f>
        <v>0.54599999999999993</v>
      </c>
    </row>
    <row r="824" spans="1:23" ht="22.8" x14ac:dyDescent="0.3">
      <c r="A824" s="17" t="s">
        <v>2050</v>
      </c>
      <c r="B824" s="18" t="s">
        <v>658</v>
      </c>
      <c r="C824" s="18" t="s">
        <v>25</v>
      </c>
      <c r="D824" s="18" t="s">
        <v>44</v>
      </c>
      <c r="E824" s="18" t="s">
        <v>338</v>
      </c>
      <c r="F824" s="18" t="s">
        <v>2051</v>
      </c>
      <c r="G824" s="18" t="s">
        <v>75</v>
      </c>
      <c r="H824" s="18" t="s">
        <v>48</v>
      </c>
      <c r="I824" s="18">
        <v>5</v>
      </c>
      <c r="J824" s="19">
        <v>2371</v>
      </c>
      <c r="K824" s="19">
        <v>1565</v>
      </c>
      <c r="L824" s="20">
        <v>0.34</v>
      </c>
      <c r="M824" s="19">
        <v>1200</v>
      </c>
      <c r="N824" s="19">
        <f>(tbl_raw[[#This Row],[Selling_Price]]-tbl_raw[[#This Row],[Cost_Price]])*tbl_raw[[#This Row],[Units_Sold]]</f>
        <v>1825</v>
      </c>
      <c r="O824" s="20">
        <f>IFERROR((tbl_raw[[#This Row],[Selling_Price]]-tbl_raw[[#This Row],[Cost_Price]]) / tbl_raw[[#This Row],[Selling_Price]],0)</f>
        <v>0.23322683706070288</v>
      </c>
      <c r="P824" s="19">
        <v>89</v>
      </c>
      <c r="Q824" s="19">
        <f>tbl_raw[[#This Row],[Gross_Profit]]-(tbl_raw[[#This Row],[Shipping_Cost]]*tbl_raw[[#This Row],[Units_Sold]])</f>
        <v>1380</v>
      </c>
      <c r="R824" s="20">
        <f>IFERROR(tbl_raw[[#This Row],[Net_Profit]]/(tbl_raw[[#This Row],[Selling_Price]]*tbl_raw[[#This Row],[Units_Sold]]),0)</f>
        <v>0.17635782747603834</v>
      </c>
      <c r="S824" s="18" t="s">
        <v>31</v>
      </c>
      <c r="T824" s="18" t="s">
        <v>32</v>
      </c>
      <c r="U824" s="18">
        <f>IF(tbl_raw[[#This Row],[Order_Status]]="Returned",1,0)</f>
        <v>0</v>
      </c>
      <c r="V824" s="18">
        <f>IF(tbl_raw[[#This Row],[Payment_Method]]="COD",1,0)</f>
        <v>0</v>
      </c>
      <c r="W824" s="21">
        <f>MIN(1,(tbl_raw[[#This Row],[Discount_Pct]]*1.4)+(tbl_raw[[#This Row],[COD_Flag]]*0.35))</f>
        <v>0.47599999999999998</v>
      </c>
    </row>
    <row r="825" spans="1:23" ht="22.8" x14ac:dyDescent="0.3">
      <c r="A825" s="22" t="s">
        <v>2052</v>
      </c>
      <c r="B825" s="23" t="s">
        <v>469</v>
      </c>
      <c r="C825" s="23" t="s">
        <v>25</v>
      </c>
      <c r="D825" s="23" t="s">
        <v>53</v>
      </c>
      <c r="E825" s="23" t="s">
        <v>145</v>
      </c>
      <c r="F825" s="23" t="s">
        <v>2053</v>
      </c>
      <c r="G825" s="23" t="s">
        <v>56</v>
      </c>
      <c r="H825" s="23" t="s">
        <v>57</v>
      </c>
      <c r="I825" s="23">
        <v>19</v>
      </c>
      <c r="J825" s="24">
        <v>7651</v>
      </c>
      <c r="K825" s="24">
        <v>6427</v>
      </c>
      <c r="L825" s="25">
        <v>0.16</v>
      </c>
      <c r="M825" s="24">
        <v>4714</v>
      </c>
      <c r="N825" s="24">
        <f>(tbl_raw[[#This Row],[Selling_Price]]-tbl_raw[[#This Row],[Cost_Price]])*tbl_raw[[#This Row],[Units_Sold]]</f>
        <v>32547</v>
      </c>
      <c r="O825" s="25">
        <f>IFERROR((tbl_raw[[#This Row],[Selling_Price]]-tbl_raw[[#This Row],[Cost_Price]]) / tbl_raw[[#This Row],[Selling_Price]],0)</f>
        <v>0.26653181888906174</v>
      </c>
      <c r="P825" s="24">
        <v>91</v>
      </c>
      <c r="Q825" s="24">
        <f>tbl_raw[[#This Row],[Gross_Profit]]-(tbl_raw[[#This Row],[Shipping_Cost]]*tbl_raw[[#This Row],[Units_Sold]])</f>
        <v>30818</v>
      </c>
      <c r="R825" s="25">
        <f>IFERROR(tbl_raw[[#This Row],[Net_Profit]]/(tbl_raw[[#This Row],[Selling_Price]]*tbl_raw[[#This Row],[Units_Sold]]),0)</f>
        <v>0.2523728022405477</v>
      </c>
      <c r="S825" s="23" t="s">
        <v>58</v>
      </c>
      <c r="T825" s="23" t="s">
        <v>32</v>
      </c>
      <c r="U825" s="23">
        <f>IF(tbl_raw[[#This Row],[Order_Status]]="Returned",1,0)</f>
        <v>0</v>
      </c>
      <c r="V825" s="23">
        <f>IF(tbl_raw[[#This Row],[Payment_Method]]="COD",1,0)</f>
        <v>0</v>
      </c>
      <c r="W825" s="26">
        <f>MIN(1,(tbl_raw[[#This Row],[Discount_Pct]]*1.4)+(tbl_raw[[#This Row],[COD_Flag]]*0.35))</f>
        <v>0.22399999999999998</v>
      </c>
    </row>
    <row r="826" spans="1:23" ht="22.8" x14ac:dyDescent="0.3">
      <c r="A826" s="17" t="s">
        <v>2054</v>
      </c>
      <c r="B826" s="18" t="s">
        <v>1609</v>
      </c>
      <c r="C826" s="18" t="s">
        <v>35</v>
      </c>
      <c r="D826" s="18" t="s">
        <v>175</v>
      </c>
      <c r="E826" s="18" t="s">
        <v>149</v>
      </c>
      <c r="F826" s="18" t="s">
        <v>1390</v>
      </c>
      <c r="G826" s="18" t="s">
        <v>75</v>
      </c>
      <c r="H826" s="18" t="s">
        <v>48</v>
      </c>
      <c r="I826" s="18">
        <v>11</v>
      </c>
      <c r="J826" s="19">
        <v>6127</v>
      </c>
      <c r="K826" s="19">
        <v>3431</v>
      </c>
      <c r="L826" s="20">
        <v>0.44</v>
      </c>
      <c r="M826" s="19">
        <v>4185</v>
      </c>
      <c r="N826" s="19">
        <f>(tbl_raw[[#This Row],[Selling_Price]]-tbl_raw[[#This Row],[Cost_Price]])*tbl_raw[[#This Row],[Units_Sold]]</f>
        <v>-8294</v>
      </c>
      <c r="O826" s="20">
        <f>IFERROR((tbl_raw[[#This Row],[Selling_Price]]-tbl_raw[[#This Row],[Cost_Price]]) / tbl_raw[[#This Row],[Selling_Price]],0)</f>
        <v>-0.21976100262314194</v>
      </c>
      <c r="P826" s="19">
        <v>140</v>
      </c>
      <c r="Q826" s="19">
        <f>tbl_raw[[#This Row],[Gross_Profit]]-(tbl_raw[[#This Row],[Shipping_Cost]]*tbl_raw[[#This Row],[Units_Sold]])</f>
        <v>-9834</v>
      </c>
      <c r="R826" s="20">
        <f>IFERROR(tbl_raw[[#This Row],[Net_Profit]]/(tbl_raw[[#This Row],[Selling_Price]]*tbl_raw[[#This Row],[Units_Sold]]),0)</f>
        <v>-0.26056543281842026</v>
      </c>
      <c r="S826" s="18" t="s">
        <v>40</v>
      </c>
      <c r="T826" s="18" t="s">
        <v>49</v>
      </c>
      <c r="U826" s="18">
        <f>IF(tbl_raw[[#This Row],[Order_Status]]="Returned",1,0)</f>
        <v>0</v>
      </c>
      <c r="V826" s="18">
        <f>IF(tbl_raw[[#This Row],[Payment_Method]]="COD",1,0)</f>
        <v>1</v>
      </c>
      <c r="W826" s="21">
        <f>MIN(1,(tbl_raw[[#This Row],[Discount_Pct]]*1.4)+(tbl_raw[[#This Row],[COD_Flag]]*0.35))</f>
        <v>0.96599999999999997</v>
      </c>
    </row>
    <row r="827" spans="1:23" ht="22.8" x14ac:dyDescent="0.3">
      <c r="A827" s="22" t="s">
        <v>2055</v>
      </c>
      <c r="B827" s="23" t="s">
        <v>946</v>
      </c>
      <c r="C827" s="23" t="s">
        <v>156</v>
      </c>
      <c r="D827" s="23" t="s">
        <v>78</v>
      </c>
      <c r="E827" s="23" t="s">
        <v>296</v>
      </c>
      <c r="F827" s="23" t="s">
        <v>2056</v>
      </c>
      <c r="G827" s="23" t="s">
        <v>102</v>
      </c>
      <c r="H827" s="23" t="s">
        <v>39</v>
      </c>
      <c r="I827" s="23">
        <v>9</v>
      </c>
      <c r="J827" s="24">
        <v>1093</v>
      </c>
      <c r="K827" s="24">
        <v>678</v>
      </c>
      <c r="L827" s="25">
        <v>0.38</v>
      </c>
      <c r="M827" s="24">
        <v>465</v>
      </c>
      <c r="N827" s="24">
        <f>(tbl_raw[[#This Row],[Selling_Price]]-tbl_raw[[#This Row],[Cost_Price]])*tbl_raw[[#This Row],[Units_Sold]]</f>
        <v>1917</v>
      </c>
      <c r="O827" s="25">
        <f>IFERROR((tbl_raw[[#This Row],[Selling_Price]]-tbl_raw[[#This Row],[Cost_Price]]) / tbl_raw[[#This Row],[Selling_Price]],0)</f>
        <v>0.31415929203539822</v>
      </c>
      <c r="P827" s="24">
        <v>145</v>
      </c>
      <c r="Q827" s="24">
        <f>tbl_raw[[#This Row],[Gross_Profit]]-(tbl_raw[[#This Row],[Shipping_Cost]]*tbl_raw[[#This Row],[Units_Sold]])</f>
        <v>612</v>
      </c>
      <c r="R827" s="25">
        <f>IFERROR(tbl_raw[[#This Row],[Net_Profit]]/(tbl_raw[[#This Row],[Selling_Price]]*tbl_raw[[#This Row],[Units_Sold]]),0)</f>
        <v>0.10029498525073746</v>
      </c>
      <c r="S827" s="23" t="s">
        <v>65</v>
      </c>
      <c r="T827" s="23" t="s">
        <v>32</v>
      </c>
      <c r="U827" s="23">
        <f>IF(tbl_raw[[#This Row],[Order_Status]]="Returned",1,0)</f>
        <v>0</v>
      </c>
      <c r="V827" s="23">
        <f>IF(tbl_raw[[#This Row],[Payment_Method]]="COD",1,0)</f>
        <v>0</v>
      </c>
      <c r="W827" s="26">
        <f>MIN(1,(tbl_raw[[#This Row],[Discount_Pct]]*1.4)+(tbl_raw[[#This Row],[COD_Flag]]*0.35))</f>
        <v>0.53199999999999992</v>
      </c>
    </row>
    <row r="828" spans="1:23" ht="22.8" x14ac:dyDescent="0.3">
      <c r="A828" s="17" t="s">
        <v>2057</v>
      </c>
      <c r="B828" s="18" t="s">
        <v>1324</v>
      </c>
      <c r="C828" s="18" t="s">
        <v>43</v>
      </c>
      <c r="D828" s="18" t="s">
        <v>175</v>
      </c>
      <c r="E828" s="18" t="s">
        <v>149</v>
      </c>
      <c r="F828" s="18" t="s">
        <v>2058</v>
      </c>
      <c r="G828" s="18" t="s">
        <v>81</v>
      </c>
      <c r="H828" s="18" t="s">
        <v>30</v>
      </c>
      <c r="I828" s="18">
        <v>19</v>
      </c>
      <c r="J828" s="19">
        <v>4540</v>
      </c>
      <c r="K828" s="19">
        <v>4131</v>
      </c>
      <c r="L828" s="20">
        <v>0.09</v>
      </c>
      <c r="M828" s="19">
        <v>2596</v>
      </c>
      <c r="N828" s="19">
        <f>(tbl_raw[[#This Row],[Selling_Price]]-tbl_raw[[#This Row],[Cost_Price]])*tbl_raw[[#This Row],[Units_Sold]]</f>
        <v>29165</v>
      </c>
      <c r="O828" s="20">
        <f>IFERROR((tbl_raw[[#This Row],[Selling_Price]]-tbl_raw[[#This Row],[Cost_Price]]) / tbl_raw[[#This Row],[Selling_Price]],0)</f>
        <v>0.37158073105785522</v>
      </c>
      <c r="P828" s="19">
        <v>132</v>
      </c>
      <c r="Q828" s="19">
        <f>tbl_raw[[#This Row],[Gross_Profit]]-(tbl_raw[[#This Row],[Shipping_Cost]]*tbl_raw[[#This Row],[Units_Sold]])</f>
        <v>26657</v>
      </c>
      <c r="R828" s="20">
        <f>IFERROR(tbl_raw[[#This Row],[Net_Profit]]/(tbl_raw[[#This Row],[Selling_Price]]*tbl_raw[[#This Row],[Units_Sold]]),0)</f>
        <v>0.33962720890825465</v>
      </c>
      <c r="S828" s="18" t="s">
        <v>40</v>
      </c>
      <c r="T828" s="18" t="s">
        <v>32</v>
      </c>
      <c r="U828" s="18">
        <f>IF(tbl_raw[[#This Row],[Order_Status]]="Returned",1,0)</f>
        <v>0</v>
      </c>
      <c r="V828" s="18">
        <f>IF(tbl_raw[[#This Row],[Payment_Method]]="COD",1,0)</f>
        <v>1</v>
      </c>
      <c r="W828" s="21">
        <f>MIN(1,(tbl_raw[[#This Row],[Discount_Pct]]*1.4)+(tbl_raw[[#This Row],[COD_Flag]]*0.35))</f>
        <v>0.47599999999999998</v>
      </c>
    </row>
    <row r="829" spans="1:23" ht="22.8" x14ac:dyDescent="0.3">
      <c r="A829" s="22" t="s">
        <v>2059</v>
      </c>
      <c r="B829" s="23" t="s">
        <v>459</v>
      </c>
      <c r="C829" s="23" t="s">
        <v>105</v>
      </c>
      <c r="D829" s="23" t="s">
        <v>94</v>
      </c>
      <c r="E829" s="23" t="s">
        <v>207</v>
      </c>
      <c r="F829" s="23" t="s">
        <v>2060</v>
      </c>
      <c r="G829" s="23" t="s">
        <v>139</v>
      </c>
      <c r="H829" s="23" t="s">
        <v>48</v>
      </c>
      <c r="I829" s="23">
        <v>4</v>
      </c>
      <c r="J829" s="24">
        <v>1788</v>
      </c>
      <c r="K829" s="24">
        <v>1144</v>
      </c>
      <c r="L829" s="25">
        <v>0.36</v>
      </c>
      <c r="M829" s="24">
        <v>1274</v>
      </c>
      <c r="N829" s="24">
        <f>(tbl_raw[[#This Row],[Selling_Price]]-tbl_raw[[#This Row],[Cost_Price]])*tbl_raw[[#This Row],[Units_Sold]]</f>
        <v>-520</v>
      </c>
      <c r="O829" s="25">
        <f>IFERROR((tbl_raw[[#This Row],[Selling_Price]]-tbl_raw[[#This Row],[Cost_Price]]) / tbl_raw[[#This Row],[Selling_Price]],0)</f>
        <v>-0.11363636363636363</v>
      </c>
      <c r="P829" s="24">
        <v>84</v>
      </c>
      <c r="Q829" s="24">
        <f>tbl_raw[[#This Row],[Gross_Profit]]-(tbl_raw[[#This Row],[Shipping_Cost]]*tbl_raw[[#This Row],[Units_Sold]])</f>
        <v>-856</v>
      </c>
      <c r="R829" s="25">
        <f>IFERROR(tbl_raw[[#This Row],[Net_Profit]]/(tbl_raw[[#This Row],[Selling_Price]]*tbl_raw[[#This Row],[Units_Sold]]),0)</f>
        <v>-0.18706293706293706</v>
      </c>
      <c r="S829" s="23" t="s">
        <v>31</v>
      </c>
      <c r="T829" s="23" t="s">
        <v>59</v>
      </c>
      <c r="U829" s="23">
        <f>IF(tbl_raw[[#This Row],[Order_Status]]="Returned",1,0)</f>
        <v>0</v>
      </c>
      <c r="V829" s="23">
        <f>IF(tbl_raw[[#This Row],[Payment_Method]]="COD",1,0)</f>
        <v>0</v>
      </c>
      <c r="W829" s="26">
        <f>MIN(1,(tbl_raw[[#This Row],[Discount_Pct]]*1.4)+(tbl_raw[[#This Row],[COD_Flag]]*0.35))</f>
        <v>0.504</v>
      </c>
    </row>
    <row r="830" spans="1:23" ht="22.8" x14ac:dyDescent="0.3">
      <c r="A830" s="17" t="s">
        <v>2061</v>
      </c>
      <c r="B830" s="18" t="s">
        <v>224</v>
      </c>
      <c r="C830" s="18" t="s">
        <v>89</v>
      </c>
      <c r="D830" s="18" t="s">
        <v>62</v>
      </c>
      <c r="E830" s="18" t="s">
        <v>203</v>
      </c>
      <c r="F830" s="18" t="s">
        <v>2062</v>
      </c>
      <c r="G830" s="18" t="s">
        <v>29</v>
      </c>
      <c r="H830" s="18" t="s">
        <v>30</v>
      </c>
      <c r="I830" s="18">
        <v>19</v>
      </c>
      <c r="J830" s="19">
        <v>6655</v>
      </c>
      <c r="K830" s="19">
        <v>5124</v>
      </c>
      <c r="L830" s="20">
        <v>0.23</v>
      </c>
      <c r="M830" s="19">
        <v>3492</v>
      </c>
      <c r="N830" s="19">
        <f>(tbl_raw[[#This Row],[Selling_Price]]-tbl_raw[[#This Row],[Cost_Price]])*tbl_raw[[#This Row],[Units_Sold]]</f>
        <v>31008</v>
      </c>
      <c r="O830" s="20">
        <f>IFERROR((tbl_raw[[#This Row],[Selling_Price]]-tbl_raw[[#This Row],[Cost_Price]]) / tbl_raw[[#This Row],[Selling_Price]],0)</f>
        <v>0.31850117096018737</v>
      </c>
      <c r="P830" s="19">
        <v>165</v>
      </c>
      <c r="Q830" s="19">
        <f>tbl_raw[[#This Row],[Gross_Profit]]-(tbl_raw[[#This Row],[Shipping_Cost]]*tbl_raw[[#This Row],[Units_Sold]])</f>
        <v>27873</v>
      </c>
      <c r="R830" s="20">
        <f>IFERROR(tbl_raw[[#This Row],[Net_Profit]]/(tbl_raw[[#This Row],[Selling_Price]]*tbl_raw[[#This Row],[Units_Sold]]),0)</f>
        <v>0.28629976580796251</v>
      </c>
      <c r="S830" s="18" t="s">
        <v>40</v>
      </c>
      <c r="T830" s="18" t="s">
        <v>32</v>
      </c>
      <c r="U830" s="18">
        <f>IF(tbl_raw[[#This Row],[Order_Status]]="Returned",1,0)</f>
        <v>0</v>
      </c>
      <c r="V830" s="18">
        <f>IF(tbl_raw[[#This Row],[Payment_Method]]="COD",1,0)</f>
        <v>1</v>
      </c>
      <c r="W830" s="21">
        <f>MIN(1,(tbl_raw[[#This Row],[Discount_Pct]]*1.4)+(tbl_raw[[#This Row],[COD_Flag]]*0.35))</f>
        <v>0.67199999999999993</v>
      </c>
    </row>
    <row r="831" spans="1:23" ht="22.8" x14ac:dyDescent="0.3">
      <c r="A831" s="22" t="s">
        <v>2063</v>
      </c>
      <c r="B831" s="23" t="s">
        <v>884</v>
      </c>
      <c r="C831" s="23" t="s">
        <v>25</v>
      </c>
      <c r="D831" s="23" t="s">
        <v>175</v>
      </c>
      <c r="E831" s="23" t="s">
        <v>176</v>
      </c>
      <c r="F831" s="23" t="s">
        <v>2064</v>
      </c>
      <c r="G831" s="23" t="s">
        <v>81</v>
      </c>
      <c r="H831" s="23" t="s">
        <v>30</v>
      </c>
      <c r="I831" s="23">
        <v>17</v>
      </c>
      <c r="J831" s="24">
        <v>2526</v>
      </c>
      <c r="K831" s="24">
        <v>2400</v>
      </c>
      <c r="L831" s="25">
        <v>0.05</v>
      </c>
      <c r="M831" s="24">
        <v>1214</v>
      </c>
      <c r="N831" s="24">
        <f>(tbl_raw[[#This Row],[Selling_Price]]-tbl_raw[[#This Row],[Cost_Price]])*tbl_raw[[#This Row],[Units_Sold]]</f>
        <v>20162</v>
      </c>
      <c r="O831" s="25">
        <f>IFERROR((tbl_raw[[#This Row],[Selling_Price]]-tbl_raw[[#This Row],[Cost_Price]]) / tbl_raw[[#This Row],[Selling_Price]],0)</f>
        <v>0.49416666666666664</v>
      </c>
      <c r="P831" s="24">
        <v>120</v>
      </c>
      <c r="Q831" s="24">
        <f>tbl_raw[[#This Row],[Gross_Profit]]-(tbl_raw[[#This Row],[Shipping_Cost]]*tbl_raw[[#This Row],[Units_Sold]])</f>
        <v>18122</v>
      </c>
      <c r="R831" s="25">
        <f>IFERROR(tbl_raw[[#This Row],[Net_Profit]]/(tbl_raw[[#This Row],[Selling_Price]]*tbl_raw[[#This Row],[Units_Sold]]),0)</f>
        <v>0.44416666666666665</v>
      </c>
      <c r="S831" s="23" t="s">
        <v>107</v>
      </c>
      <c r="T831" s="23" t="s">
        <v>86</v>
      </c>
      <c r="U831" s="23">
        <f>IF(tbl_raw[[#This Row],[Order_Status]]="Returned",1,0)</f>
        <v>1</v>
      </c>
      <c r="V831" s="23">
        <f>IF(tbl_raw[[#This Row],[Payment_Method]]="COD",1,0)</f>
        <v>0</v>
      </c>
      <c r="W831" s="26">
        <f>MIN(1,(tbl_raw[[#This Row],[Discount_Pct]]*1.4)+(tbl_raw[[#This Row],[COD_Flag]]*0.35))</f>
        <v>6.9999999999999993E-2</v>
      </c>
    </row>
    <row r="832" spans="1:23" ht="22.8" x14ac:dyDescent="0.3">
      <c r="A832" s="17" t="s">
        <v>2065</v>
      </c>
      <c r="B832" s="18" t="s">
        <v>1737</v>
      </c>
      <c r="C832" s="18" t="s">
        <v>99</v>
      </c>
      <c r="D832" s="18" t="s">
        <v>53</v>
      </c>
      <c r="E832" s="18" t="s">
        <v>90</v>
      </c>
      <c r="F832" s="18" t="s">
        <v>2066</v>
      </c>
      <c r="G832" s="18" t="s">
        <v>56</v>
      </c>
      <c r="H832" s="18" t="s">
        <v>57</v>
      </c>
      <c r="I832" s="18">
        <v>3</v>
      </c>
      <c r="J832" s="19">
        <v>7005</v>
      </c>
      <c r="K832" s="19">
        <v>6515</v>
      </c>
      <c r="L832" s="20">
        <v>7.0000000000000007E-2</v>
      </c>
      <c r="M832" s="19">
        <v>3508</v>
      </c>
      <c r="N832" s="19">
        <f>(tbl_raw[[#This Row],[Selling_Price]]-tbl_raw[[#This Row],[Cost_Price]])*tbl_raw[[#This Row],[Units_Sold]]</f>
        <v>9021</v>
      </c>
      <c r="O832" s="20">
        <f>IFERROR((tbl_raw[[#This Row],[Selling_Price]]-tbl_raw[[#This Row],[Cost_Price]]) / tbl_raw[[#This Row],[Selling_Price]],0)</f>
        <v>0.46155026861089793</v>
      </c>
      <c r="P832" s="19">
        <v>110</v>
      </c>
      <c r="Q832" s="19">
        <f>tbl_raw[[#This Row],[Gross_Profit]]-(tbl_raw[[#This Row],[Shipping_Cost]]*tbl_raw[[#This Row],[Units_Sold]])</f>
        <v>8691</v>
      </c>
      <c r="R832" s="20">
        <f>IFERROR(tbl_raw[[#This Row],[Net_Profit]]/(tbl_raw[[#This Row],[Selling_Price]]*tbl_raw[[#This Row],[Units_Sold]]),0)</f>
        <v>0.44466615502686108</v>
      </c>
      <c r="S832" s="18" t="s">
        <v>40</v>
      </c>
      <c r="T832" s="18" t="s">
        <v>49</v>
      </c>
      <c r="U832" s="18">
        <f>IF(tbl_raw[[#This Row],[Order_Status]]="Returned",1,0)</f>
        <v>0</v>
      </c>
      <c r="V832" s="18">
        <f>IF(tbl_raw[[#This Row],[Payment_Method]]="COD",1,0)</f>
        <v>1</v>
      </c>
      <c r="W832" s="21">
        <f>MIN(1,(tbl_raw[[#This Row],[Discount_Pct]]*1.4)+(tbl_raw[[#This Row],[COD_Flag]]*0.35))</f>
        <v>0.44799999999999995</v>
      </c>
    </row>
    <row r="833" spans="1:23" ht="22.8" x14ac:dyDescent="0.3">
      <c r="A833" s="22" t="s">
        <v>2067</v>
      </c>
      <c r="B833" s="23" t="s">
        <v>2068</v>
      </c>
      <c r="C833" s="23" t="s">
        <v>105</v>
      </c>
      <c r="D833" s="23" t="s">
        <v>78</v>
      </c>
      <c r="E833" s="23" t="s">
        <v>84</v>
      </c>
      <c r="F833" s="23" t="s">
        <v>2069</v>
      </c>
      <c r="G833" s="23" t="s">
        <v>38</v>
      </c>
      <c r="H833" s="23" t="s">
        <v>39</v>
      </c>
      <c r="I833" s="23">
        <v>4</v>
      </c>
      <c r="J833" s="24">
        <v>4746</v>
      </c>
      <c r="K833" s="24">
        <v>2753</v>
      </c>
      <c r="L833" s="25">
        <v>0.42</v>
      </c>
      <c r="M833" s="24">
        <v>3534</v>
      </c>
      <c r="N833" s="24">
        <f>(tbl_raw[[#This Row],[Selling_Price]]-tbl_raw[[#This Row],[Cost_Price]])*tbl_raw[[#This Row],[Units_Sold]]</f>
        <v>-3124</v>
      </c>
      <c r="O833" s="25">
        <f>IFERROR((tbl_raw[[#This Row],[Selling_Price]]-tbl_raw[[#This Row],[Cost_Price]]) / tbl_raw[[#This Row],[Selling_Price]],0)</f>
        <v>-0.28369051943334544</v>
      </c>
      <c r="P833" s="24">
        <v>128</v>
      </c>
      <c r="Q833" s="24">
        <f>tbl_raw[[#This Row],[Gross_Profit]]-(tbl_raw[[#This Row],[Shipping_Cost]]*tbl_raw[[#This Row],[Units_Sold]])</f>
        <v>-3636</v>
      </c>
      <c r="R833" s="25">
        <f>IFERROR(tbl_raw[[#This Row],[Net_Profit]]/(tbl_raw[[#This Row],[Selling_Price]]*tbl_raw[[#This Row],[Units_Sold]]),0)</f>
        <v>-0.33018525245187069</v>
      </c>
      <c r="S833" s="23" t="s">
        <v>58</v>
      </c>
      <c r="T833" s="23" t="s">
        <v>32</v>
      </c>
      <c r="U833" s="23">
        <f>IF(tbl_raw[[#This Row],[Order_Status]]="Returned",1,0)</f>
        <v>0</v>
      </c>
      <c r="V833" s="23">
        <f>IF(tbl_raw[[#This Row],[Payment_Method]]="COD",1,0)</f>
        <v>0</v>
      </c>
      <c r="W833" s="26">
        <f>MIN(1,(tbl_raw[[#This Row],[Discount_Pct]]*1.4)+(tbl_raw[[#This Row],[COD_Flag]]*0.35))</f>
        <v>0.58799999999999997</v>
      </c>
    </row>
    <row r="834" spans="1:23" ht="22.8" x14ac:dyDescent="0.3">
      <c r="A834" s="17" t="s">
        <v>2070</v>
      </c>
      <c r="B834" s="18" t="s">
        <v>218</v>
      </c>
      <c r="C834" s="18" t="s">
        <v>89</v>
      </c>
      <c r="D834" s="18" t="s">
        <v>26</v>
      </c>
      <c r="E834" s="18" t="s">
        <v>100</v>
      </c>
      <c r="F834" s="18" t="s">
        <v>2071</v>
      </c>
      <c r="G834" s="18" t="s">
        <v>38</v>
      </c>
      <c r="H834" s="18" t="s">
        <v>39</v>
      </c>
      <c r="I834" s="18">
        <v>11</v>
      </c>
      <c r="J834" s="19">
        <v>7409</v>
      </c>
      <c r="K834" s="19">
        <v>5186</v>
      </c>
      <c r="L834" s="20">
        <v>0.3</v>
      </c>
      <c r="M834" s="19">
        <v>5241</v>
      </c>
      <c r="N834" s="19">
        <f>(tbl_raw[[#This Row],[Selling_Price]]-tbl_raw[[#This Row],[Cost_Price]])*tbl_raw[[#This Row],[Units_Sold]]</f>
        <v>-605</v>
      </c>
      <c r="O834" s="20">
        <f>IFERROR((tbl_raw[[#This Row],[Selling_Price]]-tbl_raw[[#This Row],[Cost_Price]]) / tbl_raw[[#This Row],[Selling_Price]],0)</f>
        <v>-1.0605476282298496E-2</v>
      </c>
      <c r="P834" s="19">
        <v>65</v>
      </c>
      <c r="Q834" s="19">
        <f>tbl_raw[[#This Row],[Gross_Profit]]-(tbl_raw[[#This Row],[Shipping_Cost]]*tbl_raw[[#This Row],[Units_Sold]])</f>
        <v>-1320</v>
      </c>
      <c r="R834" s="20">
        <f>IFERROR(tbl_raw[[#This Row],[Net_Profit]]/(tbl_raw[[#This Row],[Selling_Price]]*tbl_raw[[#This Row],[Units_Sold]]),0)</f>
        <v>-2.3139220979560355E-2</v>
      </c>
      <c r="S834" s="18" t="s">
        <v>58</v>
      </c>
      <c r="T834" s="18" t="s">
        <v>32</v>
      </c>
      <c r="U834" s="18">
        <f>IF(tbl_raw[[#This Row],[Order_Status]]="Returned",1,0)</f>
        <v>0</v>
      </c>
      <c r="V834" s="18">
        <f>IF(tbl_raw[[#This Row],[Payment_Method]]="COD",1,0)</f>
        <v>0</v>
      </c>
      <c r="W834" s="21">
        <f>MIN(1,(tbl_raw[[#This Row],[Discount_Pct]]*1.4)+(tbl_raw[[#This Row],[COD_Flag]]*0.35))</f>
        <v>0.42</v>
      </c>
    </row>
    <row r="835" spans="1:23" ht="22.8" x14ac:dyDescent="0.3">
      <c r="A835" s="22" t="s">
        <v>2072</v>
      </c>
      <c r="B835" s="23" t="s">
        <v>228</v>
      </c>
      <c r="C835" s="23" t="s">
        <v>199</v>
      </c>
      <c r="D835" s="23" t="s">
        <v>26</v>
      </c>
      <c r="E835" s="23" t="s">
        <v>27</v>
      </c>
      <c r="F835" s="23" t="s">
        <v>2073</v>
      </c>
      <c r="G835" s="23" t="s">
        <v>47</v>
      </c>
      <c r="H835" s="23" t="s">
        <v>48</v>
      </c>
      <c r="I835" s="23">
        <v>20</v>
      </c>
      <c r="J835" s="24">
        <v>5966</v>
      </c>
      <c r="K835" s="24">
        <v>3460</v>
      </c>
      <c r="L835" s="25">
        <v>0.42</v>
      </c>
      <c r="M835" s="24">
        <v>4240</v>
      </c>
      <c r="N835" s="24">
        <f>(tbl_raw[[#This Row],[Selling_Price]]-tbl_raw[[#This Row],[Cost_Price]])*tbl_raw[[#This Row],[Units_Sold]]</f>
        <v>-15600</v>
      </c>
      <c r="O835" s="25">
        <f>IFERROR((tbl_raw[[#This Row],[Selling_Price]]-tbl_raw[[#This Row],[Cost_Price]]) / tbl_raw[[#This Row],[Selling_Price]],0)</f>
        <v>-0.22543352601156069</v>
      </c>
      <c r="P835" s="24">
        <v>102</v>
      </c>
      <c r="Q835" s="24">
        <f>tbl_raw[[#This Row],[Gross_Profit]]-(tbl_raw[[#This Row],[Shipping_Cost]]*tbl_raw[[#This Row],[Units_Sold]])</f>
        <v>-17640</v>
      </c>
      <c r="R835" s="25">
        <f>IFERROR(tbl_raw[[#This Row],[Net_Profit]]/(tbl_raw[[#This Row],[Selling_Price]]*tbl_raw[[#This Row],[Units_Sold]]),0)</f>
        <v>-0.25491329479768787</v>
      </c>
      <c r="S835" s="23" t="s">
        <v>40</v>
      </c>
      <c r="T835" s="23" t="s">
        <v>32</v>
      </c>
      <c r="U835" s="23">
        <f>IF(tbl_raw[[#This Row],[Order_Status]]="Returned",1,0)</f>
        <v>0</v>
      </c>
      <c r="V835" s="23">
        <f>IF(tbl_raw[[#This Row],[Payment_Method]]="COD",1,0)</f>
        <v>1</v>
      </c>
      <c r="W835" s="26">
        <f>MIN(1,(tbl_raw[[#This Row],[Discount_Pct]]*1.4)+(tbl_raw[[#This Row],[COD_Flag]]*0.35))</f>
        <v>0.93799999999999994</v>
      </c>
    </row>
    <row r="836" spans="1:23" ht="22.8" x14ac:dyDescent="0.3">
      <c r="A836" s="17" t="s">
        <v>2074</v>
      </c>
      <c r="B836" s="18" t="s">
        <v>1301</v>
      </c>
      <c r="C836" s="18" t="s">
        <v>132</v>
      </c>
      <c r="D836" s="18" t="s">
        <v>94</v>
      </c>
      <c r="E836" s="18" t="s">
        <v>180</v>
      </c>
      <c r="F836" s="18" t="s">
        <v>181</v>
      </c>
      <c r="G836" s="18" t="s">
        <v>75</v>
      </c>
      <c r="H836" s="18" t="s">
        <v>48</v>
      </c>
      <c r="I836" s="18">
        <v>10</v>
      </c>
      <c r="J836" s="19">
        <v>6296</v>
      </c>
      <c r="K836" s="19">
        <v>3841</v>
      </c>
      <c r="L836" s="20">
        <v>0.39</v>
      </c>
      <c r="M836" s="19">
        <v>3020</v>
      </c>
      <c r="N836" s="19">
        <f>(tbl_raw[[#This Row],[Selling_Price]]-tbl_raw[[#This Row],[Cost_Price]])*tbl_raw[[#This Row],[Units_Sold]]</f>
        <v>8210</v>
      </c>
      <c r="O836" s="20">
        <f>IFERROR((tbl_raw[[#This Row],[Selling_Price]]-tbl_raw[[#This Row],[Cost_Price]]) / tbl_raw[[#This Row],[Selling_Price]],0)</f>
        <v>0.21374642020307211</v>
      </c>
      <c r="P836" s="19">
        <v>170</v>
      </c>
      <c r="Q836" s="19">
        <f>tbl_raw[[#This Row],[Gross_Profit]]-(tbl_raw[[#This Row],[Shipping_Cost]]*tbl_raw[[#This Row],[Units_Sold]])</f>
        <v>6510</v>
      </c>
      <c r="R836" s="20">
        <f>IFERROR(tbl_raw[[#This Row],[Net_Profit]]/(tbl_raw[[#This Row],[Selling_Price]]*tbl_raw[[#This Row],[Units_Sold]]),0)</f>
        <v>0.16948711273105962</v>
      </c>
      <c r="S836" s="18" t="s">
        <v>58</v>
      </c>
      <c r="T836" s="18" t="s">
        <v>86</v>
      </c>
      <c r="U836" s="18">
        <f>IF(tbl_raw[[#This Row],[Order_Status]]="Returned",1,0)</f>
        <v>1</v>
      </c>
      <c r="V836" s="18">
        <f>IF(tbl_raw[[#This Row],[Payment_Method]]="COD",1,0)</f>
        <v>0</v>
      </c>
      <c r="W836" s="21">
        <f>MIN(1,(tbl_raw[[#This Row],[Discount_Pct]]*1.4)+(tbl_raw[[#This Row],[COD_Flag]]*0.35))</f>
        <v>0.54599999999999993</v>
      </c>
    </row>
    <row r="837" spans="1:23" ht="22.8" x14ac:dyDescent="0.3">
      <c r="A837" s="22" t="s">
        <v>2075</v>
      </c>
      <c r="B837" s="23" t="s">
        <v>1705</v>
      </c>
      <c r="C837" s="23" t="s">
        <v>105</v>
      </c>
      <c r="D837" s="23" t="s">
        <v>78</v>
      </c>
      <c r="E837" s="23" t="s">
        <v>296</v>
      </c>
      <c r="F837" s="23" t="s">
        <v>2076</v>
      </c>
      <c r="G837" s="23" t="s">
        <v>75</v>
      </c>
      <c r="H837" s="23" t="s">
        <v>48</v>
      </c>
      <c r="I837" s="23">
        <v>2</v>
      </c>
      <c r="J837" s="24">
        <v>3220</v>
      </c>
      <c r="K837" s="24">
        <v>2673</v>
      </c>
      <c r="L837" s="25">
        <v>0.17</v>
      </c>
      <c r="M837" s="24">
        <v>1429</v>
      </c>
      <c r="N837" s="24">
        <f>(tbl_raw[[#This Row],[Selling_Price]]-tbl_raw[[#This Row],[Cost_Price]])*tbl_raw[[#This Row],[Units_Sold]]</f>
        <v>2488</v>
      </c>
      <c r="O837" s="25">
        <f>IFERROR((tbl_raw[[#This Row],[Selling_Price]]-tbl_raw[[#This Row],[Cost_Price]]) / tbl_raw[[#This Row],[Selling_Price]],0)</f>
        <v>0.46539468761690983</v>
      </c>
      <c r="P837" s="24">
        <v>135</v>
      </c>
      <c r="Q837" s="24">
        <f>tbl_raw[[#This Row],[Gross_Profit]]-(tbl_raw[[#This Row],[Shipping_Cost]]*tbl_raw[[#This Row],[Units_Sold]])</f>
        <v>2218</v>
      </c>
      <c r="R837" s="25">
        <f>IFERROR(tbl_raw[[#This Row],[Net_Profit]]/(tbl_raw[[#This Row],[Selling_Price]]*tbl_raw[[#This Row],[Units_Sold]]),0)</f>
        <v>0.41488963711185933</v>
      </c>
      <c r="S837" s="23" t="s">
        <v>65</v>
      </c>
      <c r="T837" s="23" t="s">
        <v>32</v>
      </c>
      <c r="U837" s="23">
        <f>IF(tbl_raw[[#This Row],[Order_Status]]="Returned",1,0)</f>
        <v>0</v>
      </c>
      <c r="V837" s="23">
        <f>IF(tbl_raw[[#This Row],[Payment_Method]]="COD",1,0)</f>
        <v>0</v>
      </c>
      <c r="W837" s="26">
        <f>MIN(1,(tbl_raw[[#This Row],[Discount_Pct]]*1.4)+(tbl_raw[[#This Row],[COD_Flag]]*0.35))</f>
        <v>0.23799999999999999</v>
      </c>
    </row>
    <row r="838" spans="1:23" ht="22.8" x14ac:dyDescent="0.3">
      <c r="A838" s="17" t="s">
        <v>2077</v>
      </c>
      <c r="B838" s="18" t="s">
        <v>548</v>
      </c>
      <c r="C838" s="18" t="s">
        <v>199</v>
      </c>
      <c r="D838" s="18" t="s">
        <v>44</v>
      </c>
      <c r="E838" s="18" t="s">
        <v>73</v>
      </c>
      <c r="F838" s="18" t="s">
        <v>2078</v>
      </c>
      <c r="G838" s="18" t="s">
        <v>47</v>
      </c>
      <c r="H838" s="18" t="s">
        <v>48</v>
      </c>
      <c r="I838" s="18">
        <v>2</v>
      </c>
      <c r="J838" s="19">
        <v>2058</v>
      </c>
      <c r="K838" s="19">
        <v>1976</v>
      </c>
      <c r="L838" s="20">
        <v>0.04</v>
      </c>
      <c r="M838" s="19">
        <v>830</v>
      </c>
      <c r="N838" s="19">
        <f>(tbl_raw[[#This Row],[Selling_Price]]-tbl_raw[[#This Row],[Cost_Price]])*tbl_raw[[#This Row],[Units_Sold]]</f>
        <v>2292</v>
      </c>
      <c r="O838" s="20">
        <f>IFERROR((tbl_raw[[#This Row],[Selling_Price]]-tbl_raw[[#This Row],[Cost_Price]]) / tbl_raw[[#This Row],[Selling_Price]],0)</f>
        <v>0.57995951417004044</v>
      </c>
      <c r="P838" s="19">
        <v>92</v>
      </c>
      <c r="Q838" s="19">
        <f>tbl_raw[[#This Row],[Gross_Profit]]-(tbl_raw[[#This Row],[Shipping_Cost]]*tbl_raw[[#This Row],[Units_Sold]])</f>
        <v>2108</v>
      </c>
      <c r="R838" s="20">
        <f>IFERROR(tbl_raw[[#This Row],[Net_Profit]]/(tbl_raw[[#This Row],[Selling_Price]]*tbl_raw[[#This Row],[Units_Sold]]),0)</f>
        <v>0.5334008097165992</v>
      </c>
      <c r="S838" s="18" t="s">
        <v>65</v>
      </c>
      <c r="T838" s="18" t="s">
        <v>49</v>
      </c>
      <c r="U838" s="18">
        <f>IF(tbl_raw[[#This Row],[Order_Status]]="Returned",1,0)</f>
        <v>0</v>
      </c>
      <c r="V838" s="18">
        <f>IF(tbl_raw[[#This Row],[Payment_Method]]="COD",1,0)</f>
        <v>0</v>
      </c>
      <c r="W838" s="21">
        <f>MIN(1,(tbl_raw[[#This Row],[Discount_Pct]]*1.4)+(tbl_raw[[#This Row],[COD_Flag]]*0.35))</f>
        <v>5.5999999999999994E-2</v>
      </c>
    </row>
    <row r="839" spans="1:23" ht="22.8" x14ac:dyDescent="0.3">
      <c r="A839" s="22" t="s">
        <v>2079</v>
      </c>
      <c r="B839" s="23" t="s">
        <v>952</v>
      </c>
      <c r="C839" s="23" t="s">
        <v>132</v>
      </c>
      <c r="D839" s="23" t="s">
        <v>94</v>
      </c>
      <c r="E839" s="23" t="s">
        <v>207</v>
      </c>
      <c r="F839" s="23" t="s">
        <v>2080</v>
      </c>
      <c r="G839" s="23" t="s">
        <v>139</v>
      </c>
      <c r="H839" s="23" t="s">
        <v>48</v>
      </c>
      <c r="I839" s="23">
        <v>5</v>
      </c>
      <c r="J839" s="24">
        <v>3621</v>
      </c>
      <c r="K839" s="24">
        <v>3150</v>
      </c>
      <c r="L839" s="25">
        <v>0.13</v>
      </c>
      <c r="M839" s="24">
        <v>1847</v>
      </c>
      <c r="N839" s="24">
        <f>(tbl_raw[[#This Row],[Selling_Price]]-tbl_raw[[#This Row],[Cost_Price]])*tbl_raw[[#This Row],[Units_Sold]]</f>
        <v>6515</v>
      </c>
      <c r="O839" s="25">
        <f>IFERROR((tbl_raw[[#This Row],[Selling_Price]]-tbl_raw[[#This Row],[Cost_Price]]) / tbl_raw[[#This Row],[Selling_Price]],0)</f>
        <v>0.41365079365079366</v>
      </c>
      <c r="P839" s="24">
        <v>120</v>
      </c>
      <c r="Q839" s="24">
        <f>tbl_raw[[#This Row],[Gross_Profit]]-(tbl_raw[[#This Row],[Shipping_Cost]]*tbl_raw[[#This Row],[Units_Sold]])</f>
        <v>5915</v>
      </c>
      <c r="R839" s="25">
        <f>IFERROR(tbl_raw[[#This Row],[Net_Profit]]/(tbl_raw[[#This Row],[Selling_Price]]*tbl_raw[[#This Row],[Units_Sold]]),0)</f>
        <v>0.37555555555555553</v>
      </c>
      <c r="S839" s="23" t="s">
        <v>40</v>
      </c>
      <c r="T839" s="23" t="s">
        <v>32</v>
      </c>
      <c r="U839" s="23">
        <f>IF(tbl_raw[[#This Row],[Order_Status]]="Returned",1,0)</f>
        <v>0</v>
      </c>
      <c r="V839" s="23">
        <f>IF(tbl_raw[[#This Row],[Payment_Method]]="COD",1,0)</f>
        <v>1</v>
      </c>
      <c r="W839" s="26">
        <f>MIN(1,(tbl_raw[[#This Row],[Discount_Pct]]*1.4)+(tbl_raw[[#This Row],[COD_Flag]]*0.35))</f>
        <v>0.53200000000000003</v>
      </c>
    </row>
    <row r="840" spans="1:23" ht="22.8" x14ac:dyDescent="0.3">
      <c r="A840" s="17" t="s">
        <v>2081</v>
      </c>
      <c r="B840" s="18" t="s">
        <v>2082</v>
      </c>
      <c r="C840" s="18" t="s">
        <v>52</v>
      </c>
      <c r="D840" s="18" t="s">
        <v>175</v>
      </c>
      <c r="E840" s="18" t="s">
        <v>354</v>
      </c>
      <c r="F840" s="18" t="s">
        <v>2083</v>
      </c>
      <c r="G840" s="18" t="s">
        <v>143</v>
      </c>
      <c r="H840" s="18" t="s">
        <v>30</v>
      </c>
      <c r="I840" s="18">
        <v>18</v>
      </c>
      <c r="J840" s="19">
        <v>1806</v>
      </c>
      <c r="K840" s="19">
        <v>1228</v>
      </c>
      <c r="L840" s="20">
        <v>0.32</v>
      </c>
      <c r="M840" s="19">
        <v>1237</v>
      </c>
      <c r="N840" s="19">
        <f>(tbl_raw[[#This Row],[Selling_Price]]-tbl_raw[[#This Row],[Cost_Price]])*tbl_raw[[#This Row],[Units_Sold]]</f>
        <v>-162</v>
      </c>
      <c r="O840" s="20">
        <f>IFERROR((tbl_raw[[#This Row],[Selling_Price]]-tbl_raw[[#This Row],[Cost_Price]]) / tbl_raw[[#This Row],[Selling_Price]],0)</f>
        <v>-7.3289902280130291E-3</v>
      </c>
      <c r="P840" s="19">
        <v>165</v>
      </c>
      <c r="Q840" s="19">
        <f>tbl_raw[[#This Row],[Gross_Profit]]-(tbl_raw[[#This Row],[Shipping_Cost]]*tbl_raw[[#This Row],[Units_Sold]])</f>
        <v>-3132</v>
      </c>
      <c r="R840" s="20">
        <f>IFERROR(tbl_raw[[#This Row],[Net_Profit]]/(tbl_raw[[#This Row],[Selling_Price]]*tbl_raw[[#This Row],[Units_Sold]]),0)</f>
        <v>-0.14169381107491857</v>
      </c>
      <c r="S840" s="18" t="s">
        <v>40</v>
      </c>
      <c r="T840" s="18" t="s">
        <v>32</v>
      </c>
      <c r="U840" s="18">
        <f>IF(tbl_raw[[#This Row],[Order_Status]]="Returned",1,0)</f>
        <v>0</v>
      </c>
      <c r="V840" s="18">
        <f>IF(tbl_raw[[#This Row],[Payment_Method]]="COD",1,0)</f>
        <v>1</v>
      </c>
      <c r="W840" s="21">
        <f>MIN(1,(tbl_raw[[#This Row],[Discount_Pct]]*1.4)+(tbl_raw[[#This Row],[COD_Flag]]*0.35))</f>
        <v>0.79799999999999993</v>
      </c>
    </row>
    <row r="841" spans="1:23" ht="22.8" x14ac:dyDescent="0.3">
      <c r="A841" s="22" t="s">
        <v>2084</v>
      </c>
      <c r="B841" s="23" t="s">
        <v>218</v>
      </c>
      <c r="C841" s="23" t="s">
        <v>89</v>
      </c>
      <c r="D841" s="23" t="s">
        <v>53</v>
      </c>
      <c r="E841" s="23" t="s">
        <v>145</v>
      </c>
      <c r="F841" s="23" t="s">
        <v>2085</v>
      </c>
      <c r="G841" s="23" t="s">
        <v>143</v>
      </c>
      <c r="H841" s="23" t="s">
        <v>30</v>
      </c>
      <c r="I841" s="23">
        <v>11</v>
      </c>
      <c r="J841" s="24">
        <v>5643</v>
      </c>
      <c r="K841" s="24">
        <v>4345</v>
      </c>
      <c r="L841" s="25">
        <v>0.23</v>
      </c>
      <c r="M841" s="24">
        <v>2364</v>
      </c>
      <c r="N841" s="24">
        <f>(tbl_raw[[#This Row],[Selling_Price]]-tbl_raw[[#This Row],[Cost_Price]])*tbl_raw[[#This Row],[Units_Sold]]</f>
        <v>21791</v>
      </c>
      <c r="O841" s="25">
        <f>IFERROR((tbl_raw[[#This Row],[Selling_Price]]-tbl_raw[[#This Row],[Cost_Price]]) / tbl_raw[[#This Row],[Selling_Price]],0)</f>
        <v>0.45592635212888377</v>
      </c>
      <c r="P841" s="24">
        <v>165</v>
      </c>
      <c r="Q841" s="24">
        <f>tbl_raw[[#This Row],[Gross_Profit]]-(tbl_raw[[#This Row],[Shipping_Cost]]*tbl_raw[[#This Row],[Units_Sold]])</f>
        <v>19976</v>
      </c>
      <c r="R841" s="25">
        <f>IFERROR(tbl_raw[[#This Row],[Net_Profit]]/(tbl_raw[[#This Row],[Selling_Price]]*tbl_raw[[#This Row],[Units_Sold]]),0)</f>
        <v>0.41795166858457999</v>
      </c>
      <c r="S841" s="23" t="s">
        <v>65</v>
      </c>
      <c r="T841" s="23" t="s">
        <v>32</v>
      </c>
      <c r="U841" s="23">
        <f>IF(tbl_raw[[#This Row],[Order_Status]]="Returned",1,0)</f>
        <v>0</v>
      </c>
      <c r="V841" s="23">
        <f>IF(tbl_raw[[#This Row],[Payment_Method]]="COD",1,0)</f>
        <v>0</v>
      </c>
      <c r="W841" s="26">
        <f>MIN(1,(tbl_raw[[#This Row],[Discount_Pct]]*1.4)+(tbl_raw[[#This Row],[COD_Flag]]*0.35))</f>
        <v>0.32200000000000001</v>
      </c>
    </row>
    <row r="842" spans="1:23" ht="22.8" x14ac:dyDescent="0.3">
      <c r="A842" s="17" t="s">
        <v>2086</v>
      </c>
      <c r="B842" s="18" t="s">
        <v>803</v>
      </c>
      <c r="C842" s="18" t="s">
        <v>43</v>
      </c>
      <c r="D842" s="18" t="s">
        <v>94</v>
      </c>
      <c r="E842" s="18" t="s">
        <v>180</v>
      </c>
      <c r="F842" s="18" t="s">
        <v>2087</v>
      </c>
      <c r="G842" s="18" t="s">
        <v>38</v>
      </c>
      <c r="H842" s="18" t="s">
        <v>39</v>
      </c>
      <c r="I842" s="18">
        <v>7</v>
      </c>
      <c r="J842" s="19">
        <v>1157</v>
      </c>
      <c r="K842" s="19">
        <v>775</v>
      </c>
      <c r="L842" s="20">
        <v>0.33</v>
      </c>
      <c r="M842" s="19">
        <v>782</v>
      </c>
      <c r="N842" s="19">
        <f>(tbl_raw[[#This Row],[Selling_Price]]-tbl_raw[[#This Row],[Cost_Price]])*tbl_raw[[#This Row],[Units_Sold]]</f>
        <v>-49</v>
      </c>
      <c r="O842" s="20">
        <f>IFERROR((tbl_raw[[#This Row],[Selling_Price]]-tbl_raw[[#This Row],[Cost_Price]]) / tbl_raw[[#This Row],[Selling_Price]],0)</f>
        <v>-9.0322580645161299E-3</v>
      </c>
      <c r="P842" s="19">
        <v>35</v>
      </c>
      <c r="Q842" s="19">
        <f>tbl_raw[[#This Row],[Gross_Profit]]-(tbl_raw[[#This Row],[Shipping_Cost]]*tbl_raw[[#This Row],[Units_Sold]])</f>
        <v>-294</v>
      </c>
      <c r="R842" s="20">
        <f>IFERROR(tbl_raw[[#This Row],[Net_Profit]]/(tbl_raw[[#This Row],[Selling_Price]]*tbl_raw[[#This Row],[Units_Sold]]),0)</f>
        <v>-5.4193548387096772E-2</v>
      </c>
      <c r="S842" s="18" t="s">
        <v>40</v>
      </c>
      <c r="T842" s="18" t="s">
        <v>86</v>
      </c>
      <c r="U842" s="18">
        <f>IF(tbl_raw[[#This Row],[Order_Status]]="Returned",1,0)</f>
        <v>1</v>
      </c>
      <c r="V842" s="18">
        <f>IF(tbl_raw[[#This Row],[Payment_Method]]="COD",1,0)</f>
        <v>1</v>
      </c>
      <c r="W842" s="21">
        <f>MIN(1,(tbl_raw[[#This Row],[Discount_Pct]]*1.4)+(tbl_raw[[#This Row],[COD_Flag]]*0.35))</f>
        <v>0.81199999999999994</v>
      </c>
    </row>
    <row r="843" spans="1:23" ht="22.8" x14ac:dyDescent="0.3">
      <c r="A843" s="22" t="s">
        <v>2088</v>
      </c>
      <c r="B843" s="23" t="s">
        <v>1515</v>
      </c>
      <c r="C843" s="23" t="s">
        <v>117</v>
      </c>
      <c r="D843" s="23" t="s">
        <v>26</v>
      </c>
      <c r="E843" s="23" t="s">
        <v>168</v>
      </c>
      <c r="F843" s="23" t="s">
        <v>2089</v>
      </c>
      <c r="G843" s="23" t="s">
        <v>139</v>
      </c>
      <c r="H843" s="23" t="s">
        <v>48</v>
      </c>
      <c r="I843" s="23">
        <v>9</v>
      </c>
      <c r="J843" s="24">
        <v>2368</v>
      </c>
      <c r="K843" s="24">
        <v>1965</v>
      </c>
      <c r="L843" s="25">
        <v>0.17</v>
      </c>
      <c r="M843" s="24">
        <v>1633</v>
      </c>
      <c r="N843" s="24">
        <f>(tbl_raw[[#This Row],[Selling_Price]]-tbl_raw[[#This Row],[Cost_Price]])*tbl_raw[[#This Row],[Units_Sold]]</f>
        <v>2988</v>
      </c>
      <c r="O843" s="25">
        <f>IFERROR((tbl_raw[[#This Row],[Selling_Price]]-tbl_raw[[#This Row],[Cost_Price]]) / tbl_raw[[#This Row],[Selling_Price]],0)</f>
        <v>0.16895674300254454</v>
      </c>
      <c r="P843" s="24">
        <v>43</v>
      </c>
      <c r="Q843" s="24">
        <f>tbl_raw[[#This Row],[Gross_Profit]]-(tbl_raw[[#This Row],[Shipping_Cost]]*tbl_raw[[#This Row],[Units_Sold]])</f>
        <v>2601</v>
      </c>
      <c r="R843" s="25">
        <f>IFERROR(tbl_raw[[#This Row],[Net_Profit]]/(tbl_raw[[#This Row],[Selling_Price]]*tbl_raw[[#This Row],[Units_Sold]]),0)</f>
        <v>0.14707379134860052</v>
      </c>
      <c r="S843" s="23" t="s">
        <v>107</v>
      </c>
      <c r="T843" s="23" t="s">
        <v>32</v>
      </c>
      <c r="U843" s="23">
        <f>IF(tbl_raw[[#This Row],[Order_Status]]="Returned",1,0)</f>
        <v>0</v>
      </c>
      <c r="V843" s="23">
        <f>IF(tbl_raw[[#This Row],[Payment_Method]]="COD",1,0)</f>
        <v>0</v>
      </c>
      <c r="W843" s="26">
        <f>MIN(1,(tbl_raw[[#This Row],[Discount_Pct]]*1.4)+(tbl_raw[[#This Row],[COD_Flag]]*0.35))</f>
        <v>0.23799999999999999</v>
      </c>
    </row>
    <row r="844" spans="1:23" ht="22.8" x14ac:dyDescent="0.3">
      <c r="A844" s="17" t="s">
        <v>2090</v>
      </c>
      <c r="B844" s="18" t="s">
        <v>952</v>
      </c>
      <c r="C844" s="18" t="s">
        <v>132</v>
      </c>
      <c r="D844" s="18" t="s">
        <v>78</v>
      </c>
      <c r="E844" s="18" t="s">
        <v>534</v>
      </c>
      <c r="F844" s="18" t="s">
        <v>2091</v>
      </c>
      <c r="G844" s="18" t="s">
        <v>139</v>
      </c>
      <c r="H844" s="18" t="s">
        <v>48</v>
      </c>
      <c r="I844" s="18">
        <v>8</v>
      </c>
      <c r="J844" s="19">
        <v>1805</v>
      </c>
      <c r="K844" s="19">
        <v>1661</v>
      </c>
      <c r="L844" s="20">
        <v>0.08</v>
      </c>
      <c r="M844" s="19">
        <v>994</v>
      </c>
      <c r="N844" s="19">
        <f>(tbl_raw[[#This Row],[Selling_Price]]-tbl_raw[[#This Row],[Cost_Price]])*tbl_raw[[#This Row],[Units_Sold]]</f>
        <v>5336</v>
      </c>
      <c r="O844" s="20">
        <f>IFERROR((tbl_raw[[#This Row],[Selling_Price]]-tbl_raw[[#This Row],[Cost_Price]]) / tbl_raw[[#This Row],[Selling_Price]],0)</f>
        <v>0.40156532209512341</v>
      </c>
      <c r="P844" s="19">
        <v>38</v>
      </c>
      <c r="Q844" s="19">
        <f>tbl_raw[[#This Row],[Gross_Profit]]-(tbl_raw[[#This Row],[Shipping_Cost]]*tbl_raw[[#This Row],[Units_Sold]])</f>
        <v>5032</v>
      </c>
      <c r="R844" s="20">
        <f>IFERROR(tbl_raw[[#This Row],[Net_Profit]]/(tbl_raw[[#This Row],[Selling_Price]]*tbl_raw[[#This Row],[Units_Sold]]),0)</f>
        <v>0.378687537627935</v>
      </c>
      <c r="S844" s="18" t="s">
        <v>107</v>
      </c>
      <c r="T844" s="18" t="s">
        <v>86</v>
      </c>
      <c r="U844" s="18">
        <f>IF(tbl_raw[[#This Row],[Order_Status]]="Returned",1,0)</f>
        <v>1</v>
      </c>
      <c r="V844" s="18">
        <f>IF(tbl_raw[[#This Row],[Payment_Method]]="COD",1,0)</f>
        <v>0</v>
      </c>
      <c r="W844" s="21">
        <f>MIN(1,(tbl_raw[[#This Row],[Discount_Pct]]*1.4)+(tbl_raw[[#This Row],[COD_Flag]]*0.35))</f>
        <v>0.11199999999999999</v>
      </c>
    </row>
    <row r="845" spans="1:23" ht="22.8" x14ac:dyDescent="0.3">
      <c r="A845" s="22" t="s">
        <v>2092</v>
      </c>
      <c r="B845" s="23" t="s">
        <v>1567</v>
      </c>
      <c r="C845" s="23" t="s">
        <v>132</v>
      </c>
      <c r="D845" s="23" t="s">
        <v>44</v>
      </c>
      <c r="E845" s="23" t="s">
        <v>279</v>
      </c>
      <c r="F845" s="23" t="s">
        <v>2093</v>
      </c>
      <c r="G845" s="23" t="s">
        <v>102</v>
      </c>
      <c r="H845" s="23" t="s">
        <v>39</v>
      </c>
      <c r="I845" s="23">
        <v>7</v>
      </c>
      <c r="J845" s="24">
        <v>6107</v>
      </c>
      <c r="K845" s="24">
        <v>5191</v>
      </c>
      <c r="L845" s="25">
        <v>0.15</v>
      </c>
      <c r="M845" s="24">
        <v>4215</v>
      </c>
      <c r="N845" s="24">
        <f>(tbl_raw[[#This Row],[Selling_Price]]-tbl_raw[[#This Row],[Cost_Price]])*tbl_raw[[#This Row],[Units_Sold]]</f>
        <v>6832</v>
      </c>
      <c r="O845" s="25">
        <f>IFERROR((tbl_raw[[#This Row],[Selling_Price]]-tbl_raw[[#This Row],[Cost_Price]]) / tbl_raw[[#This Row],[Selling_Price]],0)</f>
        <v>0.18801772298208438</v>
      </c>
      <c r="P845" s="24">
        <v>95</v>
      </c>
      <c r="Q845" s="24">
        <f>tbl_raw[[#This Row],[Gross_Profit]]-(tbl_raw[[#This Row],[Shipping_Cost]]*tbl_raw[[#This Row],[Units_Sold]])</f>
        <v>6167</v>
      </c>
      <c r="R845" s="25">
        <f>IFERROR(tbl_raw[[#This Row],[Net_Profit]]/(tbl_raw[[#This Row],[Selling_Price]]*tbl_raw[[#This Row],[Units_Sold]]),0)</f>
        <v>0.16971681756886919</v>
      </c>
      <c r="S845" s="23" t="s">
        <v>31</v>
      </c>
      <c r="T845" s="23" t="s">
        <v>49</v>
      </c>
      <c r="U845" s="23">
        <f>IF(tbl_raw[[#This Row],[Order_Status]]="Returned",1,0)</f>
        <v>0</v>
      </c>
      <c r="V845" s="23">
        <f>IF(tbl_raw[[#This Row],[Payment_Method]]="COD",1,0)</f>
        <v>0</v>
      </c>
      <c r="W845" s="26">
        <f>MIN(1,(tbl_raw[[#This Row],[Discount_Pct]]*1.4)+(tbl_raw[[#This Row],[COD_Flag]]*0.35))</f>
        <v>0.21</v>
      </c>
    </row>
    <row r="846" spans="1:23" ht="22.8" x14ac:dyDescent="0.3">
      <c r="A846" s="17" t="s">
        <v>2094</v>
      </c>
      <c r="B846" s="18" t="s">
        <v>996</v>
      </c>
      <c r="C846" s="18" t="s">
        <v>132</v>
      </c>
      <c r="D846" s="18" t="s">
        <v>175</v>
      </c>
      <c r="E846" s="18" t="s">
        <v>176</v>
      </c>
      <c r="F846" s="18" t="s">
        <v>2095</v>
      </c>
      <c r="G846" s="18" t="s">
        <v>143</v>
      </c>
      <c r="H846" s="18" t="s">
        <v>30</v>
      </c>
      <c r="I846" s="18">
        <v>18</v>
      </c>
      <c r="J846" s="19">
        <v>3815</v>
      </c>
      <c r="K846" s="19">
        <v>2823</v>
      </c>
      <c r="L846" s="20">
        <v>0.26</v>
      </c>
      <c r="M846" s="19">
        <v>2285</v>
      </c>
      <c r="N846" s="19">
        <f>(tbl_raw[[#This Row],[Selling_Price]]-tbl_raw[[#This Row],[Cost_Price]])*tbl_raw[[#This Row],[Units_Sold]]</f>
        <v>9684</v>
      </c>
      <c r="O846" s="20">
        <f>IFERROR((tbl_raw[[#This Row],[Selling_Price]]-tbl_raw[[#This Row],[Cost_Price]]) / tbl_raw[[#This Row],[Selling_Price]],0)</f>
        <v>0.19057739992915337</v>
      </c>
      <c r="P846" s="19">
        <v>108</v>
      </c>
      <c r="Q846" s="19">
        <f>tbl_raw[[#This Row],[Gross_Profit]]-(tbl_raw[[#This Row],[Shipping_Cost]]*tbl_raw[[#This Row],[Units_Sold]])</f>
        <v>7740</v>
      </c>
      <c r="R846" s="20">
        <f>IFERROR(tbl_raw[[#This Row],[Net_Profit]]/(tbl_raw[[#This Row],[Selling_Price]]*tbl_raw[[#This Row],[Units_Sold]]),0)</f>
        <v>0.15232022670917464</v>
      </c>
      <c r="S846" s="18" t="s">
        <v>40</v>
      </c>
      <c r="T846" s="18" t="s">
        <v>32</v>
      </c>
      <c r="U846" s="18">
        <f>IF(tbl_raw[[#This Row],[Order_Status]]="Returned",1,0)</f>
        <v>0</v>
      </c>
      <c r="V846" s="18">
        <f>IF(tbl_raw[[#This Row],[Payment_Method]]="COD",1,0)</f>
        <v>1</v>
      </c>
      <c r="W846" s="21">
        <f>MIN(1,(tbl_raw[[#This Row],[Discount_Pct]]*1.4)+(tbl_raw[[#This Row],[COD_Flag]]*0.35))</f>
        <v>0.71399999999999997</v>
      </c>
    </row>
    <row r="847" spans="1:23" ht="22.8" x14ac:dyDescent="0.3">
      <c r="A847" s="22" t="s">
        <v>2096</v>
      </c>
      <c r="B847" s="23" t="s">
        <v>750</v>
      </c>
      <c r="C847" s="23" t="s">
        <v>35</v>
      </c>
      <c r="D847" s="23" t="s">
        <v>26</v>
      </c>
      <c r="E847" s="23" t="s">
        <v>27</v>
      </c>
      <c r="F847" s="23" t="s">
        <v>2097</v>
      </c>
      <c r="G847" s="23" t="s">
        <v>143</v>
      </c>
      <c r="H847" s="23" t="s">
        <v>30</v>
      </c>
      <c r="I847" s="23">
        <v>3</v>
      </c>
      <c r="J847" s="24">
        <v>7991</v>
      </c>
      <c r="K847" s="24">
        <v>5194</v>
      </c>
      <c r="L847" s="25">
        <v>0.35</v>
      </c>
      <c r="M847" s="24">
        <v>4024</v>
      </c>
      <c r="N847" s="24">
        <f>(tbl_raw[[#This Row],[Selling_Price]]-tbl_raw[[#This Row],[Cost_Price]])*tbl_raw[[#This Row],[Units_Sold]]</f>
        <v>3510</v>
      </c>
      <c r="O847" s="25">
        <f>IFERROR((tbl_raw[[#This Row],[Selling_Price]]-tbl_raw[[#This Row],[Cost_Price]]) / tbl_raw[[#This Row],[Selling_Price]],0)</f>
        <v>0.22525991528686948</v>
      </c>
      <c r="P847" s="24">
        <v>116</v>
      </c>
      <c r="Q847" s="24">
        <f>tbl_raw[[#This Row],[Gross_Profit]]-(tbl_raw[[#This Row],[Shipping_Cost]]*tbl_raw[[#This Row],[Units_Sold]])</f>
        <v>3162</v>
      </c>
      <c r="R847" s="25">
        <f>IFERROR(tbl_raw[[#This Row],[Net_Profit]]/(tbl_raw[[#This Row],[Selling_Price]]*tbl_raw[[#This Row],[Units_Sold]]),0)</f>
        <v>0.20292645360030806</v>
      </c>
      <c r="S847" s="23" t="s">
        <v>58</v>
      </c>
      <c r="T847" s="23" t="s">
        <v>32</v>
      </c>
      <c r="U847" s="23">
        <f>IF(tbl_raw[[#This Row],[Order_Status]]="Returned",1,0)</f>
        <v>0</v>
      </c>
      <c r="V847" s="23">
        <f>IF(tbl_raw[[#This Row],[Payment_Method]]="COD",1,0)</f>
        <v>0</v>
      </c>
      <c r="W847" s="26">
        <f>MIN(1,(tbl_raw[[#This Row],[Discount_Pct]]*1.4)+(tbl_raw[[#This Row],[COD_Flag]]*0.35))</f>
        <v>0.48999999999999994</v>
      </c>
    </row>
    <row r="848" spans="1:23" ht="22.8" x14ac:dyDescent="0.3">
      <c r="A848" s="17" t="s">
        <v>2098</v>
      </c>
      <c r="B848" s="18" t="s">
        <v>202</v>
      </c>
      <c r="C848" s="18" t="s">
        <v>25</v>
      </c>
      <c r="D848" s="18" t="s">
        <v>26</v>
      </c>
      <c r="E848" s="18" t="s">
        <v>125</v>
      </c>
      <c r="F848" s="18" t="s">
        <v>2099</v>
      </c>
      <c r="G848" s="18" t="s">
        <v>102</v>
      </c>
      <c r="H848" s="18" t="s">
        <v>39</v>
      </c>
      <c r="I848" s="18">
        <v>11</v>
      </c>
      <c r="J848" s="19">
        <v>6721</v>
      </c>
      <c r="K848" s="19">
        <v>4167</v>
      </c>
      <c r="L848" s="20">
        <v>0.38</v>
      </c>
      <c r="M848" s="19">
        <v>3732</v>
      </c>
      <c r="N848" s="19">
        <f>(tbl_raw[[#This Row],[Selling_Price]]-tbl_raw[[#This Row],[Cost_Price]])*tbl_raw[[#This Row],[Units_Sold]]</f>
        <v>4785</v>
      </c>
      <c r="O848" s="20">
        <f>IFERROR((tbl_raw[[#This Row],[Selling_Price]]-tbl_raw[[#This Row],[Cost_Price]]) / tbl_raw[[#This Row],[Selling_Price]],0)</f>
        <v>0.10439164866810655</v>
      </c>
      <c r="P848" s="19">
        <v>33</v>
      </c>
      <c r="Q848" s="19">
        <f>tbl_raw[[#This Row],[Gross_Profit]]-(tbl_raw[[#This Row],[Shipping_Cost]]*tbl_raw[[#This Row],[Units_Sold]])</f>
        <v>4422</v>
      </c>
      <c r="R848" s="20">
        <f>IFERROR(tbl_raw[[#This Row],[Net_Profit]]/(tbl_raw[[#This Row],[Selling_Price]]*tbl_raw[[#This Row],[Units_Sold]]),0)</f>
        <v>9.64722822174226E-2</v>
      </c>
      <c r="S848" s="18" t="s">
        <v>58</v>
      </c>
      <c r="T848" s="18" t="s">
        <v>49</v>
      </c>
      <c r="U848" s="18">
        <f>IF(tbl_raw[[#This Row],[Order_Status]]="Returned",1,0)</f>
        <v>0</v>
      </c>
      <c r="V848" s="18">
        <f>IF(tbl_raw[[#This Row],[Payment_Method]]="COD",1,0)</f>
        <v>0</v>
      </c>
      <c r="W848" s="21">
        <f>MIN(1,(tbl_raw[[#This Row],[Discount_Pct]]*1.4)+(tbl_raw[[#This Row],[COD_Flag]]*0.35))</f>
        <v>0.53199999999999992</v>
      </c>
    </row>
    <row r="849" spans="1:23" ht="22.8" x14ac:dyDescent="0.3">
      <c r="A849" s="22" t="s">
        <v>2100</v>
      </c>
      <c r="B849" s="23" t="s">
        <v>661</v>
      </c>
      <c r="C849" s="23" t="s">
        <v>117</v>
      </c>
      <c r="D849" s="23" t="s">
        <v>94</v>
      </c>
      <c r="E849" s="23" t="s">
        <v>310</v>
      </c>
      <c r="F849" s="23" t="s">
        <v>2101</v>
      </c>
      <c r="G849" s="23" t="s">
        <v>102</v>
      </c>
      <c r="H849" s="23" t="s">
        <v>39</v>
      </c>
      <c r="I849" s="23">
        <v>3</v>
      </c>
      <c r="J849" s="24">
        <v>2356</v>
      </c>
      <c r="K849" s="24">
        <v>1720</v>
      </c>
      <c r="L849" s="25">
        <v>0.27</v>
      </c>
      <c r="M849" s="24">
        <v>1201</v>
      </c>
      <c r="N849" s="24">
        <f>(tbl_raw[[#This Row],[Selling_Price]]-tbl_raw[[#This Row],[Cost_Price]])*tbl_raw[[#This Row],[Units_Sold]]</f>
        <v>1557</v>
      </c>
      <c r="O849" s="25">
        <f>IFERROR((tbl_raw[[#This Row],[Selling_Price]]-tbl_raw[[#This Row],[Cost_Price]]) / tbl_raw[[#This Row],[Selling_Price]],0)</f>
        <v>0.30174418604651165</v>
      </c>
      <c r="P849" s="24">
        <v>40</v>
      </c>
      <c r="Q849" s="24">
        <f>tbl_raw[[#This Row],[Gross_Profit]]-(tbl_raw[[#This Row],[Shipping_Cost]]*tbl_raw[[#This Row],[Units_Sold]])</f>
        <v>1437</v>
      </c>
      <c r="R849" s="25">
        <f>IFERROR(tbl_raw[[#This Row],[Net_Profit]]/(tbl_raw[[#This Row],[Selling_Price]]*tbl_raw[[#This Row],[Units_Sold]]),0)</f>
        <v>0.27848837209302324</v>
      </c>
      <c r="S849" s="23" t="s">
        <v>40</v>
      </c>
      <c r="T849" s="23" t="s">
        <v>59</v>
      </c>
      <c r="U849" s="23">
        <f>IF(tbl_raw[[#This Row],[Order_Status]]="Returned",1,0)</f>
        <v>0</v>
      </c>
      <c r="V849" s="23">
        <f>IF(tbl_raw[[#This Row],[Payment_Method]]="COD",1,0)</f>
        <v>1</v>
      </c>
      <c r="W849" s="26">
        <f>MIN(1,(tbl_raw[[#This Row],[Discount_Pct]]*1.4)+(tbl_raw[[#This Row],[COD_Flag]]*0.35))</f>
        <v>0.72799999999999998</v>
      </c>
    </row>
    <row r="850" spans="1:23" ht="22.8" x14ac:dyDescent="0.3">
      <c r="A850" s="17" t="s">
        <v>2102</v>
      </c>
      <c r="B850" s="18" t="s">
        <v>808</v>
      </c>
      <c r="C850" s="18" t="s">
        <v>99</v>
      </c>
      <c r="D850" s="18" t="s">
        <v>62</v>
      </c>
      <c r="E850" s="18" t="s">
        <v>203</v>
      </c>
      <c r="F850" s="18" t="s">
        <v>2103</v>
      </c>
      <c r="G850" s="18" t="s">
        <v>81</v>
      </c>
      <c r="H850" s="18" t="s">
        <v>30</v>
      </c>
      <c r="I850" s="18">
        <v>5</v>
      </c>
      <c r="J850" s="19">
        <v>6996</v>
      </c>
      <c r="K850" s="19">
        <v>4897</v>
      </c>
      <c r="L850" s="20">
        <v>0.3</v>
      </c>
      <c r="M850" s="19">
        <v>3368</v>
      </c>
      <c r="N850" s="19">
        <f>(tbl_raw[[#This Row],[Selling_Price]]-tbl_raw[[#This Row],[Cost_Price]])*tbl_raw[[#This Row],[Units_Sold]]</f>
        <v>7645</v>
      </c>
      <c r="O850" s="20">
        <f>IFERROR((tbl_raw[[#This Row],[Selling_Price]]-tbl_raw[[#This Row],[Cost_Price]]) / tbl_raw[[#This Row],[Selling_Price]],0)</f>
        <v>0.31223197876250763</v>
      </c>
      <c r="P850" s="19">
        <v>128</v>
      </c>
      <c r="Q850" s="19">
        <f>tbl_raw[[#This Row],[Gross_Profit]]-(tbl_raw[[#This Row],[Shipping_Cost]]*tbl_raw[[#This Row],[Units_Sold]])</f>
        <v>7005</v>
      </c>
      <c r="R850" s="20">
        <f>IFERROR(tbl_raw[[#This Row],[Net_Profit]]/(tbl_raw[[#This Row],[Selling_Price]]*tbl_raw[[#This Row],[Units_Sold]]),0)</f>
        <v>0.28609352664896875</v>
      </c>
      <c r="S850" s="18" t="s">
        <v>40</v>
      </c>
      <c r="T850" s="18" t="s">
        <v>49</v>
      </c>
      <c r="U850" s="18">
        <f>IF(tbl_raw[[#This Row],[Order_Status]]="Returned",1,0)</f>
        <v>0</v>
      </c>
      <c r="V850" s="18">
        <f>IF(tbl_raw[[#This Row],[Payment_Method]]="COD",1,0)</f>
        <v>1</v>
      </c>
      <c r="W850" s="21">
        <f>MIN(1,(tbl_raw[[#This Row],[Discount_Pct]]*1.4)+(tbl_raw[[#This Row],[COD_Flag]]*0.35))</f>
        <v>0.77</v>
      </c>
    </row>
    <row r="851" spans="1:23" ht="22.8" x14ac:dyDescent="0.3">
      <c r="A851" s="22" t="s">
        <v>2104</v>
      </c>
      <c r="B851" s="23" t="s">
        <v>198</v>
      </c>
      <c r="C851" s="23" t="s">
        <v>199</v>
      </c>
      <c r="D851" s="23" t="s">
        <v>26</v>
      </c>
      <c r="E851" s="23" t="s">
        <v>36</v>
      </c>
      <c r="F851" s="23" t="s">
        <v>2105</v>
      </c>
      <c r="G851" s="23" t="s">
        <v>29</v>
      </c>
      <c r="H851" s="23" t="s">
        <v>30</v>
      </c>
      <c r="I851" s="23">
        <v>2</v>
      </c>
      <c r="J851" s="24">
        <v>7623</v>
      </c>
      <c r="K851" s="24">
        <v>4193</v>
      </c>
      <c r="L851" s="25">
        <v>0.45</v>
      </c>
      <c r="M851" s="24">
        <v>5651</v>
      </c>
      <c r="N851" s="24">
        <f>(tbl_raw[[#This Row],[Selling_Price]]-tbl_raw[[#This Row],[Cost_Price]])*tbl_raw[[#This Row],[Units_Sold]]</f>
        <v>-2916</v>
      </c>
      <c r="O851" s="25">
        <f>IFERROR((tbl_raw[[#This Row],[Selling_Price]]-tbl_raw[[#This Row],[Cost_Price]]) / tbl_raw[[#This Row],[Selling_Price]],0)</f>
        <v>-0.34772239446696873</v>
      </c>
      <c r="P851" s="24">
        <v>32</v>
      </c>
      <c r="Q851" s="24">
        <f>tbl_raw[[#This Row],[Gross_Profit]]-(tbl_raw[[#This Row],[Shipping_Cost]]*tbl_raw[[#This Row],[Units_Sold]])</f>
        <v>-2980</v>
      </c>
      <c r="R851" s="25">
        <f>IFERROR(tbl_raw[[#This Row],[Net_Profit]]/(tbl_raw[[#This Row],[Selling_Price]]*tbl_raw[[#This Row],[Units_Sold]]),0)</f>
        <v>-0.35535416169806822</v>
      </c>
      <c r="S851" s="23" t="s">
        <v>107</v>
      </c>
      <c r="T851" s="23" t="s">
        <v>32</v>
      </c>
      <c r="U851" s="23">
        <f>IF(tbl_raw[[#This Row],[Order_Status]]="Returned",1,0)</f>
        <v>0</v>
      </c>
      <c r="V851" s="23">
        <f>IF(tbl_raw[[#This Row],[Payment_Method]]="COD",1,0)</f>
        <v>0</v>
      </c>
      <c r="W851" s="26">
        <f>MIN(1,(tbl_raw[[#This Row],[Discount_Pct]]*1.4)+(tbl_raw[[#This Row],[COD_Flag]]*0.35))</f>
        <v>0.63</v>
      </c>
    </row>
    <row r="852" spans="1:23" ht="22.8" x14ac:dyDescent="0.3">
      <c r="A852" s="17" t="s">
        <v>2106</v>
      </c>
      <c r="B852" s="18" t="s">
        <v>1462</v>
      </c>
      <c r="C852" s="18" t="s">
        <v>35</v>
      </c>
      <c r="D852" s="18" t="s">
        <v>175</v>
      </c>
      <c r="E852" s="18" t="s">
        <v>354</v>
      </c>
      <c r="F852" s="18" t="s">
        <v>2107</v>
      </c>
      <c r="G852" s="18" t="s">
        <v>75</v>
      </c>
      <c r="H852" s="18" t="s">
        <v>48</v>
      </c>
      <c r="I852" s="18">
        <v>4</v>
      </c>
      <c r="J852" s="19">
        <v>4186</v>
      </c>
      <c r="K852" s="19">
        <v>3726</v>
      </c>
      <c r="L852" s="20">
        <v>0.11</v>
      </c>
      <c r="M852" s="19">
        <v>2152</v>
      </c>
      <c r="N852" s="19">
        <f>(tbl_raw[[#This Row],[Selling_Price]]-tbl_raw[[#This Row],[Cost_Price]])*tbl_raw[[#This Row],[Units_Sold]]</f>
        <v>6296</v>
      </c>
      <c r="O852" s="20">
        <f>IFERROR((tbl_raw[[#This Row],[Selling_Price]]-tbl_raw[[#This Row],[Cost_Price]]) / tbl_raw[[#This Row],[Selling_Price]],0)</f>
        <v>0.42243692968330648</v>
      </c>
      <c r="P852" s="19">
        <v>86</v>
      </c>
      <c r="Q852" s="19">
        <f>tbl_raw[[#This Row],[Gross_Profit]]-(tbl_raw[[#This Row],[Shipping_Cost]]*tbl_raw[[#This Row],[Units_Sold]])</f>
        <v>5952</v>
      </c>
      <c r="R852" s="20">
        <f>IFERROR(tbl_raw[[#This Row],[Net_Profit]]/(tbl_raw[[#This Row],[Selling_Price]]*tbl_raw[[#This Row],[Units_Sold]]),0)</f>
        <v>0.39935587761674718</v>
      </c>
      <c r="S852" s="18" t="s">
        <v>31</v>
      </c>
      <c r="T852" s="18" t="s">
        <v>32</v>
      </c>
      <c r="U852" s="18">
        <f>IF(tbl_raw[[#This Row],[Order_Status]]="Returned",1,0)</f>
        <v>0</v>
      </c>
      <c r="V852" s="18">
        <f>IF(tbl_raw[[#This Row],[Payment_Method]]="COD",1,0)</f>
        <v>0</v>
      </c>
      <c r="W852" s="21">
        <f>MIN(1,(tbl_raw[[#This Row],[Discount_Pct]]*1.4)+(tbl_raw[[#This Row],[COD_Flag]]*0.35))</f>
        <v>0.154</v>
      </c>
    </row>
    <row r="853" spans="1:23" ht="22.8" x14ac:dyDescent="0.3">
      <c r="A853" s="22" t="s">
        <v>2108</v>
      </c>
      <c r="B853" s="23" t="s">
        <v>1787</v>
      </c>
      <c r="C853" s="23" t="s">
        <v>99</v>
      </c>
      <c r="D853" s="23" t="s">
        <v>26</v>
      </c>
      <c r="E853" s="23" t="s">
        <v>27</v>
      </c>
      <c r="F853" s="23" t="s">
        <v>2109</v>
      </c>
      <c r="G853" s="23" t="s">
        <v>56</v>
      </c>
      <c r="H853" s="23" t="s">
        <v>57</v>
      </c>
      <c r="I853" s="23">
        <v>11</v>
      </c>
      <c r="J853" s="24">
        <v>7806</v>
      </c>
      <c r="K853" s="24">
        <v>4684</v>
      </c>
      <c r="L853" s="25">
        <v>0.4</v>
      </c>
      <c r="M853" s="24">
        <v>4146</v>
      </c>
      <c r="N853" s="24">
        <f>(tbl_raw[[#This Row],[Selling_Price]]-tbl_raw[[#This Row],[Cost_Price]])*tbl_raw[[#This Row],[Units_Sold]]</f>
        <v>5918</v>
      </c>
      <c r="O853" s="25">
        <f>IFERROR((tbl_raw[[#This Row],[Selling_Price]]-tbl_raw[[#This Row],[Cost_Price]]) / tbl_raw[[#This Row],[Selling_Price]],0)</f>
        <v>0.11485909479077712</v>
      </c>
      <c r="P853" s="24">
        <v>171</v>
      </c>
      <c r="Q853" s="24">
        <f>tbl_raw[[#This Row],[Gross_Profit]]-(tbl_raw[[#This Row],[Shipping_Cost]]*tbl_raw[[#This Row],[Units_Sold]])</f>
        <v>4037</v>
      </c>
      <c r="R853" s="25">
        <f>IFERROR(tbl_raw[[#This Row],[Net_Profit]]/(tbl_raw[[#This Row],[Selling_Price]]*tbl_raw[[#This Row],[Units_Sold]]),0)</f>
        <v>7.8351836037574729E-2</v>
      </c>
      <c r="S853" s="23" t="s">
        <v>107</v>
      </c>
      <c r="T853" s="23" t="s">
        <v>32</v>
      </c>
      <c r="U853" s="23">
        <f>IF(tbl_raw[[#This Row],[Order_Status]]="Returned",1,0)</f>
        <v>0</v>
      </c>
      <c r="V853" s="23">
        <f>IF(tbl_raw[[#This Row],[Payment_Method]]="COD",1,0)</f>
        <v>0</v>
      </c>
      <c r="W853" s="26">
        <f>MIN(1,(tbl_raw[[#This Row],[Discount_Pct]]*1.4)+(tbl_raw[[#This Row],[COD_Flag]]*0.35))</f>
        <v>0.55999999999999994</v>
      </c>
    </row>
    <row r="854" spans="1:23" ht="22.8" x14ac:dyDescent="0.3">
      <c r="A854" s="17" t="s">
        <v>2110</v>
      </c>
      <c r="B854" s="18" t="s">
        <v>186</v>
      </c>
      <c r="C854" s="18" t="s">
        <v>132</v>
      </c>
      <c r="D854" s="18" t="s">
        <v>164</v>
      </c>
      <c r="E854" s="18" t="s">
        <v>345</v>
      </c>
      <c r="F854" s="18" t="s">
        <v>2111</v>
      </c>
      <c r="G854" s="18" t="s">
        <v>120</v>
      </c>
      <c r="H854" s="18" t="s">
        <v>39</v>
      </c>
      <c r="I854" s="18">
        <v>20</v>
      </c>
      <c r="J854" s="19">
        <v>1850</v>
      </c>
      <c r="K854" s="19">
        <v>1591</v>
      </c>
      <c r="L854" s="20">
        <v>0.14000000000000001</v>
      </c>
      <c r="M854" s="19">
        <v>1203</v>
      </c>
      <c r="N854" s="19">
        <f>(tbl_raw[[#This Row],[Selling_Price]]-tbl_raw[[#This Row],[Cost_Price]])*tbl_raw[[#This Row],[Units_Sold]]</f>
        <v>7760</v>
      </c>
      <c r="O854" s="20">
        <f>IFERROR((tbl_raw[[#This Row],[Selling_Price]]-tbl_raw[[#This Row],[Cost_Price]]) / tbl_raw[[#This Row],[Selling_Price]],0)</f>
        <v>0.24387177875549967</v>
      </c>
      <c r="P854" s="19">
        <v>141</v>
      </c>
      <c r="Q854" s="19">
        <f>tbl_raw[[#This Row],[Gross_Profit]]-(tbl_raw[[#This Row],[Shipping_Cost]]*tbl_raw[[#This Row],[Units_Sold]])</f>
        <v>4940</v>
      </c>
      <c r="R854" s="20">
        <f>IFERROR(tbl_raw[[#This Row],[Net_Profit]]/(tbl_raw[[#This Row],[Selling_Price]]*tbl_raw[[#This Row],[Units_Sold]]),0)</f>
        <v>0.1552482715273413</v>
      </c>
      <c r="S854" s="18" t="s">
        <v>65</v>
      </c>
      <c r="T854" s="18" t="s">
        <v>49</v>
      </c>
      <c r="U854" s="18">
        <f>IF(tbl_raw[[#This Row],[Order_Status]]="Returned",1,0)</f>
        <v>0</v>
      </c>
      <c r="V854" s="18">
        <f>IF(tbl_raw[[#This Row],[Payment_Method]]="COD",1,0)</f>
        <v>0</v>
      </c>
      <c r="W854" s="21">
        <f>MIN(1,(tbl_raw[[#This Row],[Discount_Pct]]*1.4)+(tbl_raw[[#This Row],[COD_Flag]]*0.35))</f>
        <v>0.19600000000000001</v>
      </c>
    </row>
    <row r="855" spans="1:23" ht="22.8" x14ac:dyDescent="0.3">
      <c r="A855" s="22" t="s">
        <v>2112</v>
      </c>
      <c r="B855" s="23" t="s">
        <v>1433</v>
      </c>
      <c r="C855" s="23" t="s">
        <v>52</v>
      </c>
      <c r="D855" s="23" t="s">
        <v>26</v>
      </c>
      <c r="E855" s="23" t="s">
        <v>100</v>
      </c>
      <c r="F855" s="23" t="s">
        <v>2113</v>
      </c>
      <c r="G855" s="23" t="s">
        <v>120</v>
      </c>
      <c r="H855" s="23" t="s">
        <v>39</v>
      </c>
      <c r="I855" s="23">
        <v>3</v>
      </c>
      <c r="J855" s="24">
        <v>7677</v>
      </c>
      <c r="K855" s="24">
        <v>4222</v>
      </c>
      <c r="L855" s="25">
        <v>0.45</v>
      </c>
      <c r="M855" s="24">
        <v>4590</v>
      </c>
      <c r="N855" s="24">
        <f>(tbl_raw[[#This Row],[Selling_Price]]-tbl_raw[[#This Row],[Cost_Price]])*tbl_raw[[#This Row],[Units_Sold]]</f>
        <v>-1104</v>
      </c>
      <c r="O855" s="25">
        <f>IFERROR((tbl_raw[[#This Row],[Selling_Price]]-tbl_raw[[#This Row],[Cost_Price]]) / tbl_raw[[#This Row],[Selling_Price]],0)</f>
        <v>-8.7162482235907154E-2</v>
      </c>
      <c r="P855" s="24">
        <v>180</v>
      </c>
      <c r="Q855" s="24">
        <f>tbl_raw[[#This Row],[Gross_Profit]]-(tbl_raw[[#This Row],[Shipping_Cost]]*tbl_raw[[#This Row],[Units_Sold]])</f>
        <v>-1644</v>
      </c>
      <c r="R855" s="25">
        <f>IFERROR(tbl_raw[[#This Row],[Net_Profit]]/(tbl_raw[[#This Row],[Selling_Price]]*tbl_raw[[#This Row],[Units_Sold]]),0)</f>
        <v>-0.12979630506868783</v>
      </c>
      <c r="S855" s="23" t="s">
        <v>65</v>
      </c>
      <c r="T855" s="23" t="s">
        <v>32</v>
      </c>
      <c r="U855" s="23">
        <f>IF(tbl_raw[[#This Row],[Order_Status]]="Returned",1,0)</f>
        <v>0</v>
      </c>
      <c r="V855" s="23">
        <f>IF(tbl_raw[[#This Row],[Payment_Method]]="COD",1,0)</f>
        <v>0</v>
      </c>
      <c r="W855" s="26">
        <f>MIN(1,(tbl_raw[[#This Row],[Discount_Pct]]*1.4)+(tbl_raw[[#This Row],[COD_Flag]]*0.35))</f>
        <v>0.63</v>
      </c>
    </row>
    <row r="856" spans="1:23" ht="22.8" x14ac:dyDescent="0.3">
      <c r="A856" s="17" t="s">
        <v>2114</v>
      </c>
      <c r="B856" s="18" t="s">
        <v>1574</v>
      </c>
      <c r="C856" s="18" t="s">
        <v>72</v>
      </c>
      <c r="D856" s="18" t="s">
        <v>26</v>
      </c>
      <c r="E856" s="18" t="s">
        <v>36</v>
      </c>
      <c r="F856" s="18" t="s">
        <v>2115</v>
      </c>
      <c r="G856" s="18" t="s">
        <v>38</v>
      </c>
      <c r="H856" s="18" t="s">
        <v>39</v>
      </c>
      <c r="I856" s="18">
        <v>17</v>
      </c>
      <c r="J856" s="19">
        <v>3640</v>
      </c>
      <c r="K856" s="19">
        <v>3203</v>
      </c>
      <c r="L856" s="20">
        <v>0.12</v>
      </c>
      <c r="M856" s="19">
        <v>2521</v>
      </c>
      <c r="N856" s="19">
        <f>(tbl_raw[[#This Row],[Selling_Price]]-tbl_raw[[#This Row],[Cost_Price]])*tbl_raw[[#This Row],[Units_Sold]]</f>
        <v>11594</v>
      </c>
      <c r="O856" s="20">
        <f>IFERROR((tbl_raw[[#This Row],[Selling_Price]]-tbl_raw[[#This Row],[Cost_Price]]) / tbl_raw[[#This Row],[Selling_Price]],0)</f>
        <v>0.21292538245394943</v>
      </c>
      <c r="P856" s="19">
        <v>74</v>
      </c>
      <c r="Q856" s="19">
        <f>tbl_raw[[#This Row],[Gross_Profit]]-(tbl_raw[[#This Row],[Shipping_Cost]]*tbl_raw[[#This Row],[Units_Sold]])</f>
        <v>10336</v>
      </c>
      <c r="R856" s="20">
        <f>IFERROR(tbl_raw[[#This Row],[Net_Profit]]/(tbl_raw[[#This Row],[Selling_Price]]*tbl_raw[[#This Row],[Units_Sold]]),0)</f>
        <v>0.18982204183577897</v>
      </c>
      <c r="S856" s="18" t="s">
        <v>40</v>
      </c>
      <c r="T856" s="18" t="s">
        <v>59</v>
      </c>
      <c r="U856" s="18">
        <f>IF(tbl_raw[[#This Row],[Order_Status]]="Returned",1,0)</f>
        <v>0</v>
      </c>
      <c r="V856" s="18">
        <f>IF(tbl_raw[[#This Row],[Payment_Method]]="COD",1,0)</f>
        <v>1</v>
      </c>
      <c r="W856" s="21">
        <f>MIN(1,(tbl_raw[[#This Row],[Discount_Pct]]*1.4)+(tbl_raw[[#This Row],[COD_Flag]]*0.35))</f>
        <v>0.51800000000000002</v>
      </c>
    </row>
    <row r="857" spans="1:23" ht="22.8" x14ac:dyDescent="0.3">
      <c r="A857" s="22" t="s">
        <v>2116</v>
      </c>
      <c r="B857" s="23" t="s">
        <v>432</v>
      </c>
      <c r="C857" s="23" t="s">
        <v>89</v>
      </c>
      <c r="D857" s="23" t="s">
        <v>62</v>
      </c>
      <c r="E857" s="23" t="s">
        <v>63</v>
      </c>
      <c r="F857" s="23" t="s">
        <v>2117</v>
      </c>
      <c r="G857" s="23" t="s">
        <v>120</v>
      </c>
      <c r="H857" s="23" t="s">
        <v>39</v>
      </c>
      <c r="I857" s="23">
        <v>8</v>
      </c>
      <c r="J857" s="24">
        <v>3671</v>
      </c>
      <c r="K857" s="24">
        <v>2092</v>
      </c>
      <c r="L857" s="25">
        <v>0.43</v>
      </c>
      <c r="M857" s="24">
        <v>1995</v>
      </c>
      <c r="N857" s="24">
        <f>(tbl_raw[[#This Row],[Selling_Price]]-tbl_raw[[#This Row],[Cost_Price]])*tbl_raw[[#This Row],[Units_Sold]]</f>
        <v>776</v>
      </c>
      <c r="O857" s="25">
        <f>IFERROR((tbl_raw[[#This Row],[Selling_Price]]-tbl_raw[[#This Row],[Cost_Price]]) / tbl_raw[[#This Row],[Selling_Price]],0)</f>
        <v>4.6367112810707455E-2</v>
      </c>
      <c r="P857" s="24">
        <v>42</v>
      </c>
      <c r="Q857" s="24">
        <f>tbl_raw[[#This Row],[Gross_Profit]]-(tbl_raw[[#This Row],[Shipping_Cost]]*tbl_raw[[#This Row],[Units_Sold]])</f>
        <v>440</v>
      </c>
      <c r="R857" s="25">
        <f>IFERROR(tbl_raw[[#This Row],[Net_Profit]]/(tbl_raw[[#This Row],[Selling_Price]]*tbl_raw[[#This Row],[Units_Sold]]),0)</f>
        <v>2.6290630975143402E-2</v>
      </c>
      <c r="S857" s="23" t="s">
        <v>65</v>
      </c>
      <c r="T857" s="23" t="s">
        <v>49</v>
      </c>
      <c r="U857" s="23">
        <f>IF(tbl_raw[[#This Row],[Order_Status]]="Returned",1,0)</f>
        <v>0</v>
      </c>
      <c r="V857" s="23">
        <f>IF(tbl_raw[[#This Row],[Payment_Method]]="COD",1,0)</f>
        <v>0</v>
      </c>
      <c r="W857" s="26">
        <f>MIN(1,(tbl_raw[[#This Row],[Discount_Pct]]*1.4)+(tbl_raw[[#This Row],[COD_Flag]]*0.35))</f>
        <v>0.60199999999999998</v>
      </c>
    </row>
    <row r="858" spans="1:23" ht="22.8" x14ac:dyDescent="0.3">
      <c r="A858" s="17" t="s">
        <v>2118</v>
      </c>
      <c r="B858" s="18" t="s">
        <v>292</v>
      </c>
      <c r="C858" s="18" t="s">
        <v>25</v>
      </c>
      <c r="D858" s="18" t="s">
        <v>94</v>
      </c>
      <c r="E858" s="18" t="s">
        <v>310</v>
      </c>
      <c r="F858" s="18" t="s">
        <v>2119</v>
      </c>
      <c r="G858" s="18" t="s">
        <v>47</v>
      </c>
      <c r="H858" s="18" t="s">
        <v>48</v>
      </c>
      <c r="I858" s="18">
        <v>8</v>
      </c>
      <c r="J858" s="19">
        <v>4641</v>
      </c>
      <c r="K858" s="19">
        <v>2924</v>
      </c>
      <c r="L858" s="20">
        <v>0.37</v>
      </c>
      <c r="M858" s="19">
        <v>2060</v>
      </c>
      <c r="N858" s="19">
        <f>(tbl_raw[[#This Row],[Selling_Price]]-tbl_raw[[#This Row],[Cost_Price]])*tbl_raw[[#This Row],[Units_Sold]]</f>
        <v>6912</v>
      </c>
      <c r="O858" s="20">
        <f>IFERROR((tbl_raw[[#This Row],[Selling_Price]]-tbl_raw[[#This Row],[Cost_Price]]) / tbl_raw[[#This Row],[Selling_Price]],0)</f>
        <v>0.29548563611491108</v>
      </c>
      <c r="P858" s="19">
        <v>111</v>
      </c>
      <c r="Q858" s="19">
        <f>tbl_raw[[#This Row],[Gross_Profit]]-(tbl_raw[[#This Row],[Shipping_Cost]]*tbl_raw[[#This Row],[Units_Sold]])</f>
        <v>6024</v>
      </c>
      <c r="R858" s="20">
        <f>IFERROR(tbl_raw[[#This Row],[Net_Profit]]/(tbl_raw[[#This Row],[Selling_Price]]*tbl_raw[[#This Row],[Units_Sold]]),0)</f>
        <v>0.25752393980848154</v>
      </c>
      <c r="S858" s="18" t="s">
        <v>31</v>
      </c>
      <c r="T858" s="18" t="s">
        <v>32</v>
      </c>
      <c r="U858" s="18">
        <f>IF(tbl_raw[[#This Row],[Order_Status]]="Returned",1,0)</f>
        <v>0</v>
      </c>
      <c r="V858" s="18">
        <f>IF(tbl_raw[[#This Row],[Payment_Method]]="COD",1,0)</f>
        <v>0</v>
      </c>
      <c r="W858" s="21">
        <f>MIN(1,(tbl_raw[[#This Row],[Discount_Pct]]*1.4)+(tbl_raw[[#This Row],[COD_Flag]]*0.35))</f>
        <v>0.51800000000000002</v>
      </c>
    </row>
    <row r="859" spans="1:23" ht="22.8" x14ac:dyDescent="0.3">
      <c r="A859" s="22" t="s">
        <v>2120</v>
      </c>
      <c r="B859" s="23" t="s">
        <v>1008</v>
      </c>
      <c r="C859" s="23" t="s">
        <v>199</v>
      </c>
      <c r="D859" s="23" t="s">
        <v>53</v>
      </c>
      <c r="E859" s="23" t="s">
        <v>160</v>
      </c>
      <c r="F859" s="23" t="s">
        <v>2121</v>
      </c>
      <c r="G859" s="23" t="s">
        <v>120</v>
      </c>
      <c r="H859" s="23" t="s">
        <v>39</v>
      </c>
      <c r="I859" s="23">
        <v>3</v>
      </c>
      <c r="J859" s="24">
        <v>3386</v>
      </c>
      <c r="K859" s="24">
        <v>2607</v>
      </c>
      <c r="L859" s="25">
        <v>0.23</v>
      </c>
      <c r="M859" s="24">
        <v>1530</v>
      </c>
      <c r="N859" s="24">
        <f>(tbl_raw[[#This Row],[Selling_Price]]-tbl_raw[[#This Row],[Cost_Price]])*tbl_raw[[#This Row],[Units_Sold]]</f>
        <v>3231</v>
      </c>
      <c r="O859" s="25">
        <f>IFERROR((tbl_raw[[#This Row],[Selling_Price]]-tbl_raw[[#This Row],[Cost_Price]]) / tbl_raw[[#This Row],[Selling_Price]],0)</f>
        <v>0.41311852704257768</v>
      </c>
      <c r="P859" s="24">
        <v>104</v>
      </c>
      <c r="Q859" s="24">
        <f>tbl_raw[[#This Row],[Gross_Profit]]-(tbl_raw[[#This Row],[Shipping_Cost]]*tbl_raw[[#This Row],[Units_Sold]])</f>
        <v>2919</v>
      </c>
      <c r="R859" s="25">
        <f>IFERROR(tbl_raw[[#This Row],[Net_Profit]]/(tbl_raw[[#This Row],[Selling_Price]]*tbl_raw[[#This Row],[Units_Sold]]),0)</f>
        <v>0.37322593018795552</v>
      </c>
      <c r="S859" s="23" t="s">
        <v>40</v>
      </c>
      <c r="T859" s="23" t="s">
        <v>49</v>
      </c>
      <c r="U859" s="23">
        <f>IF(tbl_raw[[#This Row],[Order_Status]]="Returned",1,0)</f>
        <v>0</v>
      </c>
      <c r="V859" s="23">
        <f>IF(tbl_raw[[#This Row],[Payment_Method]]="COD",1,0)</f>
        <v>1</v>
      </c>
      <c r="W859" s="26">
        <f>MIN(1,(tbl_raw[[#This Row],[Discount_Pct]]*1.4)+(tbl_raw[[#This Row],[COD_Flag]]*0.35))</f>
        <v>0.67199999999999993</v>
      </c>
    </row>
    <row r="860" spans="1:23" ht="22.8" x14ac:dyDescent="0.3">
      <c r="A860" s="17" t="s">
        <v>2122</v>
      </c>
      <c r="B860" s="18" t="s">
        <v>720</v>
      </c>
      <c r="C860" s="18" t="s">
        <v>132</v>
      </c>
      <c r="D860" s="18" t="s">
        <v>175</v>
      </c>
      <c r="E860" s="18" t="s">
        <v>149</v>
      </c>
      <c r="F860" s="18" t="s">
        <v>2123</v>
      </c>
      <c r="G860" s="18" t="s">
        <v>38</v>
      </c>
      <c r="H860" s="18" t="s">
        <v>39</v>
      </c>
      <c r="I860" s="18">
        <v>16</v>
      </c>
      <c r="J860" s="19">
        <v>5994</v>
      </c>
      <c r="K860" s="19">
        <v>5634</v>
      </c>
      <c r="L860" s="20">
        <v>0.06</v>
      </c>
      <c r="M860" s="19">
        <v>2469</v>
      </c>
      <c r="N860" s="19">
        <f>(tbl_raw[[#This Row],[Selling_Price]]-tbl_raw[[#This Row],[Cost_Price]])*tbl_raw[[#This Row],[Units_Sold]]</f>
        <v>50640</v>
      </c>
      <c r="O860" s="20">
        <f>IFERROR((tbl_raw[[#This Row],[Selling_Price]]-tbl_raw[[#This Row],[Cost_Price]]) / tbl_raw[[#This Row],[Selling_Price]],0)</f>
        <v>0.56176783812566555</v>
      </c>
      <c r="P860" s="19">
        <v>95</v>
      </c>
      <c r="Q860" s="19">
        <f>tbl_raw[[#This Row],[Gross_Profit]]-(tbl_raw[[#This Row],[Shipping_Cost]]*tbl_raw[[#This Row],[Units_Sold]])</f>
        <v>49120</v>
      </c>
      <c r="R860" s="20">
        <f>IFERROR(tbl_raw[[#This Row],[Net_Profit]]/(tbl_raw[[#This Row],[Selling_Price]]*tbl_raw[[#This Row],[Units_Sold]]),0)</f>
        <v>0.54490592829250972</v>
      </c>
      <c r="S860" s="18" t="s">
        <v>40</v>
      </c>
      <c r="T860" s="18" t="s">
        <v>32</v>
      </c>
      <c r="U860" s="18">
        <f>IF(tbl_raw[[#This Row],[Order_Status]]="Returned",1,0)</f>
        <v>0</v>
      </c>
      <c r="V860" s="18">
        <f>IF(tbl_raw[[#This Row],[Payment_Method]]="COD",1,0)</f>
        <v>1</v>
      </c>
      <c r="W860" s="21">
        <f>MIN(1,(tbl_raw[[#This Row],[Discount_Pct]]*1.4)+(tbl_raw[[#This Row],[COD_Flag]]*0.35))</f>
        <v>0.43399999999999994</v>
      </c>
    </row>
    <row r="861" spans="1:23" ht="22.8" x14ac:dyDescent="0.3">
      <c r="A861" s="22" t="s">
        <v>2124</v>
      </c>
      <c r="B861" s="23" t="s">
        <v>521</v>
      </c>
      <c r="C861" s="23" t="s">
        <v>105</v>
      </c>
      <c r="D861" s="23" t="s">
        <v>78</v>
      </c>
      <c r="E861" s="23" t="s">
        <v>79</v>
      </c>
      <c r="F861" s="23" t="s">
        <v>2125</v>
      </c>
      <c r="G861" s="23" t="s">
        <v>47</v>
      </c>
      <c r="H861" s="23" t="s">
        <v>48</v>
      </c>
      <c r="I861" s="23">
        <v>18</v>
      </c>
      <c r="J861" s="24">
        <v>2083</v>
      </c>
      <c r="K861" s="24">
        <v>1812</v>
      </c>
      <c r="L861" s="25">
        <v>0.13</v>
      </c>
      <c r="M861" s="24">
        <v>1079</v>
      </c>
      <c r="N861" s="24">
        <f>(tbl_raw[[#This Row],[Selling_Price]]-tbl_raw[[#This Row],[Cost_Price]])*tbl_raw[[#This Row],[Units_Sold]]</f>
        <v>13194</v>
      </c>
      <c r="O861" s="25">
        <f>IFERROR((tbl_raw[[#This Row],[Selling_Price]]-tbl_raw[[#This Row],[Cost_Price]]) / tbl_raw[[#This Row],[Selling_Price]],0)</f>
        <v>0.4045253863134658</v>
      </c>
      <c r="P861" s="24">
        <v>154</v>
      </c>
      <c r="Q861" s="24">
        <f>tbl_raw[[#This Row],[Gross_Profit]]-(tbl_raw[[#This Row],[Shipping_Cost]]*tbl_raw[[#This Row],[Units_Sold]])</f>
        <v>10422</v>
      </c>
      <c r="R861" s="25">
        <f>IFERROR(tbl_raw[[#This Row],[Net_Profit]]/(tbl_raw[[#This Row],[Selling_Price]]*tbl_raw[[#This Row],[Units_Sold]]),0)</f>
        <v>0.31953642384105962</v>
      </c>
      <c r="S861" s="23" t="s">
        <v>107</v>
      </c>
      <c r="T861" s="23" t="s">
        <v>32</v>
      </c>
      <c r="U861" s="23">
        <f>IF(tbl_raw[[#This Row],[Order_Status]]="Returned",1,0)</f>
        <v>0</v>
      </c>
      <c r="V861" s="23">
        <f>IF(tbl_raw[[#This Row],[Payment_Method]]="COD",1,0)</f>
        <v>0</v>
      </c>
      <c r="W861" s="26">
        <f>MIN(1,(tbl_raw[[#This Row],[Discount_Pct]]*1.4)+(tbl_raw[[#This Row],[COD_Flag]]*0.35))</f>
        <v>0.182</v>
      </c>
    </row>
    <row r="862" spans="1:23" ht="22.8" x14ac:dyDescent="0.3">
      <c r="A862" s="17" t="s">
        <v>2126</v>
      </c>
      <c r="B862" s="18" t="s">
        <v>1280</v>
      </c>
      <c r="C862" s="18" t="s">
        <v>156</v>
      </c>
      <c r="D862" s="18" t="s">
        <v>175</v>
      </c>
      <c r="E862" s="18" t="s">
        <v>190</v>
      </c>
      <c r="F862" s="18" t="s">
        <v>2127</v>
      </c>
      <c r="G862" s="18" t="s">
        <v>47</v>
      </c>
      <c r="H862" s="18" t="s">
        <v>48</v>
      </c>
      <c r="I862" s="18">
        <v>15</v>
      </c>
      <c r="J862" s="19">
        <v>5977</v>
      </c>
      <c r="K862" s="19">
        <v>4782</v>
      </c>
      <c r="L862" s="20">
        <v>0.2</v>
      </c>
      <c r="M862" s="19">
        <v>3976</v>
      </c>
      <c r="N862" s="19">
        <f>(tbl_raw[[#This Row],[Selling_Price]]-tbl_raw[[#This Row],[Cost_Price]])*tbl_raw[[#This Row],[Units_Sold]]</f>
        <v>12090</v>
      </c>
      <c r="O862" s="20">
        <f>IFERROR((tbl_raw[[#This Row],[Selling_Price]]-tbl_raw[[#This Row],[Cost_Price]]) / tbl_raw[[#This Row],[Selling_Price]],0)</f>
        <v>0.16854872438310331</v>
      </c>
      <c r="P862" s="19">
        <v>135</v>
      </c>
      <c r="Q862" s="19">
        <f>tbl_raw[[#This Row],[Gross_Profit]]-(tbl_raw[[#This Row],[Shipping_Cost]]*tbl_raw[[#This Row],[Units_Sold]])</f>
        <v>10065</v>
      </c>
      <c r="R862" s="20">
        <f>IFERROR(tbl_raw[[#This Row],[Net_Profit]]/(tbl_raw[[#This Row],[Selling_Price]]*tbl_raw[[#This Row],[Units_Sold]]),0)</f>
        <v>0.14031785863655374</v>
      </c>
      <c r="S862" s="18" t="s">
        <v>40</v>
      </c>
      <c r="T862" s="18" t="s">
        <v>32</v>
      </c>
      <c r="U862" s="18">
        <f>IF(tbl_raw[[#This Row],[Order_Status]]="Returned",1,0)</f>
        <v>0</v>
      </c>
      <c r="V862" s="18">
        <f>IF(tbl_raw[[#This Row],[Payment_Method]]="COD",1,0)</f>
        <v>1</v>
      </c>
      <c r="W862" s="21">
        <f>MIN(1,(tbl_raw[[#This Row],[Discount_Pct]]*1.4)+(tbl_raw[[#This Row],[COD_Flag]]*0.35))</f>
        <v>0.62999999999999989</v>
      </c>
    </row>
    <row r="863" spans="1:23" ht="22.8" x14ac:dyDescent="0.3">
      <c r="A863" s="22" t="s">
        <v>2128</v>
      </c>
      <c r="B863" s="23" t="s">
        <v>1967</v>
      </c>
      <c r="C863" s="23" t="s">
        <v>105</v>
      </c>
      <c r="D863" s="23" t="s">
        <v>164</v>
      </c>
      <c r="E863" s="23" t="s">
        <v>265</v>
      </c>
      <c r="F863" s="23" t="s">
        <v>2129</v>
      </c>
      <c r="G863" s="23" t="s">
        <v>102</v>
      </c>
      <c r="H863" s="23" t="s">
        <v>39</v>
      </c>
      <c r="I863" s="23">
        <v>12</v>
      </c>
      <c r="J863" s="24">
        <v>5456</v>
      </c>
      <c r="K863" s="24">
        <v>4365</v>
      </c>
      <c r="L863" s="25">
        <v>0.2</v>
      </c>
      <c r="M863" s="24">
        <v>2794</v>
      </c>
      <c r="N863" s="24">
        <f>(tbl_raw[[#This Row],[Selling_Price]]-tbl_raw[[#This Row],[Cost_Price]])*tbl_raw[[#This Row],[Units_Sold]]</f>
        <v>18852</v>
      </c>
      <c r="O863" s="25">
        <f>IFERROR((tbl_raw[[#This Row],[Selling_Price]]-tbl_raw[[#This Row],[Cost_Price]]) / tbl_raw[[#This Row],[Selling_Price]],0)</f>
        <v>0.35990836197021764</v>
      </c>
      <c r="P863" s="24">
        <v>57</v>
      </c>
      <c r="Q863" s="24">
        <f>tbl_raw[[#This Row],[Gross_Profit]]-(tbl_raw[[#This Row],[Shipping_Cost]]*tbl_raw[[#This Row],[Units_Sold]])</f>
        <v>18168</v>
      </c>
      <c r="R863" s="25">
        <f>IFERROR(tbl_raw[[#This Row],[Net_Profit]]/(tbl_raw[[#This Row],[Selling_Price]]*tbl_raw[[#This Row],[Units_Sold]]),0)</f>
        <v>0.34684994272623138</v>
      </c>
      <c r="S863" s="23" t="s">
        <v>65</v>
      </c>
      <c r="T863" s="23" t="s">
        <v>86</v>
      </c>
      <c r="U863" s="23">
        <f>IF(tbl_raw[[#This Row],[Order_Status]]="Returned",1,0)</f>
        <v>1</v>
      </c>
      <c r="V863" s="23">
        <f>IF(tbl_raw[[#This Row],[Payment_Method]]="COD",1,0)</f>
        <v>0</v>
      </c>
      <c r="W863" s="26">
        <f>MIN(1,(tbl_raw[[#This Row],[Discount_Pct]]*1.4)+(tbl_raw[[#This Row],[COD_Flag]]*0.35))</f>
        <v>0.27999999999999997</v>
      </c>
    </row>
    <row r="864" spans="1:23" ht="22.8" x14ac:dyDescent="0.3">
      <c r="A864" s="17" t="s">
        <v>2130</v>
      </c>
      <c r="B864" s="18" t="s">
        <v>667</v>
      </c>
      <c r="C864" s="18" t="s">
        <v>35</v>
      </c>
      <c r="D864" s="18" t="s">
        <v>62</v>
      </c>
      <c r="E864" s="18" t="s">
        <v>63</v>
      </c>
      <c r="F864" s="18" t="s">
        <v>2131</v>
      </c>
      <c r="G864" s="18" t="s">
        <v>102</v>
      </c>
      <c r="H864" s="18" t="s">
        <v>39</v>
      </c>
      <c r="I864" s="18">
        <v>17</v>
      </c>
      <c r="J864" s="19">
        <v>7199</v>
      </c>
      <c r="K864" s="19">
        <v>5327</v>
      </c>
      <c r="L864" s="20">
        <v>0.26</v>
      </c>
      <c r="M864" s="19">
        <v>5006</v>
      </c>
      <c r="N864" s="19">
        <f>(tbl_raw[[#This Row],[Selling_Price]]-tbl_raw[[#This Row],[Cost_Price]])*tbl_raw[[#This Row],[Units_Sold]]</f>
        <v>5457</v>
      </c>
      <c r="O864" s="20">
        <f>IFERROR((tbl_raw[[#This Row],[Selling_Price]]-tbl_raw[[#This Row],[Cost_Price]]) / tbl_raw[[#This Row],[Selling_Price]],0)</f>
        <v>6.0259057630936738E-2</v>
      </c>
      <c r="P864" s="19">
        <v>94</v>
      </c>
      <c r="Q864" s="19">
        <f>tbl_raw[[#This Row],[Gross_Profit]]-(tbl_raw[[#This Row],[Shipping_Cost]]*tbl_raw[[#This Row],[Units_Sold]])</f>
        <v>3859</v>
      </c>
      <c r="R864" s="20">
        <f>IFERROR(tbl_raw[[#This Row],[Net_Profit]]/(tbl_raw[[#This Row],[Selling_Price]]*tbl_raw[[#This Row],[Units_Sold]]),0)</f>
        <v>4.2613103059883611E-2</v>
      </c>
      <c r="S864" s="18" t="s">
        <v>107</v>
      </c>
      <c r="T864" s="18" t="s">
        <v>86</v>
      </c>
      <c r="U864" s="18">
        <f>IF(tbl_raw[[#This Row],[Order_Status]]="Returned",1,0)</f>
        <v>1</v>
      </c>
      <c r="V864" s="18">
        <f>IF(tbl_raw[[#This Row],[Payment_Method]]="COD",1,0)</f>
        <v>0</v>
      </c>
      <c r="W864" s="21">
        <f>MIN(1,(tbl_raw[[#This Row],[Discount_Pct]]*1.4)+(tbl_raw[[#This Row],[COD_Flag]]*0.35))</f>
        <v>0.36399999999999999</v>
      </c>
    </row>
    <row r="865" spans="1:23" ht="22.8" x14ac:dyDescent="0.3">
      <c r="A865" s="22" t="s">
        <v>2132</v>
      </c>
      <c r="B865" s="23" t="s">
        <v>159</v>
      </c>
      <c r="C865" s="23" t="s">
        <v>43</v>
      </c>
      <c r="D865" s="23" t="s">
        <v>94</v>
      </c>
      <c r="E865" s="23" t="s">
        <v>310</v>
      </c>
      <c r="F865" s="23" t="s">
        <v>2133</v>
      </c>
      <c r="G865" s="23" t="s">
        <v>143</v>
      </c>
      <c r="H865" s="23" t="s">
        <v>30</v>
      </c>
      <c r="I865" s="23">
        <v>19</v>
      </c>
      <c r="J865" s="24">
        <v>7061</v>
      </c>
      <c r="K865" s="24">
        <v>6072</v>
      </c>
      <c r="L865" s="25">
        <v>0.14000000000000001</v>
      </c>
      <c r="M865" s="24">
        <v>3683</v>
      </c>
      <c r="N865" s="24">
        <f>(tbl_raw[[#This Row],[Selling_Price]]-tbl_raw[[#This Row],[Cost_Price]])*tbl_raw[[#This Row],[Units_Sold]]</f>
        <v>45391</v>
      </c>
      <c r="O865" s="25">
        <f>IFERROR((tbl_raw[[#This Row],[Selling_Price]]-tbl_raw[[#This Row],[Cost_Price]]) / tbl_raw[[#This Row],[Selling_Price]],0)</f>
        <v>0.39344532279314887</v>
      </c>
      <c r="P865" s="24">
        <v>55</v>
      </c>
      <c r="Q865" s="24">
        <f>tbl_raw[[#This Row],[Gross_Profit]]-(tbl_raw[[#This Row],[Shipping_Cost]]*tbl_raw[[#This Row],[Units_Sold]])</f>
        <v>44346</v>
      </c>
      <c r="R865" s="25">
        <f>IFERROR(tbl_raw[[#This Row],[Net_Profit]]/(tbl_raw[[#This Row],[Selling_Price]]*tbl_raw[[#This Row],[Units_Sold]]),0)</f>
        <v>0.38438735177865613</v>
      </c>
      <c r="S865" s="23" t="s">
        <v>107</v>
      </c>
      <c r="T865" s="23" t="s">
        <v>32</v>
      </c>
      <c r="U865" s="23">
        <f>IF(tbl_raw[[#This Row],[Order_Status]]="Returned",1,0)</f>
        <v>0</v>
      </c>
      <c r="V865" s="23">
        <f>IF(tbl_raw[[#This Row],[Payment_Method]]="COD",1,0)</f>
        <v>0</v>
      </c>
      <c r="W865" s="26">
        <f>MIN(1,(tbl_raw[[#This Row],[Discount_Pct]]*1.4)+(tbl_raw[[#This Row],[COD_Flag]]*0.35))</f>
        <v>0.19600000000000001</v>
      </c>
    </row>
    <row r="866" spans="1:23" ht="22.8" x14ac:dyDescent="0.3">
      <c r="A866" s="17" t="s">
        <v>2134</v>
      </c>
      <c r="B866" s="18" t="s">
        <v>1213</v>
      </c>
      <c r="C866" s="18" t="s">
        <v>43</v>
      </c>
      <c r="D866" s="18" t="s">
        <v>53</v>
      </c>
      <c r="E866" s="18" t="s">
        <v>54</v>
      </c>
      <c r="F866" s="18" t="s">
        <v>2135</v>
      </c>
      <c r="G866" s="18" t="s">
        <v>120</v>
      </c>
      <c r="H866" s="18" t="s">
        <v>39</v>
      </c>
      <c r="I866" s="18">
        <v>8</v>
      </c>
      <c r="J866" s="19">
        <v>5398</v>
      </c>
      <c r="K866" s="19">
        <v>5074</v>
      </c>
      <c r="L866" s="20">
        <v>0.06</v>
      </c>
      <c r="M866" s="19">
        <v>2550</v>
      </c>
      <c r="N866" s="19">
        <f>(tbl_raw[[#This Row],[Selling_Price]]-tbl_raw[[#This Row],[Cost_Price]])*tbl_raw[[#This Row],[Units_Sold]]</f>
        <v>20192</v>
      </c>
      <c r="O866" s="20">
        <f>IFERROR((tbl_raw[[#This Row],[Selling_Price]]-tbl_raw[[#This Row],[Cost_Price]]) / tbl_raw[[#This Row],[Selling_Price]],0)</f>
        <v>0.49743791880173432</v>
      </c>
      <c r="P866" s="19">
        <v>156</v>
      </c>
      <c r="Q866" s="19">
        <f>tbl_raw[[#This Row],[Gross_Profit]]-(tbl_raw[[#This Row],[Shipping_Cost]]*tbl_raw[[#This Row],[Units_Sold]])</f>
        <v>18944</v>
      </c>
      <c r="R866" s="20">
        <f>IFERROR(tbl_raw[[#This Row],[Net_Profit]]/(tbl_raw[[#This Row],[Selling_Price]]*tbl_raw[[#This Row],[Units_Sold]]),0)</f>
        <v>0.46669294442254633</v>
      </c>
      <c r="S866" s="18" t="s">
        <v>40</v>
      </c>
      <c r="T866" s="18" t="s">
        <v>49</v>
      </c>
      <c r="U866" s="18">
        <f>IF(tbl_raw[[#This Row],[Order_Status]]="Returned",1,0)</f>
        <v>0</v>
      </c>
      <c r="V866" s="18">
        <f>IF(tbl_raw[[#This Row],[Payment_Method]]="COD",1,0)</f>
        <v>1</v>
      </c>
      <c r="W866" s="21">
        <f>MIN(1,(tbl_raw[[#This Row],[Discount_Pct]]*1.4)+(tbl_raw[[#This Row],[COD_Flag]]*0.35))</f>
        <v>0.43399999999999994</v>
      </c>
    </row>
    <row r="867" spans="1:23" ht="22.8" x14ac:dyDescent="0.3">
      <c r="A867" s="22" t="s">
        <v>2136</v>
      </c>
      <c r="B867" s="23" t="s">
        <v>2137</v>
      </c>
      <c r="C867" s="23" t="s">
        <v>105</v>
      </c>
      <c r="D867" s="23" t="s">
        <v>94</v>
      </c>
      <c r="E867" s="23" t="s">
        <v>207</v>
      </c>
      <c r="F867" s="23" t="s">
        <v>2138</v>
      </c>
      <c r="G867" s="23" t="s">
        <v>139</v>
      </c>
      <c r="H867" s="23" t="s">
        <v>48</v>
      </c>
      <c r="I867" s="23">
        <v>12</v>
      </c>
      <c r="J867" s="24">
        <v>1784</v>
      </c>
      <c r="K867" s="24">
        <v>1035</v>
      </c>
      <c r="L867" s="25">
        <v>0.42</v>
      </c>
      <c r="M867" s="24">
        <v>1070</v>
      </c>
      <c r="N867" s="24">
        <f>(tbl_raw[[#This Row],[Selling_Price]]-tbl_raw[[#This Row],[Cost_Price]])*tbl_raw[[#This Row],[Units_Sold]]</f>
        <v>-420</v>
      </c>
      <c r="O867" s="25">
        <f>IFERROR((tbl_raw[[#This Row],[Selling_Price]]-tbl_raw[[#This Row],[Cost_Price]]) / tbl_raw[[#This Row],[Selling_Price]],0)</f>
        <v>-3.3816425120772944E-2</v>
      </c>
      <c r="P867" s="24">
        <v>140</v>
      </c>
      <c r="Q867" s="24">
        <f>tbl_raw[[#This Row],[Gross_Profit]]-(tbl_raw[[#This Row],[Shipping_Cost]]*tbl_raw[[#This Row],[Units_Sold]])</f>
        <v>-2100</v>
      </c>
      <c r="R867" s="25">
        <f>IFERROR(tbl_raw[[#This Row],[Net_Profit]]/(tbl_raw[[#This Row],[Selling_Price]]*tbl_raw[[#This Row],[Units_Sold]]),0)</f>
        <v>-0.16908212560386474</v>
      </c>
      <c r="S867" s="23" t="s">
        <v>65</v>
      </c>
      <c r="T867" s="23" t="s">
        <v>32</v>
      </c>
      <c r="U867" s="23">
        <f>IF(tbl_raw[[#This Row],[Order_Status]]="Returned",1,0)</f>
        <v>0</v>
      </c>
      <c r="V867" s="23">
        <f>IF(tbl_raw[[#This Row],[Payment_Method]]="COD",1,0)</f>
        <v>0</v>
      </c>
      <c r="W867" s="26">
        <f>MIN(1,(tbl_raw[[#This Row],[Discount_Pct]]*1.4)+(tbl_raw[[#This Row],[COD_Flag]]*0.35))</f>
        <v>0.58799999999999997</v>
      </c>
    </row>
    <row r="868" spans="1:23" ht="22.8" x14ac:dyDescent="0.3">
      <c r="A868" s="17" t="s">
        <v>2139</v>
      </c>
      <c r="B868" s="18" t="s">
        <v>1292</v>
      </c>
      <c r="C868" s="18" t="s">
        <v>72</v>
      </c>
      <c r="D868" s="18" t="s">
        <v>175</v>
      </c>
      <c r="E868" s="18" t="s">
        <v>149</v>
      </c>
      <c r="F868" s="18" t="s">
        <v>2140</v>
      </c>
      <c r="G868" s="18" t="s">
        <v>75</v>
      </c>
      <c r="H868" s="18" t="s">
        <v>48</v>
      </c>
      <c r="I868" s="18">
        <v>9</v>
      </c>
      <c r="J868" s="19">
        <v>878</v>
      </c>
      <c r="K868" s="19">
        <v>825</v>
      </c>
      <c r="L868" s="20">
        <v>0.06</v>
      </c>
      <c r="M868" s="19">
        <v>437</v>
      </c>
      <c r="N868" s="19">
        <f>(tbl_raw[[#This Row],[Selling_Price]]-tbl_raw[[#This Row],[Cost_Price]])*tbl_raw[[#This Row],[Units_Sold]]</f>
        <v>3492</v>
      </c>
      <c r="O868" s="20">
        <f>IFERROR((tbl_raw[[#This Row],[Selling_Price]]-tbl_raw[[#This Row],[Cost_Price]]) / tbl_raw[[#This Row],[Selling_Price]],0)</f>
        <v>0.47030303030303028</v>
      </c>
      <c r="P868" s="19">
        <v>130</v>
      </c>
      <c r="Q868" s="19">
        <f>tbl_raw[[#This Row],[Gross_Profit]]-(tbl_raw[[#This Row],[Shipping_Cost]]*tbl_raw[[#This Row],[Units_Sold]])</f>
        <v>2322</v>
      </c>
      <c r="R868" s="20">
        <f>IFERROR(tbl_raw[[#This Row],[Net_Profit]]/(tbl_raw[[#This Row],[Selling_Price]]*tbl_raw[[#This Row],[Units_Sold]]),0)</f>
        <v>0.31272727272727274</v>
      </c>
      <c r="S868" s="18" t="s">
        <v>107</v>
      </c>
      <c r="T868" s="18" t="s">
        <v>32</v>
      </c>
      <c r="U868" s="18">
        <f>IF(tbl_raw[[#This Row],[Order_Status]]="Returned",1,0)</f>
        <v>0</v>
      </c>
      <c r="V868" s="18">
        <f>IF(tbl_raw[[#This Row],[Payment_Method]]="COD",1,0)</f>
        <v>0</v>
      </c>
      <c r="W868" s="21">
        <f>MIN(1,(tbl_raw[[#This Row],[Discount_Pct]]*1.4)+(tbl_raw[[#This Row],[COD_Flag]]*0.35))</f>
        <v>8.3999999999999991E-2</v>
      </c>
    </row>
    <row r="869" spans="1:23" ht="22.8" x14ac:dyDescent="0.3">
      <c r="A869" s="22" t="s">
        <v>2141</v>
      </c>
      <c r="B869" s="23" t="s">
        <v>1148</v>
      </c>
      <c r="C869" s="23" t="s">
        <v>35</v>
      </c>
      <c r="D869" s="23" t="s">
        <v>175</v>
      </c>
      <c r="E869" s="23" t="s">
        <v>190</v>
      </c>
      <c r="F869" s="23" t="s">
        <v>2142</v>
      </c>
      <c r="G869" s="23" t="s">
        <v>38</v>
      </c>
      <c r="H869" s="23" t="s">
        <v>39</v>
      </c>
      <c r="I869" s="23">
        <v>11</v>
      </c>
      <c r="J869" s="24">
        <v>2354</v>
      </c>
      <c r="K869" s="24">
        <v>1695</v>
      </c>
      <c r="L869" s="25">
        <v>0.28000000000000003</v>
      </c>
      <c r="M869" s="24">
        <v>1364</v>
      </c>
      <c r="N869" s="24">
        <f>(tbl_raw[[#This Row],[Selling_Price]]-tbl_raw[[#This Row],[Cost_Price]])*tbl_raw[[#This Row],[Units_Sold]]</f>
        <v>3641</v>
      </c>
      <c r="O869" s="25">
        <f>IFERROR((tbl_raw[[#This Row],[Selling_Price]]-tbl_raw[[#This Row],[Cost_Price]]) / tbl_raw[[#This Row],[Selling_Price]],0)</f>
        <v>0.1952802359882006</v>
      </c>
      <c r="P869" s="24">
        <v>147</v>
      </c>
      <c r="Q869" s="24">
        <f>tbl_raw[[#This Row],[Gross_Profit]]-(tbl_raw[[#This Row],[Shipping_Cost]]*tbl_raw[[#This Row],[Units_Sold]])</f>
        <v>2024</v>
      </c>
      <c r="R869" s="25">
        <f>IFERROR(tbl_raw[[#This Row],[Net_Profit]]/(tbl_raw[[#This Row],[Selling_Price]]*tbl_raw[[#This Row],[Units_Sold]]),0)</f>
        <v>0.10855457227138643</v>
      </c>
      <c r="S869" s="23" t="s">
        <v>107</v>
      </c>
      <c r="T869" s="23" t="s">
        <v>32</v>
      </c>
      <c r="U869" s="23">
        <f>IF(tbl_raw[[#This Row],[Order_Status]]="Returned",1,0)</f>
        <v>0</v>
      </c>
      <c r="V869" s="23">
        <f>IF(tbl_raw[[#This Row],[Payment_Method]]="COD",1,0)</f>
        <v>0</v>
      </c>
      <c r="W869" s="26">
        <f>MIN(1,(tbl_raw[[#This Row],[Discount_Pct]]*1.4)+(tbl_raw[[#This Row],[COD_Flag]]*0.35))</f>
        <v>0.39200000000000002</v>
      </c>
    </row>
    <row r="870" spans="1:23" ht="22.8" x14ac:dyDescent="0.3">
      <c r="A870" s="17" t="s">
        <v>2143</v>
      </c>
      <c r="B870" s="18" t="s">
        <v>1292</v>
      </c>
      <c r="C870" s="18" t="s">
        <v>72</v>
      </c>
      <c r="D870" s="18" t="s">
        <v>44</v>
      </c>
      <c r="E870" s="18" t="s">
        <v>73</v>
      </c>
      <c r="F870" s="18" t="s">
        <v>2144</v>
      </c>
      <c r="G870" s="18" t="s">
        <v>38</v>
      </c>
      <c r="H870" s="18" t="s">
        <v>39</v>
      </c>
      <c r="I870" s="18">
        <v>2</v>
      </c>
      <c r="J870" s="19">
        <v>7604</v>
      </c>
      <c r="K870" s="19">
        <v>5475</v>
      </c>
      <c r="L870" s="20">
        <v>0.28000000000000003</v>
      </c>
      <c r="M870" s="19">
        <v>3696</v>
      </c>
      <c r="N870" s="19">
        <f>(tbl_raw[[#This Row],[Selling_Price]]-tbl_raw[[#This Row],[Cost_Price]])*tbl_raw[[#This Row],[Units_Sold]]</f>
        <v>3558</v>
      </c>
      <c r="O870" s="20">
        <f>IFERROR((tbl_raw[[#This Row],[Selling_Price]]-tbl_raw[[#This Row],[Cost_Price]]) / tbl_raw[[#This Row],[Selling_Price]],0)</f>
        <v>0.32493150684931504</v>
      </c>
      <c r="P870" s="19">
        <v>118</v>
      </c>
      <c r="Q870" s="19">
        <f>tbl_raw[[#This Row],[Gross_Profit]]-(tbl_raw[[#This Row],[Shipping_Cost]]*tbl_raw[[#This Row],[Units_Sold]])</f>
        <v>3322</v>
      </c>
      <c r="R870" s="20">
        <f>IFERROR(tbl_raw[[#This Row],[Net_Profit]]/(tbl_raw[[#This Row],[Selling_Price]]*tbl_raw[[#This Row],[Units_Sold]]),0)</f>
        <v>0.30337899543378993</v>
      </c>
      <c r="S870" s="18" t="s">
        <v>40</v>
      </c>
      <c r="T870" s="18" t="s">
        <v>32</v>
      </c>
      <c r="U870" s="18">
        <f>IF(tbl_raw[[#This Row],[Order_Status]]="Returned",1,0)</f>
        <v>0</v>
      </c>
      <c r="V870" s="18">
        <f>IF(tbl_raw[[#This Row],[Payment_Method]]="COD",1,0)</f>
        <v>1</v>
      </c>
      <c r="W870" s="21">
        <f>MIN(1,(tbl_raw[[#This Row],[Discount_Pct]]*1.4)+(tbl_raw[[#This Row],[COD_Flag]]*0.35))</f>
        <v>0.74199999999999999</v>
      </c>
    </row>
    <row r="871" spans="1:23" ht="22.8" x14ac:dyDescent="0.3">
      <c r="A871" s="22" t="s">
        <v>2145</v>
      </c>
      <c r="B871" s="23" t="s">
        <v>287</v>
      </c>
      <c r="C871" s="23" t="s">
        <v>43</v>
      </c>
      <c r="D871" s="23" t="s">
        <v>164</v>
      </c>
      <c r="E871" s="23" t="s">
        <v>251</v>
      </c>
      <c r="F871" s="23" t="s">
        <v>2146</v>
      </c>
      <c r="G871" s="23" t="s">
        <v>81</v>
      </c>
      <c r="H871" s="23" t="s">
        <v>30</v>
      </c>
      <c r="I871" s="23">
        <v>7</v>
      </c>
      <c r="J871" s="24">
        <v>5151</v>
      </c>
      <c r="K871" s="24">
        <v>4945</v>
      </c>
      <c r="L871" s="25">
        <v>0.04</v>
      </c>
      <c r="M871" s="24">
        <v>2991</v>
      </c>
      <c r="N871" s="24">
        <f>(tbl_raw[[#This Row],[Selling_Price]]-tbl_raw[[#This Row],[Cost_Price]])*tbl_raw[[#This Row],[Units_Sold]]</f>
        <v>13678</v>
      </c>
      <c r="O871" s="25">
        <f>IFERROR((tbl_raw[[#This Row],[Selling_Price]]-tbl_raw[[#This Row],[Cost_Price]]) / tbl_raw[[#This Row],[Selling_Price]],0)</f>
        <v>0.39514661274014157</v>
      </c>
      <c r="P871" s="24">
        <v>138</v>
      </c>
      <c r="Q871" s="24">
        <f>tbl_raw[[#This Row],[Gross_Profit]]-(tbl_raw[[#This Row],[Shipping_Cost]]*tbl_raw[[#This Row],[Units_Sold]])</f>
        <v>12712</v>
      </c>
      <c r="R871" s="25">
        <f>IFERROR(tbl_raw[[#This Row],[Net_Profit]]/(tbl_raw[[#This Row],[Selling_Price]]*tbl_raw[[#This Row],[Units_Sold]]),0)</f>
        <v>0.36723963599595549</v>
      </c>
      <c r="S871" s="23" t="s">
        <v>40</v>
      </c>
      <c r="T871" s="23" t="s">
        <v>32</v>
      </c>
      <c r="U871" s="23">
        <f>IF(tbl_raw[[#This Row],[Order_Status]]="Returned",1,0)</f>
        <v>0</v>
      </c>
      <c r="V871" s="23">
        <f>IF(tbl_raw[[#This Row],[Payment_Method]]="COD",1,0)</f>
        <v>1</v>
      </c>
      <c r="W871" s="26">
        <f>MIN(1,(tbl_raw[[#This Row],[Discount_Pct]]*1.4)+(tbl_raw[[#This Row],[COD_Flag]]*0.35))</f>
        <v>0.40599999999999997</v>
      </c>
    </row>
    <row r="872" spans="1:23" ht="22.8" x14ac:dyDescent="0.3">
      <c r="A872" s="17" t="s">
        <v>2147</v>
      </c>
      <c r="B872" s="18" t="s">
        <v>1705</v>
      </c>
      <c r="C872" s="18" t="s">
        <v>105</v>
      </c>
      <c r="D872" s="18" t="s">
        <v>94</v>
      </c>
      <c r="E872" s="18" t="s">
        <v>95</v>
      </c>
      <c r="F872" s="18" t="s">
        <v>2148</v>
      </c>
      <c r="G872" s="18" t="s">
        <v>47</v>
      </c>
      <c r="H872" s="18" t="s">
        <v>48</v>
      </c>
      <c r="I872" s="18">
        <v>9</v>
      </c>
      <c r="J872" s="19">
        <v>4984</v>
      </c>
      <c r="K872" s="19">
        <v>3588</v>
      </c>
      <c r="L872" s="20">
        <v>0.28000000000000003</v>
      </c>
      <c r="M872" s="19">
        <v>2403</v>
      </c>
      <c r="N872" s="19">
        <f>(tbl_raw[[#This Row],[Selling_Price]]-tbl_raw[[#This Row],[Cost_Price]])*tbl_raw[[#This Row],[Units_Sold]]</f>
        <v>10665</v>
      </c>
      <c r="O872" s="20">
        <f>IFERROR((tbl_raw[[#This Row],[Selling_Price]]-tbl_raw[[#This Row],[Cost_Price]]) / tbl_raw[[#This Row],[Selling_Price]],0)</f>
        <v>0.3302675585284281</v>
      </c>
      <c r="P872" s="19">
        <v>82</v>
      </c>
      <c r="Q872" s="19">
        <f>tbl_raw[[#This Row],[Gross_Profit]]-(tbl_raw[[#This Row],[Shipping_Cost]]*tbl_raw[[#This Row],[Units_Sold]])</f>
        <v>9927</v>
      </c>
      <c r="R872" s="20">
        <f>IFERROR(tbl_raw[[#This Row],[Net_Profit]]/(tbl_raw[[#This Row],[Selling_Price]]*tbl_raw[[#This Row],[Units_Sold]]),0)</f>
        <v>0.30741360089186176</v>
      </c>
      <c r="S872" s="18" t="s">
        <v>65</v>
      </c>
      <c r="T872" s="18" t="s">
        <v>32</v>
      </c>
      <c r="U872" s="18">
        <f>IF(tbl_raw[[#This Row],[Order_Status]]="Returned",1,0)</f>
        <v>0</v>
      </c>
      <c r="V872" s="18">
        <f>IF(tbl_raw[[#This Row],[Payment_Method]]="COD",1,0)</f>
        <v>0</v>
      </c>
      <c r="W872" s="21">
        <f>MIN(1,(tbl_raw[[#This Row],[Discount_Pct]]*1.4)+(tbl_raw[[#This Row],[COD_Flag]]*0.35))</f>
        <v>0.39200000000000002</v>
      </c>
    </row>
    <row r="873" spans="1:23" ht="22.8" x14ac:dyDescent="0.3">
      <c r="A873" s="22" t="s">
        <v>2149</v>
      </c>
      <c r="B873" s="23" t="s">
        <v>1737</v>
      </c>
      <c r="C873" s="23" t="s">
        <v>99</v>
      </c>
      <c r="D873" s="23" t="s">
        <v>94</v>
      </c>
      <c r="E873" s="23" t="s">
        <v>180</v>
      </c>
      <c r="F873" s="23" t="s">
        <v>2150</v>
      </c>
      <c r="G873" s="23" t="s">
        <v>75</v>
      </c>
      <c r="H873" s="23" t="s">
        <v>48</v>
      </c>
      <c r="I873" s="23">
        <v>16</v>
      </c>
      <c r="J873" s="24">
        <v>6415</v>
      </c>
      <c r="K873" s="24">
        <v>5260</v>
      </c>
      <c r="L873" s="25">
        <v>0.18</v>
      </c>
      <c r="M873" s="24">
        <v>3368</v>
      </c>
      <c r="N873" s="24">
        <f>(tbl_raw[[#This Row],[Selling_Price]]-tbl_raw[[#This Row],[Cost_Price]])*tbl_raw[[#This Row],[Units_Sold]]</f>
        <v>30272</v>
      </c>
      <c r="O873" s="25">
        <f>IFERROR((tbl_raw[[#This Row],[Selling_Price]]-tbl_raw[[#This Row],[Cost_Price]]) / tbl_raw[[#This Row],[Selling_Price]],0)</f>
        <v>0.35969581749049429</v>
      </c>
      <c r="P873" s="24">
        <v>102</v>
      </c>
      <c r="Q873" s="24">
        <f>tbl_raw[[#This Row],[Gross_Profit]]-(tbl_raw[[#This Row],[Shipping_Cost]]*tbl_raw[[#This Row],[Units_Sold]])</f>
        <v>28640</v>
      </c>
      <c r="R873" s="25">
        <f>IFERROR(tbl_raw[[#This Row],[Net_Profit]]/(tbl_raw[[#This Row],[Selling_Price]]*tbl_raw[[#This Row],[Units_Sold]]),0)</f>
        <v>0.34030418250950573</v>
      </c>
      <c r="S873" s="23" t="s">
        <v>58</v>
      </c>
      <c r="T873" s="23" t="s">
        <v>49</v>
      </c>
      <c r="U873" s="23">
        <f>IF(tbl_raw[[#This Row],[Order_Status]]="Returned",1,0)</f>
        <v>0</v>
      </c>
      <c r="V873" s="23">
        <f>IF(tbl_raw[[#This Row],[Payment_Method]]="COD",1,0)</f>
        <v>0</v>
      </c>
      <c r="W873" s="26">
        <f>MIN(1,(tbl_raw[[#This Row],[Discount_Pct]]*1.4)+(tbl_raw[[#This Row],[COD_Flag]]*0.35))</f>
        <v>0.252</v>
      </c>
    </row>
    <row r="874" spans="1:23" ht="22.8" x14ac:dyDescent="0.3">
      <c r="A874" s="17" t="s">
        <v>2151</v>
      </c>
      <c r="B874" s="18" t="s">
        <v>558</v>
      </c>
      <c r="C874" s="18" t="s">
        <v>99</v>
      </c>
      <c r="D874" s="18" t="s">
        <v>62</v>
      </c>
      <c r="E874" s="18" t="s">
        <v>63</v>
      </c>
      <c r="F874" s="18" t="s">
        <v>2152</v>
      </c>
      <c r="G874" s="18" t="s">
        <v>47</v>
      </c>
      <c r="H874" s="18" t="s">
        <v>48</v>
      </c>
      <c r="I874" s="18">
        <v>4</v>
      </c>
      <c r="J874" s="19">
        <v>1574</v>
      </c>
      <c r="K874" s="19">
        <v>897</v>
      </c>
      <c r="L874" s="20">
        <v>0.43</v>
      </c>
      <c r="M874" s="19">
        <v>994</v>
      </c>
      <c r="N874" s="19">
        <f>(tbl_raw[[#This Row],[Selling_Price]]-tbl_raw[[#This Row],[Cost_Price]])*tbl_raw[[#This Row],[Units_Sold]]</f>
        <v>-388</v>
      </c>
      <c r="O874" s="20">
        <f>IFERROR((tbl_raw[[#This Row],[Selling_Price]]-tbl_raw[[#This Row],[Cost_Price]]) / tbl_raw[[#This Row],[Selling_Price]],0)</f>
        <v>-0.10813823857302118</v>
      </c>
      <c r="P874" s="19">
        <v>82</v>
      </c>
      <c r="Q874" s="19">
        <f>tbl_raw[[#This Row],[Gross_Profit]]-(tbl_raw[[#This Row],[Shipping_Cost]]*tbl_raw[[#This Row],[Units_Sold]])</f>
        <v>-716</v>
      </c>
      <c r="R874" s="20">
        <f>IFERROR(tbl_raw[[#This Row],[Net_Profit]]/(tbl_raw[[#This Row],[Selling_Price]]*tbl_raw[[#This Row],[Units_Sold]]),0)</f>
        <v>-0.1995540691192865</v>
      </c>
      <c r="S874" s="18" t="s">
        <v>31</v>
      </c>
      <c r="T874" s="18" t="s">
        <v>86</v>
      </c>
      <c r="U874" s="18">
        <f>IF(tbl_raw[[#This Row],[Order_Status]]="Returned",1,0)</f>
        <v>1</v>
      </c>
      <c r="V874" s="18">
        <f>IF(tbl_raw[[#This Row],[Payment_Method]]="COD",1,0)</f>
        <v>0</v>
      </c>
      <c r="W874" s="21">
        <f>MIN(1,(tbl_raw[[#This Row],[Discount_Pct]]*1.4)+(tbl_raw[[#This Row],[COD_Flag]]*0.35))</f>
        <v>0.60199999999999998</v>
      </c>
    </row>
    <row r="875" spans="1:23" ht="22.8" x14ac:dyDescent="0.3">
      <c r="A875" s="22" t="s">
        <v>2153</v>
      </c>
      <c r="B875" s="23" t="s">
        <v>424</v>
      </c>
      <c r="C875" s="23" t="s">
        <v>117</v>
      </c>
      <c r="D875" s="23" t="s">
        <v>62</v>
      </c>
      <c r="E875" s="23" t="s">
        <v>133</v>
      </c>
      <c r="F875" s="23" t="s">
        <v>2154</v>
      </c>
      <c r="G875" s="23" t="s">
        <v>29</v>
      </c>
      <c r="H875" s="23" t="s">
        <v>30</v>
      </c>
      <c r="I875" s="23">
        <v>1</v>
      </c>
      <c r="J875" s="24">
        <v>2469</v>
      </c>
      <c r="K875" s="24">
        <v>1901</v>
      </c>
      <c r="L875" s="25">
        <v>0.23</v>
      </c>
      <c r="M875" s="24">
        <v>1757</v>
      </c>
      <c r="N875" s="24">
        <f>(tbl_raw[[#This Row],[Selling_Price]]-tbl_raw[[#This Row],[Cost_Price]])*tbl_raw[[#This Row],[Units_Sold]]</f>
        <v>144</v>
      </c>
      <c r="O875" s="25">
        <f>IFERROR((tbl_raw[[#This Row],[Selling_Price]]-tbl_raw[[#This Row],[Cost_Price]]) / tbl_raw[[#This Row],[Selling_Price]],0)</f>
        <v>7.5749605470804837E-2</v>
      </c>
      <c r="P875" s="24">
        <v>147</v>
      </c>
      <c r="Q875" s="24">
        <f>tbl_raw[[#This Row],[Gross_Profit]]-(tbl_raw[[#This Row],[Shipping_Cost]]*tbl_raw[[#This Row],[Units_Sold]])</f>
        <v>-3</v>
      </c>
      <c r="R875" s="25">
        <f>IFERROR(tbl_raw[[#This Row],[Net_Profit]]/(tbl_raw[[#This Row],[Selling_Price]]*tbl_raw[[#This Row],[Units_Sold]]),0)</f>
        <v>-1.5781167806417674E-3</v>
      </c>
      <c r="S875" s="23" t="s">
        <v>58</v>
      </c>
      <c r="T875" s="23" t="s">
        <v>32</v>
      </c>
      <c r="U875" s="23">
        <f>IF(tbl_raw[[#This Row],[Order_Status]]="Returned",1,0)</f>
        <v>0</v>
      </c>
      <c r="V875" s="23">
        <f>IF(tbl_raw[[#This Row],[Payment_Method]]="COD",1,0)</f>
        <v>0</v>
      </c>
      <c r="W875" s="26">
        <f>MIN(1,(tbl_raw[[#This Row],[Discount_Pct]]*1.4)+(tbl_raw[[#This Row],[COD_Flag]]*0.35))</f>
        <v>0.32200000000000001</v>
      </c>
    </row>
    <row r="876" spans="1:23" ht="22.8" x14ac:dyDescent="0.3">
      <c r="A876" s="17" t="s">
        <v>2155</v>
      </c>
      <c r="B876" s="18" t="s">
        <v>839</v>
      </c>
      <c r="C876" s="18" t="s">
        <v>25</v>
      </c>
      <c r="D876" s="18" t="s">
        <v>78</v>
      </c>
      <c r="E876" s="18" t="s">
        <v>534</v>
      </c>
      <c r="F876" s="18" t="s">
        <v>2156</v>
      </c>
      <c r="G876" s="18" t="s">
        <v>75</v>
      </c>
      <c r="H876" s="18" t="s">
        <v>48</v>
      </c>
      <c r="I876" s="18">
        <v>14</v>
      </c>
      <c r="J876" s="19">
        <v>3310</v>
      </c>
      <c r="K876" s="19">
        <v>1953</v>
      </c>
      <c r="L876" s="20">
        <v>0.41</v>
      </c>
      <c r="M876" s="19">
        <v>1635</v>
      </c>
      <c r="N876" s="19">
        <f>(tbl_raw[[#This Row],[Selling_Price]]-tbl_raw[[#This Row],[Cost_Price]])*tbl_raw[[#This Row],[Units_Sold]]</f>
        <v>4452</v>
      </c>
      <c r="O876" s="20">
        <f>IFERROR((tbl_raw[[#This Row],[Selling_Price]]-tbl_raw[[#This Row],[Cost_Price]]) / tbl_raw[[#This Row],[Selling_Price]],0)</f>
        <v>0.16282642089093702</v>
      </c>
      <c r="P876" s="19">
        <v>139</v>
      </c>
      <c r="Q876" s="19">
        <f>tbl_raw[[#This Row],[Gross_Profit]]-(tbl_raw[[#This Row],[Shipping_Cost]]*tbl_raw[[#This Row],[Units_Sold]])</f>
        <v>2506</v>
      </c>
      <c r="R876" s="20">
        <f>IFERROR(tbl_raw[[#This Row],[Net_Profit]]/(tbl_raw[[#This Row],[Selling_Price]]*tbl_raw[[#This Row],[Units_Sold]]),0)</f>
        <v>9.1653865847414237E-2</v>
      </c>
      <c r="S876" s="18" t="s">
        <v>107</v>
      </c>
      <c r="T876" s="18" t="s">
        <v>32</v>
      </c>
      <c r="U876" s="18">
        <f>IF(tbl_raw[[#This Row],[Order_Status]]="Returned",1,0)</f>
        <v>0</v>
      </c>
      <c r="V876" s="18">
        <f>IF(tbl_raw[[#This Row],[Payment_Method]]="COD",1,0)</f>
        <v>0</v>
      </c>
      <c r="W876" s="21">
        <f>MIN(1,(tbl_raw[[#This Row],[Discount_Pct]]*1.4)+(tbl_raw[[#This Row],[COD_Flag]]*0.35))</f>
        <v>0.57399999999999995</v>
      </c>
    </row>
    <row r="877" spans="1:23" ht="22.8" x14ac:dyDescent="0.3">
      <c r="A877" s="22" t="s">
        <v>2157</v>
      </c>
      <c r="B877" s="23" t="s">
        <v>1438</v>
      </c>
      <c r="C877" s="23" t="s">
        <v>117</v>
      </c>
      <c r="D877" s="23" t="s">
        <v>94</v>
      </c>
      <c r="E877" s="23" t="s">
        <v>137</v>
      </c>
      <c r="F877" s="23" t="s">
        <v>2158</v>
      </c>
      <c r="G877" s="23" t="s">
        <v>81</v>
      </c>
      <c r="H877" s="23" t="s">
        <v>30</v>
      </c>
      <c r="I877" s="23">
        <v>18</v>
      </c>
      <c r="J877" s="24">
        <v>1808</v>
      </c>
      <c r="K877" s="24">
        <v>1302</v>
      </c>
      <c r="L877" s="25">
        <v>0.28000000000000003</v>
      </c>
      <c r="M877" s="24">
        <v>1323</v>
      </c>
      <c r="N877" s="24">
        <f>(tbl_raw[[#This Row],[Selling_Price]]-tbl_raw[[#This Row],[Cost_Price]])*tbl_raw[[#This Row],[Units_Sold]]</f>
        <v>-378</v>
      </c>
      <c r="O877" s="25">
        <f>IFERROR((tbl_raw[[#This Row],[Selling_Price]]-tbl_raw[[#This Row],[Cost_Price]]) / tbl_raw[[#This Row],[Selling_Price]],0)</f>
        <v>-1.6129032258064516E-2</v>
      </c>
      <c r="P877" s="24">
        <v>122</v>
      </c>
      <c r="Q877" s="24">
        <f>tbl_raw[[#This Row],[Gross_Profit]]-(tbl_raw[[#This Row],[Shipping_Cost]]*tbl_raw[[#This Row],[Units_Sold]])</f>
        <v>-2574</v>
      </c>
      <c r="R877" s="25">
        <f>IFERROR(tbl_raw[[#This Row],[Net_Profit]]/(tbl_raw[[#This Row],[Selling_Price]]*tbl_raw[[#This Row],[Units_Sold]]),0)</f>
        <v>-0.1098310291858679</v>
      </c>
      <c r="S877" s="23" t="s">
        <v>107</v>
      </c>
      <c r="T877" s="23" t="s">
        <v>32</v>
      </c>
      <c r="U877" s="23">
        <f>IF(tbl_raw[[#This Row],[Order_Status]]="Returned",1,0)</f>
        <v>0</v>
      </c>
      <c r="V877" s="23">
        <f>IF(tbl_raw[[#This Row],[Payment_Method]]="COD",1,0)</f>
        <v>0</v>
      </c>
      <c r="W877" s="26">
        <f>MIN(1,(tbl_raw[[#This Row],[Discount_Pct]]*1.4)+(tbl_raw[[#This Row],[COD_Flag]]*0.35))</f>
        <v>0.39200000000000002</v>
      </c>
    </row>
    <row r="878" spans="1:23" ht="22.8" x14ac:dyDescent="0.3">
      <c r="A878" s="17" t="s">
        <v>2159</v>
      </c>
      <c r="B878" s="18" t="s">
        <v>2160</v>
      </c>
      <c r="C878" s="18" t="s">
        <v>156</v>
      </c>
      <c r="D878" s="18" t="s">
        <v>78</v>
      </c>
      <c r="E878" s="18" t="s">
        <v>296</v>
      </c>
      <c r="F878" s="18" t="s">
        <v>2161</v>
      </c>
      <c r="G878" s="18" t="s">
        <v>56</v>
      </c>
      <c r="H878" s="18" t="s">
        <v>57</v>
      </c>
      <c r="I878" s="18">
        <v>12</v>
      </c>
      <c r="J878" s="19">
        <v>6181</v>
      </c>
      <c r="K878" s="19">
        <v>4636</v>
      </c>
      <c r="L878" s="20">
        <v>0.25</v>
      </c>
      <c r="M878" s="19">
        <v>3889</v>
      </c>
      <c r="N878" s="19">
        <f>(tbl_raw[[#This Row],[Selling_Price]]-tbl_raw[[#This Row],[Cost_Price]])*tbl_raw[[#This Row],[Units_Sold]]</f>
        <v>8964</v>
      </c>
      <c r="O878" s="20">
        <f>IFERROR((tbl_raw[[#This Row],[Selling_Price]]-tbl_raw[[#This Row],[Cost_Price]]) / tbl_raw[[#This Row],[Selling_Price]],0)</f>
        <v>0.16113028472821397</v>
      </c>
      <c r="P878" s="19">
        <v>108</v>
      </c>
      <c r="Q878" s="19">
        <f>tbl_raw[[#This Row],[Gross_Profit]]-(tbl_raw[[#This Row],[Shipping_Cost]]*tbl_raw[[#This Row],[Units_Sold]])</f>
        <v>7668</v>
      </c>
      <c r="R878" s="20">
        <f>IFERROR(tbl_raw[[#This Row],[Net_Profit]]/(tbl_raw[[#This Row],[Selling_Price]]*tbl_raw[[#This Row],[Units_Sold]]),0)</f>
        <v>0.13783433994823124</v>
      </c>
      <c r="S878" s="18" t="s">
        <v>107</v>
      </c>
      <c r="T878" s="18" t="s">
        <v>49</v>
      </c>
      <c r="U878" s="18">
        <f>IF(tbl_raw[[#This Row],[Order_Status]]="Returned",1,0)</f>
        <v>0</v>
      </c>
      <c r="V878" s="18">
        <f>IF(tbl_raw[[#This Row],[Payment_Method]]="COD",1,0)</f>
        <v>0</v>
      </c>
      <c r="W878" s="21">
        <f>MIN(1,(tbl_raw[[#This Row],[Discount_Pct]]*1.4)+(tbl_raw[[#This Row],[COD_Flag]]*0.35))</f>
        <v>0.35</v>
      </c>
    </row>
    <row r="879" spans="1:23" ht="22.8" x14ac:dyDescent="0.3">
      <c r="A879" s="22" t="s">
        <v>2162</v>
      </c>
      <c r="B879" s="23" t="s">
        <v>521</v>
      </c>
      <c r="C879" s="23" t="s">
        <v>105</v>
      </c>
      <c r="D879" s="23" t="s">
        <v>94</v>
      </c>
      <c r="E879" s="23" t="s">
        <v>180</v>
      </c>
      <c r="F879" s="23" t="s">
        <v>2163</v>
      </c>
      <c r="G879" s="23" t="s">
        <v>81</v>
      </c>
      <c r="H879" s="23" t="s">
        <v>30</v>
      </c>
      <c r="I879" s="23">
        <v>12</v>
      </c>
      <c r="J879" s="24">
        <v>2786</v>
      </c>
      <c r="K879" s="24">
        <v>2507</v>
      </c>
      <c r="L879" s="25">
        <v>0.1</v>
      </c>
      <c r="M879" s="24">
        <v>1829</v>
      </c>
      <c r="N879" s="24">
        <f>(tbl_raw[[#This Row],[Selling_Price]]-tbl_raw[[#This Row],[Cost_Price]])*tbl_raw[[#This Row],[Units_Sold]]</f>
        <v>8136</v>
      </c>
      <c r="O879" s="25">
        <f>IFERROR((tbl_raw[[#This Row],[Selling_Price]]-tbl_raw[[#This Row],[Cost_Price]]) / tbl_raw[[#This Row],[Selling_Price]],0)</f>
        <v>0.27044276027124053</v>
      </c>
      <c r="P879" s="24">
        <v>171</v>
      </c>
      <c r="Q879" s="24">
        <f>tbl_raw[[#This Row],[Gross_Profit]]-(tbl_raw[[#This Row],[Shipping_Cost]]*tbl_raw[[#This Row],[Units_Sold]])</f>
        <v>6084</v>
      </c>
      <c r="R879" s="25">
        <f>IFERROR(tbl_raw[[#This Row],[Net_Profit]]/(tbl_raw[[#This Row],[Selling_Price]]*tbl_raw[[#This Row],[Units_Sold]]),0)</f>
        <v>0.20223374551256482</v>
      </c>
      <c r="S879" s="23" t="s">
        <v>58</v>
      </c>
      <c r="T879" s="23" t="s">
        <v>86</v>
      </c>
      <c r="U879" s="23">
        <f>IF(tbl_raw[[#This Row],[Order_Status]]="Returned",1,0)</f>
        <v>1</v>
      </c>
      <c r="V879" s="23">
        <f>IF(tbl_raw[[#This Row],[Payment_Method]]="COD",1,0)</f>
        <v>0</v>
      </c>
      <c r="W879" s="26">
        <f>MIN(1,(tbl_raw[[#This Row],[Discount_Pct]]*1.4)+(tbl_raw[[#This Row],[COD_Flag]]*0.35))</f>
        <v>0.13999999999999999</v>
      </c>
    </row>
    <row r="880" spans="1:23" ht="22.8" x14ac:dyDescent="0.3">
      <c r="A880" s="17" t="s">
        <v>2164</v>
      </c>
      <c r="B880" s="18" t="s">
        <v>943</v>
      </c>
      <c r="C880" s="18" t="s">
        <v>105</v>
      </c>
      <c r="D880" s="18" t="s">
        <v>78</v>
      </c>
      <c r="E880" s="18" t="s">
        <v>534</v>
      </c>
      <c r="F880" s="18" t="s">
        <v>2165</v>
      </c>
      <c r="G880" s="18" t="s">
        <v>81</v>
      </c>
      <c r="H880" s="18" t="s">
        <v>30</v>
      </c>
      <c r="I880" s="18">
        <v>10</v>
      </c>
      <c r="J880" s="19">
        <v>2551</v>
      </c>
      <c r="K880" s="19">
        <v>2296</v>
      </c>
      <c r="L880" s="20">
        <v>0.1</v>
      </c>
      <c r="M880" s="19">
        <v>1710</v>
      </c>
      <c r="N880" s="19">
        <f>(tbl_raw[[#This Row],[Selling_Price]]-tbl_raw[[#This Row],[Cost_Price]])*tbl_raw[[#This Row],[Units_Sold]]</f>
        <v>5860</v>
      </c>
      <c r="O880" s="20">
        <f>IFERROR((tbl_raw[[#This Row],[Selling_Price]]-tbl_raw[[#This Row],[Cost_Price]]) / tbl_raw[[#This Row],[Selling_Price]],0)</f>
        <v>0.25522648083623695</v>
      </c>
      <c r="P880" s="19">
        <v>67</v>
      </c>
      <c r="Q880" s="19">
        <f>tbl_raw[[#This Row],[Gross_Profit]]-(tbl_raw[[#This Row],[Shipping_Cost]]*tbl_raw[[#This Row],[Units_Sold]])</f>
        <v>5190</v>
      </c>
      <c r="R880" s="20">
        <f>IFERROR(tbl_raw[[#This Row],[Net_Profit]]/(tbl_raw[[#This Row],[Selling_Price]]*tbl_raw[[#This Row],[Units_Sold]]),0)</f>
        <v>0.22604529616724739</v>
      </c>
      <c r="S880" s="18" t="s">
        <v>107</v>
      </c>
      <c r="T880" s="18" t="s">
        <v>86</v>
      </c>
      <c r="U880" s="18">
        <f>IF(tbl_raw[[#This Row],[Order_Status]]="Returned",1,0)</f>
        <v>1</v>
      </c>
      <c r="V880" s="18">
        <f>IF(tbl_raw[[#This Row],[Payment_Method]]="COD",1,0)</f>
        <v>0</v>
      </c>
      <c r="W880" s="21">
        <f>MIN(1,(tbl_raw[[#This Row],[Discount_Pct]]*1.4)+(tbl_raw[[#This Row],[COD_Flag]]*0.35))</f>
        <v>0.13999999999999999</v>
      </c>
    </row>
    <row r="881" spans="1:23" ht="22.8" x14ac:dyDescent="0.3">
      <c r="A881" s="22" t="s">
        <v>2166</v>
      </c>
      <c r="B881" s="23" t="s">
        <v>603</v>
      </c>
      <c r="C881" s="23" t="s">
        <v>52</v>
      </c>
      <c r="D881" s="23" t="s">
        <v>78</v>
      </c>
      <c r="E881" s="23" t="s">
        <v>118</v>
      </c>
      <c r="F881" s="23" t="s">
        <v>2167</v>
      </c>
      <c r="G881" s="23" t="s">
        <v>143</v>
      </c>
      <c r="H881" s="23" t="s">
        <v>30</v>
      </c>
      <c r="I881" s="23">
        <v>3</v>
      </c>
      <c r="J881" s="24">
        <v>797</v>
      </c>
      <c r="K881" s="24">
        <v>614</v>
      </c>
      <c r="L881" s="25">
        <v>0.23</v>
      </c>
      <c r="M881" s="24">
        <v>515</v>
      </c>
      <c r="N881" s="24">
        <f>(tbl_raw[[#This Row],[Selling_Price]]-tbl_raw[[#This Row],[Cost_Price]])*tbl_raw[[#This Row],[Units_Sold]]</f>
        <v>297</v>
      </c>
      <c r="O881" s="25">
        <f>IFERROR((tbl_raw[[#This Row],[Selling_Price]]-tbl_raw[[#This Row],[Cost_Price]]) / tbl_raw[[#This Row],[Selling_Price]],0)</f>
        <v>0.16123778501628663</v>
      </c>
      <c r="P881" s="24">
        <v>140</v>
      </c>
      <c r="Q881" s="24">
        <f>tbl_raw[[#This Row],[Gross_Profit]]-(tbl_raw[[#This Row],[Shipping_Cost]]*tbl_raw[[#This Row],[Units_Sold]])</f>
        <v>-123</v>
      </c>
      <c r="R881" s="25">
        <f>IFERROR(tbl_raw[[#This Row],[Net_Profit]]/(tbl_raw[[#This Row],[Selling_Price]]*tbl_raw[[#This Row],[Units_Sold]]),0)</f>
        <v>-6.6775244299674269E-2</v>
      </c>
      <c r="S881" s="23" t="s">
        <v>58</v>
      </c>
      <c r="T881" s="23" t="s">
        <v>59</v>
      </c>
      <c r="U881" s="23">
        <f>IF(tbl_raw[[#This Row],[Order_Status]]="Returned",1,0)</f>
        <v>0</v>
      </c>
      <c r="V881" s="23">
        <f>IF(tbl_raw[[#This Row],[Payment_Method]]="COD",1,0)</f>
        <v>0</v>
      </c>
      <c r="W881" s="26">
        <f>MIN(1,(tbl_raw[[#This Row],[Discount_Pct]]*1.4)+(tbl_raw[[#This Row],[COD_Flag]]*0.35))</f>
        <v>0.32200000000000001</v>
      </c>
    </row>
    <row r="882" spans="1:23" ht="22.8" x14ac:dyDescent="0.3">
      <c r="A882" s="17" t="s">
        <v>2168</v>
      </c>
      <c r="B882" s="18" t="s">
        <v>396</v>
      </c>
      <c r="C882" s="18" t="s">
        <v>199</v>
      </c>
      <c r="D882" s="18" t="s">
        <v>175</v>
      </c>
      <c r="E882" s="18" t="s">
        <v>176</v>
      </c>
      <c r="F882" s="18" t="s">
        <v>2169</v>
      </c>
      <c r="G882" s="18" t="s">
        <v>47</v>
      </c>
      <c r="H882" s="18" t="s">
        <v>48</v>
      </c>
      <c r="I882" s="18">
        <v>7</v>
      </c>
      <c r="J882" s="19">
        <v>6685</v>
      </c>
      <c r="K882" s="19">
        <v>4078</v>
      </c>
      <c r="L882" s="20">
        <v>0.39</v>
      </c>
      <c r="M882" s="19">
        <v>4510</v>
      </c>
      <c r="N882" s="19">
        <f>(tbl_raw[[#This Row],[Selling_Price]]-tbl_raw[[#This Row],[Cost_Price]])*tbl_raw[[#This Row],[Units_Sold]]</f>
        <v>-3024</v>
      </c>
      <c r="O882" s="20">
        <f>IFERROR((tbl_raw[[#This Row],[Selling_Price]]-tbl_raw[[#This Row],[Cost_Price]]) / tbl_raw[[#This Row],[Selling_Price]],0)</f>
        <v>-0.10593428151054439</v>
      </c>
      <c r="P882" s="19">
        <v>94</v>
      </c>
      <c r="Q882" s="19">
        <f>tbl_raw[[#This Row],[Gross_Profit]]-(tbl_raw[[#This Row],[Shipping_Cost]]*tbl_raw[[#This Row],[Units_Sold]])</f>
        <v>-3682</v>
      </c>
      <c r="R882" s="20">
        <f>IFERROR(tbl_raw[[#This Row],[Net_Profit]]/(tbl_raw[[#This Row],[Selling_Price]]*tbl_raw[[#This Row],[Units_Sold]]),0)</f>
        <v>-0.12898479646885727</v>
      </c>
      <c r="S882" s="18" t="s">
        <v>58</v>
      </c>
      <c r="T882" s="18" t="s">
        <v>32</v>
      </c>
      <c r="U882" s="18">
        <f>IF(tbl_raw[[#This Row],[Order_Status]]="Returned",1,0)</f>
        <v>0</v>
      </c>
      <c r="V882" s="18">
        <f>IF(tbl_raw[[#This Row],[Payment_Method]]="COD",1,0)</f>
        <v>0</v>
      </c>
      <c r="W882" s="21">
        <f>MIN(1,(tbl_raw[[#This Row],[Discount_Pct]]*1.4)+(tbl_raw[[#This Row],[COD_Flag]]*0.35))</f>
        <v>0.54599999999999993</v>
      </c>
    </row>
    <row r="883" spans="1:23" ht="22.8" x14ac:dyDescent="0.3">
      <c r="A883" s="22" t="s">
        <v>2170</v>
      </c>
      <c r="B883" s="23" t="s">
        <v>378</v>
      </c>
      <c r="C883" s="23" t="s">
        <v>72</v>
      </c>
      <c r="D883" s="23" t="s">
        <v>62</v>
      </c>
      <c r="E883" s="23" t="s">
        <v>68</v>
      </c>
      <c r="F883" s="23" t="s">
        <v>2171</v>
      </c>
      <c r="G883" s="23" t="s">
        <v>47</v>
      </c>
      <c r="H883" s="23" t="s">
        <v>48</v>
      </c>
      <c r="I883" s="23">
        <v>3</v>
      </c>
      <c r="J883" s="24">
        <v>1934</v>
      </c>
      <c r="K883" s="24">
        <v>1586</v>
      </c>
      <c r="L883" s="25">
        <v>0.18</v>
      </c>
      <c r="M883" s="24">
        <v>962</v>
      </c>
      <c r="N883" s="24">
        <f>(tbl_raw[[#This Row],[Selling_Price]]-tbl_raw[[#This Row],[Cost_Price]])*tbl_raw[[#This Row],[Units_Sold]]</f>
        <v>1872</v>
      </c>
      <c r="O883" s="25">
        <f>IFERROR((tbl_raw[[#This Row],[Selling_Price]]-tbl_raw[[#This Row],[Cost_Price]]) / tbl_raw[[#This Row],[Selling_Price]],0)</f>
        <v>0.39344262295081966</v>
      </c>
      <c r="P883" s="24">
        <v>73</v>
      </c>
      <c r="Q883" s="24">
        <f>tbl_raw[[#This Row],[Gross_Profit]]-(tbl_raw[[#This Row],[Shipping_Cost]]*tbl_raw[[#This Row],[Units_Sold]])</f>
        <v>1653</v>
      </c>
      <c r="R883" s="25">
        <f>IFERROR(tbl_raw[[#This Row],[Net_Profit]]/(tbl_raw[[#This Row],[Selling_Price]]*tbl_raw[[#This Row],[Units_Sold]]),0)</f>
        <v>0.34741488020176547</v>
      </c>
      <c r="S883" s="23" t="s">
        <v>65</v>
      </c>
      <c r="T883" s="23" t="s">
        <v>32</v>
      </c>
      <c r="U883" s="23">
        <f>IF(tbl_raw[[#This Row],[Order_Status]]="Returned",1,0)</f>
        <v>0</v>
      </c>
      <c r="V883" s="23">
        <f>IF(tbl_raw[[#This Row],[Payment_Method]]="COD",1,0)</f>
        <v>0</v>
      </c>
      <c r="W883" s="26">
        <f>MIN(1,(tbl_raw[[#This Row],[Discount_Pct]]*1.4)+(tbl_raw[[#This Row],[COD_Flag]]*0.35))</f>
        <v>0.252</v>
      </c>
    </row>
    <row r="884" spans="1:23" ht="22.8" x14ac:dyDescent="0.3">
      <c r="A884" s="17" t="s">
        <v>2172</v>
      </c>
      <c r="B884" s="18" t="s">
        <v>384</v>
      </c>
      <c r="C884" s="18" t="s">
        <v>117</v>
      </c>
      <c r="D884" s="18" t="s">
        <v>78</v>
      </c>
      <c r="E884" s="18" t="s">
        <v>79</v>
      </c>
      <c r="F884" s="18" t="s">
        <v>2173</v>
      </c>
      <c r="G884" s="18" t="s">
        <v>38</v>
      </c>
      <c r="H884" s="18" t="s">
        <v>39</v>
      </c>
      <c r="I884" s="18">
        <v>4</v>
      </c>
      <c r="J884" s="19">
        <v>3728</v>
      </c>
      <c r="K884" s="19">
        <v>2759</v>
      </c>
      <c r="L884" s="20">
        <v>0.26</v>
      </c>
      <c r="M884" s="19">
        <v>1524</v>
      </c>
      <c r="N884" s="19">
        <f>(tbl_raw[[#This Row],[Selling_Price]]-tbl_raw[[#This Row],[Cost_Price]])*tbl_raw[[#This Row],[Units_Sold]]</f>
        <v>4940</v>
      </c>
      <c r="O884" s="20">
        <f>IFERROR((tbl_raw[[#This Row],[Selling_Price]]-tbl_raw[[#This Row],[Cost_Price]]) / tbl_raw[[#This Row],[Selling_Price]],0)</f>
        <v>0.44762595143167816</v>
      </c>
      <c r="P884" s="19">
        <v>146</v>
      </c>
      <c r="Q884" s="19">
        <f>tbl_raw[[#This Row],[Gross_Profit]]-(tbl_raw[[#This Row],[Shipping_Cost]]*tbl_raw[[#This Row],[Units_Sold]])</f>
        <v>4356</v>
      </c>
      <c r="R884" s="20">
        <f>IFERROR(tbl_raw[[#This Row],[Net_Profit]]/(tbl_raw[[#This Row],[Selling_Price]]*tbl_raw[[#This Row],[Units_Sold]]),0)</f>
        <v>0.39470822761870245</v>
      </c>
      <c r="S884" s="18" t="s">
        <v>31</v>
      </c>
      <c r="T884" s="18" t="s">
        <v>32</v>
      </c>
      <c r="U884" s="18">
        <f>IF(tbl_raw[[#This Row],[Order_Status]]="Returned",1,0)</f>
        <v>0</v>
      </c>
      <c r="V884" s="18">
        <f>IF(tbl_raw[[#This Row],[Payment_Method]]="COD",1,0)</f>
        <v>0</v>
      </c>
      <c r="W884" s="21">
        <f>MIN(1,(tbl_raw[[#This Row],[Discount_Pct]]*1.4)+(tbl_raw[[#This Row],[COD_Flag]]*0.35))</f>
        <v>0.36399999999999999</v>
      </c>
    </row>
    <row r="885" spans="1:23" ht="22.8" x14ac:dyDescent="0.3">
      <c r="A885" s="22" t="s">
        <v>2174</v>
      </c>
      <c r="B885" s="23" t="s">
        <v>93</v>
      </c>
      <c r="C885" s="23" t="s">
        <v>25</v>
      </c>
      <c r="D885" s="23" t="s">
        <v>44</v>
      </c>
      <c r="E885" s="23" t="s">
        <v>73</v>
      </c>
      <c r="F885" s="23" t="s">
        <v>2175</v>
      </c>
      <c r="G885" s="23" t="s">
        <v>120</v>
      </c>
      <c r="H885" s="23" t="s">
        <v>39</v>
      </c>
      <c r="I885" s="23">
        <v>4</v>
      </c>
      <c r="J885" s="24">
        <v>4575</v>
      </c>
      <c r="K885" s="24">
        <v>4163</v>
      </c>
      <c r="L885" s="25">
        <v>0.09</v>
      </c>
      <c r="M885" s="24">
        <v>3339</v>
      </c>
      <c r="N885" s="24">
        <f>(tbl_raw[[#This Row],[Selling_Price]]-tbl_raw[[#This Row],[Cost_Price]])*tbl_raw[[#This Row],[Units_Sold]]</f>
        <v>3296</v>
      </c>
      <c r="O885" s="25">
        <f>IFERROR((tbl_raw[[#This Row],[Selling_Price]]-tbl_raw[[#This Row],[Cost_Price]]) / tbl_raw[[#This Row],[Selling_Price]],0)</f>
        <v>0.19793418208023061</v>
      </c>
      <c r="P885" s="24">
        <v>119</v>
      </c>
      <c r="Q885" s="24">
        <f>tbl_raw[[#This Row],[Gross_Profit]]-(tbl_raw[[#This Row],[Shipping_Cost]]*tbl_raw[[#This Row],[Units_Sold]])</f>
        <v>2820</v>
      </c>
      <c r="R885" s="25">
        <f>IFERROR(tbl_raw[[#This Row],[Net_Profit]]/(tbl_raw[[#This Row],[Selling_Price]]*tbl_raw[[#This Row],[Units_Sold]]),0)</f>
        <v>0.16934902714388661</v>
      </c>
      <c r="S885" s="23" t="s">
        <v>58</v>
      </c>
      <c r="T885" s="23" t="s">
        <v>32</v>
      </c>
      <c r="U885" s="23">
        <f>IF(tbl_raw[[#This Row],[Order_Status]]="Returned",1,0)</f>
        <v>0</v>
      </c>
      <c r="V885" s="23">
        <f>IF(tbl_raw[[#This Row],[Payment_Method]]="COD",1,0)</f>
        <v>0</v>
      </c>
      <c r="W885" s="26">
        <f>MIN(1,(tbl_raw[[#This Row],[Discount_Pct]]*1.4)+(tbl_raw[[#This Row],[COD_Flag]]*0.35))</f>
        <v>0.126</v>
      </c>
    </row>
    <row r="886" spans="1:23" ht="22.8" x14ac:dyDescent="0.3">
      <c r="A886" s="17" t="s">
        <v>2176</v>
      </c>
      <c r="B886" s="18" t="s">
        <v>381</v>
      </c>
      <c r="C886" s="18" t="s">
        <v>117</v>
      </c>
      <c r="D886" s="18" t="s">
        <v>94</v>
      </c>
      <c r="E886" s="18" t="s">
        <v>207</v>
      </c>
      <c r="F886" s="18" t="s">
        <v>2177</v>
      </c>
      <c r="G886" s="18" t="s">
        <v>75</v>
      </c>
      <c r="H886" s="18" t="s">
        <v>48</v>
      </c>
      <c r="I886" s="18">
        <v>9</v>
      </c>
      <c r="J886" s="19">
        <v>3412</v>
      </c>
      <c r="K886" s="19">
        <v>2286</v>
      </c>
      <c r="L886" s="20">
        <v>0.33</v>
      </c>
      <c r="M886" s="19">
        <v>2361</v>
      </c>
      <c r="N886" s="19">
        <f>(tbl_raw[[#This Row],[Selling_Price]]-tbl_raw[[#This Row],[Cost_Price]])*tbl_raw[[#This Row],[Units_Sold]]</f>
        <v>-675</v>
      </c>
      <c r="O886" s="20">
        <f>IFERROR((tbl_raw[[#This Row],[Selling_Price]]-tbl_raw[[#This Row],[Cost_Price]]) / tbl_raw[[#This Row],[Selling_Price]],0)</f>
        <v>-3.2808398950131233E-2</v>
      </c>
      <c r="P886" s="19">
        <v>35</v>
      </c>
      <c r="Q886" s="19">
        <f>tbl_raw[[#This Row],[Gross_Profit]]-(tbl_raw[[#This Row],[Shipping_Cost]]*tbl_raw[[#This Row],[Units_Sold]])</f>
        <v>-990</v>
      </c>
      <c r="R886" s="20">
        <f>IFERROR(tbl_raw[[#This Row],[Net_Profit]]/(tbl_raw[[#This Row],[Selling_Price]]*tbl_raw[[#This Row],[Units_Sold]]),0)</f>
        <v>-4.8118985126859144E-2</v>
      </c>
      <c r="S886" s="18" t="s">
        <v>65</v>
      </c>
      <c r="T886" s="18" t="s">
        <v>59</v>
      </c>
      <c r="U886" s="18">
        <f>IF(tbl_raw[[#This Row],[Order_Status]]="Returned",1,0)</f>
        <v>0</v>
      </c>
      <c r="V886" s="18">
        <f>IF(tbl_raw[[#This Row],[Payment_Method]]="COD",1,0)</f>
        <v>0</v>
      </c>
      <c r="W886" s="21">
        <f>MIN(1,(tbl_raw[[#This Row],[Discount_Pct]]*1.4)+(tbl_raw[[#This Row],[COD_Flag]]*0.35))</f>
        <v>0.46199999999999997</v>
      </c>
    </row>
    <row r="887" spans="1:23" ht="22.8" x14ac:dyDescent="0.3">
      <c r="A887" s="22" t="s">
        <v>2178</v>
      </c>
      <c r="B887" s="23" t="s">
        <v>250</v>
      </c>
      <c r="C887" s="23" t="s">
        <v>99</v>
      </c>
      <c r="D887" s="23" t="s">
        <v>94</v>
      </c>
      <c r="E887" s="23" t="s">
        <v>137</v>
      </c>
      <c r="F887" s="23" t="s">
        <v>2179</v>
      </c>
      <c r="G887" s="23" t="s">
        <v>75</v>
      </c>
      <c r="H887" s="23" t="s">
        <v>48</v>
      </c>
      <c r="I887" s="23">
        <v>18</v>
      </c>
      <c r="J887" s="24">
        <v>4099</v>
      </c>
      <c r="K887" s="24">
        <v>2336</v>
      </c>
      <c r="L887" s="25">
        <v>0.43</v>
      </c>
      <c r="M887" s="24">
        <v>1978</v>
      </c>
      <c r="N887" s="24">
        <f>(tbl_raw[[#This Row],[Selling_Price]]-tbl_raw[[#This Row],[Cost_Price]])*tbl_raw[[#This Row],[Units_Sold]]</f>
        <v>6444</v>
      </c>
      <c r="O887" s="25">
        <f>IFERROR((tbl_raw[[#This Row],[Selling_Price]]-tbl_raw[[#This Row],[Cost_Price]]) / tbl_raw[[#This Row],[Selling_Price]],0)</f>
        <v>0.15325342465753425</v>
      </c>
      <c r="P887" s="24">
        <v>99</v>
      </c>
      <c r="Q887" s="24">
        <f>tbl_raw[[#This Row],[Gross_Profit]]-(tbl_raw[[#This Row],[Shipping_Cost]]*tbl_raw[[#This Row],[Units_Sold]])</f>
        <v>4662</v>
      </c>
      <c r="R887" s="25">
        <f>IFERROR(tbl_raw[[#This Row],[Net_Profit]]/(tbl_raw[[#This Row],[Selling_Price]]*tbl_raw[[#This Row],[Units_Sold]]),0)</f>
        <v>0.11087328767123288</v>
      </c>
      <c r="S887" s="23" t="s">
        <v>31</v>
      </c>
      <c r="T887" s="23" t="s">
        <v>59</v>
      </c>
      <c r="U887" s="23">
        <f>IF(tbl_raw[[#This Row],[Order_Status]]="Returned",1,0)</f>
        <v>0</v>
      </c>
      <c r="V887" s="23">
        <f>IF(tbl_raw[[#This Row],[Payment_Method]]="COD",1,0)</f>
        <v>0</v>
      </c>
      <c r="W887" s="26">
        <f>MIN(1,(tbl_raw[[#This Row],[Discount_Pct]]*1.4)+(tbl_raw[[#This Row],[COD_Flag]]*0.35))</f>
        <v>0.60199999999999998</v>
      </c>
    </row>
    <row r="888" spans="1:23" ht="22.8" x14ac:dyDescent="0.3">
      <c r="A888" s="17" t="s">
        <v>2180</v>
      </c>
      <c r="B888" s="18" t="s">
        <v>822</v>
      </c>
      <c r="C888" s="18" t="s">
        <v>156</v>
      </c>
      <c r="D888" s="18" t="s">
        <v>175</v>
      </c>
      <c r="E888" s="18" t="s">
        <v>149</v>
      </c>
      <c r="F888" s="18" t="s">
        <v>2181</v>
      </c>
      <c r="G888" s="18" t="s">
        <v>120</v>
      </c>
      <c r="H888" s="18" t="s">
        <v>39</v>
      </c>
      <c r="I888" s="18">
        <v>13</v>
      </c>
      <c r="J888" s="19">
        <v>1193</v>
      </c>
      <c r="K888" s="19">
        <v>1181</v>
      </c>
      <c r="L888" s="20">
        <v>0.01</v>
      </c>
      <c r="M888" s="19">
        <v>694</v>
      </c>
      <c r="N888" s="19">
        <f>(tbl_raw[[#This Row],[Selling_Price]]-tbl_raw[[#This Row],[Cost_Price]])*tbl_raw[[#This Row],[Units_Sold]]</f>
        <v>6331</v>
      </c>
      <c r="O888" s="20">
        <f>IFERROR((tbl_raw[[#This Row],[Selling_Price]]-tbl_raw[[#This Row],[Cost_Price]]) / tbl_raw[[#This Row],[Selling_Price]],0)</f>
        <v>0.41236240474174429</v>
      </c>
      <c r="P888" s="19">
        <v>48</v>
      </c>
      <c r="Q888" s="19">
        <f>tbl_raw[[#This Row],[Gross_Profit]]-(tbl_raw[[#This Row],[Shipping_Cost]]*tbl_raw[[#This Row],[Units_Sold]])</f>
        <v>5707</v>
      </c>
      <c r="R888" s="20">
        <f>IFERROR(tbl_raw[[#This Row],[Net_Profit]]/(tbl_raw[[#This Row],[Selling_Price]]*tbl_raw[[#This Row],[Units_Sold]]),0)</f>
        <v>0.37171888230313294</v>
      </c>
      <c r="S888" s="18" t="s">
        <v>40</v>
      </c>
      <c r="T888" s="18" t="s">
        <v>49</v>
      </c>
      <c r="U888" s="18">
        <f>IF(tbl_raw[[#This Row],[Order_Status]]="Returned",1,0)</f>
        <v>0</v>
      </c>
      <c r="V888" s="18">
        <f>IF(tbl_raw[[#This Row],[Payment_Method]]="COD",1,0)</f>
        <v>1</v>
      </c>
      <c r="W888" s="21">
        <f>MIN(1,(tbl_raw[[#This Row],[Discount_Pct]]*1.4)+(tbl_raw[[#This Row],[COD_Flag]]*0.35))</f>
        <v>0.36399999999999999</v>
      </c>
    </row>
    <row r="889" spans="1:23" ht="22.8" x14ac:dyDescent="0.3">
      <c r="A889" s="22" t="s">
        <v>2182</v>
      </c>
      <c r="B889" s="23" t="s">
        <v>1509</v>
      </c>
      <c r="C889" s="23" t="s">
        <v>132</v>
      </c>
      <c r="D889" s="23" t="s">
        <v>62</v>
      </c>
      <c r="E889" s="23" t="s">
        <v>203</v>
      </c>
      <c r="F889" s="23" t="s">
        <v>2183</v>
      </c>
      <c r="G889" s="23" t="s">
        <v>38</v>
      </c>
      <c r="H889" s="23" t="s">
        <v>39</v>
      </c>
      <c r="I889" s="23">
        <v>16</v>
      </c>
      <c r="J889" s="24">
        <v>1291</v>
      </c>
      <c r="K889" s="24">
        <v>788</v>
      </c>
      <c r="L889" s="25">
        <v>0.39</v>
      </c>
      <c r="M889" s="24">
        <v>705</v>
      </c>
      <c r="N889" s="24">
        <f>(tbl_raw[[#This Row],[Selling_Price]]-tbl_raw[[#This Row],[Cost_Price]])*tbl_raw[[#This Row],[Units_Sold]]</f>
        <v>1328</v>
      </c>
      <c r="O889" s="25">
        <f>IFERROR((tbl_raw[[#This Row],[Selling_Price]]-tbl_raw[[#This Row],[Cost_Price]]) / tbl_raw[[#This Row],[Selling_Price]],0)</f>
        <v>0.10532994923857868</v>
      </c>
      <c r="P889" s="24">
        <v>31</v>
      </c>
      <c r="Q889" s="24">
        <f>tbl_raw[[#This Row],[Gross_Profit]]-(tbl_raw[[#This Row],[Shipping_Cost]]*tbl_raw[[#This Row],[Units_Sold]])</f>
        <v>832</v>
      </c>
      <c r="R889" s="25">
        <f>IFERROR(tbl_raw[[#This Row],[Net_Profit]]/(tbl_raw[[#This Row],[Selling_Price]]*tbl_raw[[#This Row],[Units_Sold]]),0)</f>
        <v>6.5989847715736044E-2</v>
      </c>
      <c r="S889" s="23" t="s">
        <v>58</v>
      </c>
      <c r="T889" s="23" t="s">
        <v>32</v>
      </c>
      <c r="U889" s="23">
        <f>IF(tbl_raw[[#This Row],[Order_Status]]="Returned",1,0)</f>
        <v>0</v>
      </c>
      <c r="V889" s="23">
        <f>IF(tbl_raw[[#This Row],[Payment_Method]]="COD",1,0)</f>
        <v>0</v>
      </c>
      <c r="W889" s="26">
        <f>MIN(1,(tbl_raw[[#This Row],[Discount_Pct]]*1.4)+(tbl_raw[[#This Row],[COD_Flag]]*0.35))</f>
        <v>0.54599999999999993</v>
      </c>
    </row>
    <row r="890" spans="1:23" ht="22.8" x14ac:dyDescent="0.3">
      <c r="A890" s="17" t="s">
        <v>2184</v>
      </c>
      <c r="B890" s="18" t="s">
        <v>202</v>
      </c>
      <c r="C890" s="18" t="s">
        <v>25</v>
      </c>
      <c r="D890" s="18" t="s">
        <v>44</v>
      </c>
      <c r="E890" s="18" t="s">
        <v>338</v>
      </c>
      <c r="F890" s="18" t="s">
        <v>2185</v>
      </c>
      <c r="G890" s="18" t="s">
        <v>102</v>
      </c>
      <c r="H890" s="18" t="s">
        <v>39</v>
      </c>
      <c r="I890" s="18">
        <v>6</v>
      </c>
      <c r="J890" s="19">
        <v>1304</v>
      </c>
      <c r="K890" s="19">
        <v>991</v>
      </c>
      <c r="L890" s="20">
        <v>0.24</v>
      </c>
      <c r="M890" s="19">
        <v>615</v>
      </c>
      <c r="N890" s="19">
        <f>(tbl_raw[[#This Row],[Selling_Price]]-tbl_raw[[#This Row],[Cost_Price]])*tbl_raw[[#This Row],[Units_Sold]]</f>
        <v>2256</v>
      </c>
      <c r="O890" s="20">
        <f>IFERROR((tbl_raw[[#This Row],[Selling_Price]]-tbl_raw[[#This Row],[Cost_Price]]) / tbl_raw[[#This Row],[Selling_Price]],0)</f>
        <v>0.37941473259334008</v>
      </c>
      <c r="P890" s="19">
        <v>122</v>
      </c>
      <c r="Q890" s="19">
        <f>tbl_raw[[#This Row],[Gross_Profit]]-(tbl_raw[[#This Row],[Shipping_Cost]]*tbl_raw[[#This Row],[Units_Sold]])</f>
        <v>1524</v>
      </c>
      <c r="R890" s="20">
        <f>IFERROR(tbl_raw[[#This Row],[Net_Profit]]/(tbl_raw[[#This Row],[Selling_Price]]*tbl_raw[[#This Row],[Units_Sold]]),0)</f>
        <v>0.25630676084762866</v>
      </c>
      <c r="S890" s="18" t="s">
        <v>107</v>
      </c>
      <c r="T890" s="18" t="s">
        <v>32</v>
      </c>
      <c r="U890" s="18">
        <f>IF(tbl_raw[[#This Row],[Order_Status]]="Returned",1,0)</f>
        <v>0</v>
      </c>
      <c r="V890" s="18">
        <f>IF(tbl_raw[[#This Row],[Payment_Method]]="COD",1,0)</f>
        <v>0</v>
      </c>
      <c r="W890" s="21">
        <f>MIN(1,(tbl_raw[[#This Row],[Discount_Pct]]*1.4)+(tbl_raw[[#This Row],[COD_Flag]]*0.35))</f>
        <v>0.33599999999999997</v>
      </c>
    </row>
    <row r="891" spans="1:23" ht="22.8" x14ac:dyDescent="0.3">
      <c r="A891" s="22" t="s">
        <v>2186</v>
      </c>
      <c r="B891" s="23" t="s">
        <v>2187</v>
      </c>
      <c r="C891" s="23" t="s">
        <v>117</v>
      </c>
      <c r="D891" s="23" t="s">
        <v>44</v>
      </c>
      <c r="E891" s="23" t="s">
        <v>73</v>
      </c>
      <c r="F891" s="23" t="s">
        <v>856</v>
      </c>
      <c r="G891" s="23" t="s">
        <v>38</v>
      </c>
      <c r="H891" s="23" t="s">
        <v>39</v>
      </c>
      <c r="I891" s="23">
        <v>16</v>
      </c>
      <c r="J891" s="24">
        <v>277</v>
      </c>
      <c r="K891" s="24">
        <v>224</v>
      </c>
      <c r="L891" s="25">
        <v>0.19</v>
      </c>
      <c r="M891" s="24">
        <v>125</v>
      </c>
      <c r="N891" s="24">
        <f>(tbl_raw[[#This Row],[Selling_Price]]-tbl_raw[[#This Row],[Cost_Price]])*tbl_raw[[#This Row],[Units_Sold]]</f>
        <v>1584</v>
      </c>
      <c r="O891" s="25">
        <f>IFERROR((tbl_raw[[#This Row],[Selling_Price]]-tbl_raw[[#This Row],[Cost_Price]]) / tbl_raw[[#This Row],[Selling_Price]],0)</f>
        <v>0.4419642857142857</v>
      </c>
      <c r="P891" s="24">
        <v>40</v>
      </c>
      <c r="Q891" s="24">
        <f>tbl_raw[[#This Row],[Gross_Profit]]-(tbl_raw[[#This Row],[Shipping_Cost]]*tbl_raw[[#This Row],[Units_Sold]])</f>
        <v>944</v>
      </c>
      <c r="R891" s="25">
        <f>IFERROR(tbl_raw[[#This Row],[Net_Profit]]/(tbl_raw[[#This Row],[Selling_Price]]*tbl_raw[[#This Row],[Units_Sold]]),0)</f>
        <v>0.26339285714285715</v>
      </c>
      <c r="S891" s="23" t="s">
        <v>58</v>
      </c>
      <c r="T891" s="23" t="s">
        <v>32</v>
      </c>
      <c r="U891" s="23">
        <f>IF(tbl_raw[[#This Row],[Order_Status]]="Returned",1,0)</f>
        <v>0</v>
      </c>
      <c r="V891" s="23">
        <f>IF(tbl_raw[[#This Row],[Payment_Method]]="COD",1,0)</f>
        <v>0</v>
      </c>
      <c r="W891" s="26">
        <f>MIN(1,(tbl_raw[[#This Row],[Discount_Pct]]*1.4)+(tbl_raw[[#This Row],[COD_Flag]]*0.35))</f>
        <v>0.26599999999999996</v>
      </c>
    </row>
    <row r="892" spans="1:23" ht="22.8" x14ac:dyDescent="0.3">
      <c r="A892" s="17" t="s">
        <v>2188</v>
      </c>
      <c r="B892" s="18" t="s">
        <v>360</v>
      </c>
      <c r="C892" s="18" t="s">
        <v>156</v>
      </c>
      <c r="D892" s="18" t="s">
        <v>62</v>
      </c>
      <c r="E892" s="18" t="s">
        <v>63</v>
      </c>
      <c r="F892" s="18" t="s">
        <v>2189</v>
      </c>
      <c r="G892" s="18" t="s">
        <v>139</v>
      </c>
      <c r="H892" s="18" t="s">
        <v>48</v>
      </c>
      <c r="I892" s="18">
        <v>20</v>
      </c>
      <c r="J892" s="19">
        <v>3856</v>
      </c>
      <c r="K892" s="19">
        <v>3586</v>
      </c>
      <c r="L892" s="20">
        <v>7.0000000000000007E-2</v>
      </c>
      <c r="M892" s="19">
        <v>2015</v>
      </c>
      <c r="N892" s="19">
        <f>(tbl_raw[[#This Row],[Selling_Price]]-tbl_raw[[#This Row],[Cost_Price]])*tbl_raw[[#This Row],[Units_Sold]]</f>
        <v>31420</v>
      </c>
      <c r="O892" s="20">
        <f>IFERROR((tbl_raw[[#This Row],[Selling_Price]]-tbl_raw[[#This Row],[Cost_Price]]) / tbl_raw[[#This Row],[Selling_Price]],0)</f>
        <v>0.43809258226436143</v>
      </c>
      <c r="P892" s="19">
        <v>114</v>
      </c>
      <c r="Q892" s="19">
        <f>tbl_raw[[#This Row],[Gross_Profit]]-(tbl_raw[[#This Row],[Shipping_Cost]]*tbl_raw[[#This Row],[Units_Sold]])</f>
        <v>29140</v>
      </c>
      <c r="R892" s="20">
        <f>IFERROR(tbl_raw[[#This Row],[Net_Profit]]/(tbl_raw[[#This Row],[Selling_Price]]*tbl_raw[[#This Row],[Units_Sold]]),0)</f>
        <v>0.40630228667038482</v>
      </c>
      <c r="S892" s="18" t="s">
        <v>40</v>
      </c>
      <c r="T892" s="18" t="s">
        <v>32</v>
      </c>
      <c r="U892" s="18">
        <f>IF(tbl_raw[[#This Row],[Order_Status]]="Returned",1,0)</f>
        <v>0</v>
      </c>
      <c r="V892" s="18">
        <f>IF(tbl_raw[[#This Row],[Payment_Method]]="COD",1,0)</f>
        <v>1</v>
      </c>
      <c r="W892" s="21">
        <f>MIN(1,(tbl_raw[[#This Row],[Discount_Pct]]*1.4)+(tbl_raw[[#This Row],[COD_Flag]]*0.35))</f>
        <v>0.44799999999999995</v>
      </c>
    </row>
    <row r="893" spans="1:23" ht="22.8" x14ac:dyDescent="0.3">
      <c r="A893" s="22" t="s">
        <v>2190</v>
      </c>
      <c r="B893" s="23" t="s">
        <v>141</v>
      </c>
      <c r="C893" s="23" t="s">
        <v>35</v>
      </c>
      <c r="D893" s="23" t="s">
        <v>53</v>
      </c>
      <c r="E893" s="23" t="s">
        <v>90</v>
      </c>
      <c r="F893" s="23" t="s">
        <v>2191</v>
      </c>
      <c r="G893" s="23" t="s">
        <v>143</v>
      </c>
      <c r="H893" s="23" t="s">
        <v>30</v>
      </c>
      <c r="I893" s="23">
        <v>12</v>
      </c>
      <c r="J893" s="24">
        <v>5071</v>
      </c>
      <c r="K893" s="24">
        <v>4158</v>
      </c>
      <c r="L893" s="25">
        <v>0.18</v>
      </c>
      <c r="M893" s="24">
        <v>2481</v>
      </c>
      <c r="N893" s="24">
        <f>(tbl_raw[[#This Row],[Selling_Price]]-tbl_raw[[#This Row],[Cost_Price]])*tbl_raw[[#This Row],[Units_Sold]]</f>
        <v>20124</v>
      </c>
      <c r="O893" s="25">
        <f>IFERROR((tbl_raw[[#This Row],[Selling_Price]]-tbl_raw[[#This Row],[Cost_Price]]) / tbl_raw[[#This Row],[Selling_Price]],0)</f>
        <v>0.4033189033189033</v>
      </c>
      <c r="P893" s="24">
        <v>111</v>
      </c>
      <c r="Q893" s="24">
        <f>tbl_raw[[#This Row],[Gross_Profit]]-(tbl_raw[[#This Row],[Shipping_Cost]]*tbl_raw[[#This Row],[Units_Sold]])</f>
        <v>18792</v>
      </c>
      <c r="R893" s="25">
        <f>IFERROR(tbl_raw[[#This Row],[Net_Profit]]/(tbl_raw[[#This Row],[Selling_Price]]*tbl_raw[[#This Row],[Units_Sold]]),0)</f>
        <v>0.37662337662337664</v>
      </c>
      <c r="S893" s="23" t="s">
        <v>40</v>
      </c>
      <c r="T893" s="23" t="s">
        <v>32</v>
      </c>
      <c r="U893" s="23">
        <f>IF(tbl_raw[[#This Row],[Order_Status]]="Returned",1,0)</f>
        <v>0</v>
      </c>
      <c r="V893" s="23">
        <f>IF(tbl_raw[[#This Row],[Payment_Method]]="COD",1,0)</f>
        <v>1</v>
      </c>
      <c r="W893" s="26">
        <f>MIN(1,(tbl_raw[[#This Row],[Discount_Pct]]*1.4)+(tbl_raw[[#This Row],[COD_Flag]]*0.35))</f>
        <v>0.60199999999999998</v>
      </c>
    </row>
    <row r="894" spans="1:23" ht="22.8" x14ac:dyDescent="0.3">
      <c r="A894" s="17" t="s">
        <v>2192</v>
      </c>
      <c r="B894" s="18" t="s">
        <v>920</v>
      </c>
      <c r="C894" s="18" t="s">
        <v>156</v>
      </c>
      <c r="D894" s="18" t="s">
        <v>53</v>
      </c>
      <c r="E894" s="18" t="s">
        <v>145</v>
      </c>
      <c r="F894" s="18" t="s">
        <v>2193</v>
      </c>
      <c r="G894" s="18" t="s">
        <v>102</v>
      </c>
      <c r="H894" s="18" t="s">
        <v>39</v>
      </c>
      <c r="I894" s="18">
        <v>4</v>
      </c>
      <c r="J894" s="19">
        <v>1188</v>
      </c>
      <c r="K894" s="19">
        <v>903</v>
      </c>
      <c r="L894" s="20">
        <v>0.24</v>
      </c>
      <c r="M894" s="19">
        <v>743</v>
      </c>
      <c r="N894" s="19">
        <f>(tbl_raw[[#This Row],[Selling_Price]]-tbl_raw[[#This Row],[Cost_Price]])*tbl_raw[[#This Row],[Units_Sold]]</f>
        <v>640</v>
      </c>
      <c r="O894" s="20">
        <f>IFERROR((tbl_raw[[#This Row],[Selling_Price]]-tbl_raw[[#This Row],[Cost_Price]]) / tbl_raw[[#This Row],[Selling_Price]],0)</f>
        <v>0.17718715393133999</v>
      </c>
      <c r="P894" s="19">
        <v>87</v>
      </c>
      <c r="Q894" s="19">
        <f>tbl_raw[[#This Row],[Gross_Profit]]-(tbl_raw[[#This Row],[Shipping_Cost]]*tbl_raw[[#This Row],[Units_Sold]])</f>
        <v>292</v>
      </c>
      <c r="R894" s="20">
        <f>IFERROR(tbl_raw[[#This Row],[Net_Profit]]/(tbl_raw[[#This Row],[Selling_Price]]*tbl_raw[[#This Row],[Units_Sold]]),0)</f>
        <v>8.0841638981173872E-2</v>
      </c>
      <c r="S894" s="18" t="s">
        <v>65</v>
      </c>
      <c r="T894" s="18" t="s">
        <v>32</v>
      </c>
      <c r="U894" s="18">
        <f>IF(tbl_raw[[#This Row],[Order_Status]]="Returned",1,0)</f>
        <v>0</v>
      </c>
      <c r="V894" s="18">
        <f>IF(tbl_raw[[#This Row],[Payment_Method]]="COD",1,0)</f>
        <v>0</v>
      </c>
      <c r="W894" s="21">
        <f>MIN(1,(tbl_raw[[#This Row],[Discount_Pct]]*1.4)+(tbl_raw[[#This Row],[COD_Flag]]*0.35))</f>
        <v>0.33599999999999997</v>
      </c>
    </row>
    <row r="895" spans="1:23" ht="22.8" x14ac:dyDescent="0.3">
      <c r="A895" s="22" t="s">
        <v>2194</v>
      </c>
      <c r="B895" s="23" t="s">
        <v>128</v>
      </c>
      <c r="C895" s="23" t="s">
        <v>99</v>
      </c>
      <c r="D895" s="23" t="s">
        <v>62</v>
      </c>
      <c r="E895" s="23" t="s">
        <v>203</v>
      </c>
      <c r="F895" s="23" t="s">
        <v>2195</v>
      </c>
      <c r="G895" s="23" t="s">
        <v>139</v>
      </c>
      <c r="H895" s="23" t="s">
        <v>48</v>
      </c>
      <c r="I895" s="23">
        <v>8</v>
      </c>
      <c r="J895" s="24">
        <v>7915</v>
      </c>
      <c r="K895" s="24">
        <v>7598</v>
      </c>
      <c r="L895" s="25">
        <v>0.04</v>
      </c>
      <c r="M895" s="24">
        <v>5391</v>
      </c>
      <c r="N895" s="24">
        <f>(tbl_raw[[#This Row],[Selling_Price]]-tbl_raw[[#This Row],[Cost_Price]])*tbl_raw[[#This Row],[Units_Sold]]</f>
        <v>17656</v>
      </c>
      <c r="O895" s="25">
        <f>IFERROR((tbl_raw[[#This Row],[Selling_Price]]-tbl_raw[[#This Row],[Cost_Price]]) / tbl_raw[[#This Row],[Selling_Price]],0)</f>
        <v>0.29047117662542776</v>
      </c>
      <c r="P895" s="24">
        <v>52</v>
      </c>
      <c r="Q895" s="24">
        <f>tbl_raw[[#This Row],[Gross_Profit]]-(tbl_raw[[#This Row],[Shipping_Cost]]*tbl_raw[[#This Row],[Units_Sold]])</f>
        <v>17240</v>
      </c>
      <c r="R895" s="25">
        <f>IFERROR(tbl_raw[[#This Row],[Net_Profit]]/(tbl_raw[[#This Row],[Selling_Price]]*tbl_raw[[#This Row],[Units_Sold]]),0)</f>
        <v>0.28362727033429852</v>
      </c>
      <c r="S895" s="23" t="s">
        <v>40</v>
      </c>
      <c r="T895" s="23" t="s">
        <v>32</v>
      </c>
      <c r="U895" s="23">
        <f>IF(tbl_raw[[#This Row],[Order_Status]]="Returned",1,0)</f>
        <v>0</v>
      </c>
      <c r="V895" s="23">
        <f>IF(tbl_raw[[#This Row],[Payment_Method]]="COD",1,0)</f>
        <v>1</v>
      </c>
      <c r="W895" s="26">
        <f>MIN(1,(tbl_raw[[#This Row],[Discount_Pct]]*1.4)+(tbl_raw[[#This Row],[COD_Flag]]*0.35))</f>
        <v>0.40599999999999997</v>
      </c>
    </row>
    <row r="896" spans="1:23" ht="22.8" x14ac:dyDescent="0.3">
      <c r="A896" s="17" t="s">
        <v>2196</v>
      </c>
      <c r="B896" s="18" t="s">
        <v>113</v>
      </c>
      <c r="C896" s="18" t="s">
        <v>72</v>
      </c>
      <c r="D896" s="18" t="s">
        <v>164</v>
      </c>
      <c r="E896" s="18" t="s">
        <v>345</v>
      </c>
      <c r="F896" s="18" t="s">
        <v>2197</v>
      </c>
      <c r="G896" s="18" t="s">
        <v>75</v>
      </c>
      <c r="H896" s="18" t="s">
        <v>48</v>
      </c>
      <c r="I896" s="18">
        <v>14</v>
      </c>
      <c r="J896" s="19">
        <v>5386</v>
      </c>
      <c r="K896" s="19">
        <v>4578</v>
      </c>
      <c r="L896" s="20">
        <v>0.15</v>
      </c>
      <c r="M896" s="19">
        <v>3098</v>
      </c>
      <c r="N896" s="19">
        <f>(tbl_raw[[#This Row],[Selling_Price]]-tbl_raw[[#This Row],[Cost_Price]])*tbl_raw[[#This Row],[Units_Sold]]</f>
        <v>20720</v>
      </c>
      <c r="O896" s="20">
        <f>IFERROR((tbl_raw[[#This Row],[Selling_Price]]-tbl_raw[[#This Row],[Cost_Price]]) / tbl_raw[[#This Row],[Selling_Price]],0)</f>
        <v>0.32328527741371776</v>
      </c>
      <c r="P896" s="19">
        <v>48</v>
      </c>
      <c r="Q896" s="19">
        <f>tbl_raw[[#This Row],[Gross_Profit]]-(tbl_raw[[#This Row],[Shipping_Cost]]*tbl_raw[[#This Row],[Units_Sold]])</f>
        <v>20048</v>
      </c>
      <c r="R896" s="20">
        <f>IFERROR(tbl_raw[[#This Row],[Net_Profit]]/(tbl_raw[[#This Row],[Selling_Price]]*tbl_raw[[#This Row],[Units_Sold]]),0)</f>
        <v>0.31280034949759722</v>
      </c>
      <c r="S896" s="18" t="s">
        <v>65</v>
      </c>
      <c r="T896" s="18" t="s">
        <v>86</v>
      </c>
      <c r="U896" s="18">
        <f>IF(tbl_raw[[#This Row],[Order_Status]]="Returned",1,0)</f>
        <v>1</v>
      </c>
      <c r="V896" s="18">
        <f>IF(tbl_raw[[#This Row],[Payment_Method]]="COD",1,0)</f>
        <v>0</v>
      </c>
      <c r="W896" s="21">
        <f>MIN(1,(tbl_raw[[#This Row],[Discount_Pct]]*1.4)+(tbl_raw[[#This Row],[COD_Flag]]*0.35))</f>
        <v>0.21</v>
      </c>
    </row>
    <row r="897" spans="1:23" ht="22.8" x14ac:dyDescent="0.3">
      <c r="A897" s="22" t="s">
        <v>2198</v>
      </c>
      <c r="B897" s="23" t="s">
        <v>527</v>
      </c>
      <c r="C897" s="23" t="s">
        <v>156</v>
      </c>
      <c r="D897" s="23" t="s">
        <v>44</v>
      </c>
      <c r="E897" s="23" t="s">
        <v>279</v>
      </c>
      <c r="F897" s="23" t="s">
        <v>2199</v>
      </c>
      <c r="G897" s="23" t="s">
        <v>38</v>
      </c>
      <c r="H897" s="23" t="s">
        <v>39</v>
      </c>
      <c r="I897" s="23">
        <v>11</v>
      </c>
      <c r="J897" s="24">
        <v>4339</v>
      </c>
      <c r="K897" s="24">
        <v>2603</v>
      </c>
      <c r="L897" s="25">
        <v>0.4</v>
      </c>
      <c r="M897" s="24">
        <v>3015</v>
      </c>
      <c r="N897" s="24">
        <f>(tbl_raw[[#This Row],[Selling_Price]]-tbl_raw[[#This Row],[Cost_Price]])*tbl_raw[[#This Row],[Units_Sold]]</f>
        <v>-4532</v>
      </c>
      <c r="O897" s="25">
        <f>IFERROR((tbl_raw[[#This Row],[Selling_Price]]-tbl_raw[[#This Row],[Cost_Price]]) / tbl_raw[[#This Row],[Selling_Price]],0)</f>
        <v>-0.15827890895121013</v>
      </c>
      <c r="P897" s="24">
        <v>173</v>
      </c>
      <c r="Q897" s="24">
        <f>tbl_raw[[#This Row],[Gross_Profit]]-(tbl_raw[[#This Row],[Shipping_Cost]]*tbl_raw[[#This Row],[Units_Sold]])</f>
        <v>-6435</v>
      </c>
      <c r="R897" s="25">
        <f>IFERROR(tbl_raw[[#This Row],[Net_Profit]]/(tbl_raw[[#This Row],[Selling_Price]]*tbl_raw[[#This Row],[Units_Sold]]),0)</f>
        <v>-0.2247406838263542</v>
      </c>
      <c r="S897" s="23" t="s">
        <v>107</v>
      </c>
      <c r="T897" s="23" t="s">
        <v>59</v>
      </c>
      <c r="U897" s="23">
        <f>IF(tbl_raw[[#This Row],[Order_Status]]="Returned",1,0)</f>
        <v>0</v>
      </c>
      <c r="V897" s="23">
        <f>IF(tbl_raw[[#This Row],[Payment_Method]]="COD",1,0)</f>
        <v>0</v>
      </c>
      <c r="W897" s="26">
        <f>MIN(1,(tbl_raw[[#This Row],[Discount_Pct]]*1.4)+(tbl_raw[[#This Row],[COD_Flag]]*0.35))</f>
        <v>0.55999999999999994</v>
      </c>
    </row>
    <row r="898" spans="1:23" ht="22.8" x14ac:dyDescent="0.3">
      <c r="A898" s="17" t="s">
        <v>2200</v>
      </c>
      <c r="B898" s="18" t="s">
        <v>2201</v>
      </c>
      <c r="C898" s="18" t="s">
        <v>105</v>
      </c>
      <c r="D898" s="18" t="s">
        <v>62</v>
      </c>
      <c r="E898" s="18" t="s">
        <v>63</v>
      </c>
      <c r="F898" s="18" t="s">
        <v>2202</v>
      </c>
      <c r="G898" s="18" t="s">
        <v>120</v>
      </c>
      <c r="H898" s="18" t="s">
        <v>39</v>
      </c>
      <c r="I898" s="18">
        <v>18</v>
      </c>
      <c r="J898" s="19">
        <v>7218</v>
      </c>
      <c r="K898" s="19">
        <v>5125</v>
      </c>
      <c r="L898" s="20">
        <v>0.28999999999999998</v>
      </c>
      <c r="M898" s="19">
        <v>3337</v>
      </c>
      <c r="N898" s="19">
        <f>(tbl_raw[[#This Row],[Selling_Price]]-tbl_raw[[#This Row],[Cost_Price]])*tbl_raw[[#This Row],[Units_Sold]]</f>
        <v>32184</v>
      </c>
      <c r="O898" s="20">
        <f>IFERROR((tbl_raw[[#This Row],[Selling_Price]]-tbl_raw[[#This Row],[Cost_Price]]) / tbl_raw[[#This Row],[Selling_Price]],0)</f>
        <v>0.34887804878048778</v>
      </c>
      <c r="P898" s="19">
        <v>160</v>
      </c>
      <c r="Q898" s="19">
        <f>tbl_raw[[#This Row],[Gross_Profit]]-(tbl_raw[[#This Row],[Shipping_Cost]]*tbl_raw[[#This Row],[Units_Sold]])</f>
        <v>29304</v>
      </c>
      <c r="R898" s="20">
        <f>IFERROR(tbl_raw[[#This Row],[Net_Profit]]/(tbl_raw[[#This Row],[Selling_Price]]*tbl_raw[[#This Row],[Units_Sold]]),0)</f>
        <v>0.31765853658536586</v>
      </c>
      <c r="S898" s="18" t="s">
        <v>31</v>
      </c>
      <c r="T898" s="18" t="s">
        <v>32</v>
      </c>
      <c r="U898" s="18">
        <f>IF(tbl_raw[[#This Row],[Order_Status]]="Returned",1,0)</f>
        <v>0</v>
      </c>
      <c r="V898" s="18">
        <f>IF(tbl_raw[[#This Row],[Payment_Method]]="COD",1,0)</f>
        <v>0</v>
      </c>
      <c r="W898" s="21">
        <f>MIN(1,(tbl_raw[[#This Row],[Discount_Pct]]*1.4)+(tbl_raw[[#This Row],[COD_Flag]]*0.35))</f>
        <v>0.40599999999999997</v>
      </c>
    </row>
    <row r="899" spans="1:23" ht="22.8" x14ac:dyDescent="0.3">
      <c r="A899" s="22" t="s">
        <v>2203</v>
      </c>
      <c r="B899" s="23" t="s">
        <v>686</v>
      </c>
      <c r="C899" s="23" t="s">
        <v>52</v>
      </c>
      <c r="D899" s="23" t="s">
        <v>94</v>
      </c>
      <c r="E899" s="23" t="s">
        <v>310</v>
      </c>
      <c r="F899" s="23" t="s">
        <v>2204</v>
      </c>
      <c r="G899" s="23" t="s">
        <v>81</v>
      </c>
      <c r="H899" s="23" t="s">
        <v>30</v>
      </c>
      <c r="I899" s="23">
        <v>1</v>
      </c>
      <c r="J899" s="24">
        <v>1728</v>
      </c>
      <c r="K899" s="24">
        <v>1452</v>
      </c>
      <c r="L899" s="25">
        <v>0.16</v>
      </c>
      <c r="M899" s="24">
        <v>809</v>
      </c>
      <c r="N899" s="24">
        <f>(tbl_raw[[#This Row],[Selling_Price]]-tbl_raw[[#This Row],[Cost_Price]])*tbl_raw[[#This Row],[Units_Sold]]</f>
        <v>643</v>
      </c>
      <c r="O899" s="25">
        <f>IFERROR((tbl_raw[[#This Row],[Selling_Price]]-tbl_raw[[#This Row],[Cost_Price]]) / tbl_raw[[#This Row],[Selling_Price]],0)</f>
        <v>0.4428374655647383</v>
      </c>
      <c r="P899" s="24">
        <v>118</v>
      </c>
      <c r="Q899" s="24">
        <f>tbl_raw[[#This Row],[Gross_Profit]]-(tbl_raw[[#This Row],[Shipping_Cost]]*tbl_raw[[#This Row],[Units_Sold]])</f>
        <v>525</v>
      </c>
      <c r="R899" s="25">
        <f>IFERROR(tbl_raw[[#This Row],[Net_Profit]]/(tbl_raw[[#This Row],[Selling_Price]]*tbl_raw[[#This Row],[Units_Sold]]),0)</f>
        <v>0.36157024793388431</v>
      </c>
      <c r="S899" s="23" t="s">
        <v>107</v>
      </c>
      <c r="T899" s="23" t="s">
        <v>32</v>
      </c>
      <c r="U899" s="23">
        <f>IF(tbl_raw[[#This Row],[Order_Status]]="Returned",1,0)</f>
        <v>0</v>
      </c>
      <c r="V899" s="23">
        <f>IF(tbl_raw[[#This Row],[Payment_Method]]="COD",1,0)</f>
        <v>0</v>
      </c>
      <c r="W899" s="26">
        <f>MIN(1,(tbl_raw[[#This Row],[Discount_Pct]]*1.4)+(tbl_raw[[#This Row],[COD_Flag]]*0.35))</f>
        <v>0.22399999999999998</v>
      </c>
    </row>
    <row r="900" spans="1:23" ht="22.8" x14ac:dyDescent="0.3">
      <c r="A900" s="17" t="s">
        <v>2205</v>
      </c>
      <c r="B900" s="18" t="s">
        <v>268</v>
      </c>
      <c r="C900" s="18" t="s">
        <v>99</v>
      </c>
      <c r="D900" s="18" t="s">
        <v>26</v>
      </c>
      <c r="E900" s="18" t="s">
        <v>36</v>
      </c>
      <c r="F900" s="18" t="s">
        <v>2206</v>
      </c>
      <c r="G900" s="18" t="s">
        <v>139</v>
      </c>
      <c r="H900" s="18" t="s">
        <v>48</v>
      </c>
      <c r="I900" s="18">
        <v>9</v>
      </c>
      <c r="J900" s="19">
        <v>5205</v>
      </c>
      <c r="K900" s="19">
        <v>4268</v>
      </c>
      <c r="L900" s="20">
        <v>0.18</v>
      </c>
      <c r="M900" s="19">
        <v>3896</v>
      </c>
      <c r="N900" s="19">
        <f>(tbl_raw[[#This Row],[Selling_Price]]-tbl_raw[[#This Row],[Cost_Price]])*tbl_raw[[#This Row],[Units_Sold]]</f>
        <v>3348</v>
      </c>
      <c r="O900" s="20">
        <f>IFERROR((tbl_raw[[#This Row],[Selling_Price]]-tbl_raw[[#This Row],[Cost_Price]]) / tbl_raw[[#This Row],[Selling_Price]],0)</f>
        <v>8.7160262417994377E-2</v>
      </c>
      <c r="P900" s="19">
        <v>136</v>
      </c>
      <c r="Q900" s="19">
        <f>tbl_raw[[#This Row],[Gross_Profit]]-(tbl_raw[[#This Row],[Shipping_Cost]]*tbl_raw[[#This Row],[Units_Sold]])</f>
        <v>2124</v>
      </c>
      <c r="R900" s="20">
        <f>IFERROR(tbl_raw[[#This Row],[Net_Profit]]/(tbl_raw[[#This Row],[Selling_Price]]*tbl_raw[[#This Row],[Units_Sold]]),0)</f>
        <v>5.5295220243673851E-2</v>
      </c>
      <c r="S900" s="18" t="s">
        <v>107</v>
      </c>
      <c r="T900" s="18" t="s">
        <v>49</v>
      </c>
      <c r="U900" s="18">
        <f>IF(tbl_raw[[#This Row],[Order_Status]]="Returned",1,0)</f>
        <v>0</v>
      </c>
      <c r="V900" s="18">
        <f>IF(tbl_raw[[#This Row],[Payment_Method]]="COD",1,0)</f>
        <v>0</v>
      </c>
      <c r="W900" s="21">
        <f>MIN(1,(tbl_raw[[#This Row],[Discount_Pct]]*1.4)+(tbl_raw[[#This Row],[COD_Flag]]*0.35))</f>
        <v>0.252</v>
      </c>
    </row>
    <row r="901" spans="1:23" ht="22.8" x14ac:dyDescent="0.3">
      <c r="A901" s="22" t="s">
        <v>2207</v>
      </c>
      <c r="B901" s="23" t="s">
        <v>952</v>
      </c>
      <c r="C901" s="23" t="s">
        <v>132</v>
      </c>
      <c r="D901" s="23" t="s">
        <v>62</v>
      </c>
      <c r="E901" s="23" t="s">
        <v>133</v>
      </c>
      <c r="F901" s="23" t="s">
        <v>2208</v>
      </c>
      <c r="G901" s="23" t="s">
        <v>75</v>
      </c>
      <c r="H901" s="23" t="s">
        <v>48</v>
      </c>
      <c r="I901" s="23">
        <v>16</v>
      </c>
      <c r="J901" s="24">
        <v>1555</v>
      </c>
      <c r="K901" s="24">
        <v>1026</v>
      </c>
      <c r="L901" s="25">
        <v>0.34</v>
      </c>
      <c r="M901" s="24">
        <v>974</v>
      </c>
      <c r="N901" s="24">
        <f>(tbl_raw[[#This Row],[Selling_Price]]-tbl_raw[[#This Row],[Cost_Price]])*tbl_raw[[#This Row],[Units_Sold]]</f>
        <v>832</v>
      </c>
      <c r="O901" s="25">
        <f>IFERROR((tbl_raw[[#This Row],[Selling_Price]]-tbl_raw[[#This Row],[Cost_Price]]) / tbl_raw[[#This Row],[Selling_Price]],0)</f>
        <v>5.0682261208576995E-2</v>
      </c>
      <c r="P901" s="24">
        <v>112</v>
      </c>
      <c r="Q901" s="24">
        <f>tbl_raw[[#This Row],[Gross_Profit]]-(tbl_raw[[#This Row],[Shipping_Cost]]*tbl_raw[[#This Row],[Units_Sold]])</f>
        <v>-960</v>
      </c>
      <c r="R901" s="25">
        <f>IFERROR(tbl_raw[[#This Row],[Net_Profit]]/(tbl_raw[[#This Row],[Selling_Price]]*tbl_raw[[#This Row],[Units_Sold]]),0)</f>
        <v>-5.8479532163742687E-2</v>
      </c>
      <c r="S901" s="23" t="s">
        <v>58</v>
      </c>
      <c r="T901" s="23" t="s">
        <v>32</v>
      </c>
      <c r="U901" s="23">
        <f>IF(tbl_raw[[#This Row],[Order_Status]]="Returned",1,0)</f>
        <v>0</v>
      </c>
      <c r="V901" s="23">
        <f>IF(tbl_raw[[#This Row],[Payment_Method]]="COD",1,0)</f>
        <v>0</v>
      </c>
      <c r="W901" s="26">
        <f>MIN(1,(tbl_raw[[#This Row],[Discount_Pct]]*1.4)+(tbl_raw[[#This Row],[COD_Flag]]*0.35))</f>
        <v>0.47599999999999998</v>
      </c>
    </row>
    <row r="902" spans="1:23" ht="22.8" x14ac:dyDescent="0.3">
      <c r="A902" s="17" t="s">
        <v>2209</v>
      </c>
      <c r="B902" s="18" t="s">
        <v>206</v>
      </c>
      <c r="C902" s="18" t="s">
        <v>156</v>
      </c>
      <c r="D902" s="18" t="s">
        <v>164</v>
      </c>
      <c r="E902" s="18" t="s">
        <v>165</v>
      </c>
      <c r="F902" s="18" t="s">
        <v>2210</v>
      </c>
      <c r="G902" s="18" t="s">
        <v>47</v>
      </c>
      <c r="H902" s="18" t="s">
        <v>48</v>
      </c>
      <c r="I902" s="18">
        <v>4</v>
      </c>
      <c r="J902" s="19">
        <v>637</v>
      </c>
      <c r="K902" s="19">
        <v>452</v>
      </c>
      <c r="L902" s="20">
        <v>0.28999999999999998</v>
      </c>
      <c r="M902" s="19">
        <v>269</v>
      </c>
      <c r="N902" s="19">
        <f>(tbl_raw[[#This Row],[Selling_Price]]-tbl_raw[[#This Row],[Cost_Price]])*tbl_raw[[#This Row],[Units_Sold]]</f>
        <v>732</v>
      </c>
      <c r="O902" s="20">
        <f>IFERROR((tbl_raw[[#This Row],[Selling_Price]]-tbl_raw[[#This Row],[Cost_Price]]) / tbl_raw[[#This Row],[Selling_Price]],0)</f>
        <v>0.40486725663716816</v>
      </c>
      <c r="P902" s="19">
        <v>45</v>
      </c>
      <c r="Q902" s="19">
        <f>tbl_raw[[#This Row],[Gross_Profit]]-(tbl_raw[[#This Row],[Shipping_Cost]]*tbl_raw[[#This Row],[Units_Sold]])</f>
        <v>552</v>
      </c>
      <c r="R902" s="20">
        <f>IFERROR(tbl_raw[[#This Row],[Net_Profit]]/(tbl_raw[[#This Row],[Selling_Price]]*tbl_raw[[#This Row],[Units_Sold]]),0)</f>
        <v>0.30530973451327431</v>
      </c>
      <c r="S902" s="18" t="s">
        <v>65</v>
      </c>
      <c r="T902" s="18" t="s">
        <v>59</v>
      </c>
      <c r="U902" s="18">
        <f>IF(tbl_raw[[#This Row],[Order_Status]]="Returned",1,0)</f>
        <v>0</v>
      </c>
      <c r="V902" s="18">
        <f>IF(tbl_raw[[#This Row],[Payment_Method]]="COD",1,0)</f>
        <v>0</v>
      </c>
      <c r="W902" s="21">
        <f>MIN(1,(tbl_raw[[#This Row],[Discount_Pct]]*1.4)+(tbl_raw[[#This Row],[COD_Flag]]*0.35))</f>
        <v>0.40599999999999997</v>
      </c>
    </row>
    <row r="903" spans="1:23" ht="22.8" x14ac:dyDescent="0.3">
      <c r="A903" s="22" t="s">
        <v>2211</v>
      </c>
      <c r="B903" s="23" t="s">
        <v>341</v>
      </c>
      <c r="C903" s="23" t="s">
        <v>25</v>
      </c>
      <c r="D903" s="23" t="s">
        <v>26</v>
      </c>
      <c r="E903" s="23" t="s">
        <v>27</v>
      </c>
      <c r="F903" s="23" t="s">
        <v>2212</v>
      </c>
      <c r="G903" s="23" t="s">
        <v>56</v>
      </c>
      <c r="H903" s="23" t="s">
        <v>57</v>
      </c>
      <c r="I903" s="23">
        <v>6</v>
      </c>
      <c r="J903" s="24">
        <v>7265</v>
      </c>
      <c r="K903" s="24">
        <v>5376</v>
      </c>
      <c r="L903" s="25">
        <v>0.26</v>
      </c>
      <c r="M903" s="24">
        <v>5307</v>
      </c>
      <c r="N903" s="24">
        <f>(tbl_raw[[#This Row],[Selling_Price]]-tbl_raw[[#This Row],[Cost_Price]])*tbl_raw[[#This Row],[Units_Sold]]</f>
        <v>414</v>
      </c>
      <c r="O903" s="25">
        <f>IFERROR((tbl_raw[[#This Row],[Selling_Price]]-tbl_raw[[#This Row],[Cost_Price]]) / tbl_raw[[#This Row],[Selling_Price]],0)</f>
        <v>1.2834821428571428E-2</v>
      </c>
      <c r="P903" s="24">
        <v>107</v>
      </c>
      <c r="Q903" s="24">
        <f>tbl_raw[[#This Row],[Gross_Profit]]-(tbl_raw[[#This Row],[Shipping_Cost]]*tbl_raw[[#This Row],[Units_Sold]])</f>
        <v>-228</v>
      </c>
      <c r="R903" s="25">
        <f>IFERROR(tbl_raw[[#This Row],[Net_Profit]]/(tbl_raw[[#This Row],[Selling_Price]]*tbl_raw[[#This Row],[Units_Sold]]),0)</f>
        <v>-7.068452380952381E-3</v>
      </c>
      <c r="S903" s="23" t="s">
        <v>31</v>
      </c>
      <c r="T903" s="23" t="s">
        <v>32</v>
      </c>
      <c r="U903" s="23">
        <f>IF(tbl_raw[[#This Row],[Order_Status]]="Returned",1,0)</f>
        <v>0</v>
      </c>
      <c r="V903" s="23">
        <f>IF(tbl_raw[[#This Row],[Payment_Method]]="COD",1,0)</f>
        <v>0</v>
      </c>
      <c r="W903" s="26">
        <f>MIN(1,(tbl_raw[[#This Row],[Discount_Pct]]*1.4)+(tbl_raw[[#This Row],[COD_Flag]]*0.35))</f>
        <v>0.36399999999999999</v>
      </c>
    </row>
    <row r="904" spans="1:23" ht="22.8" x14ac:dyDescent="0.3">
      <c r="A904" s="17" t="s">
        <v>2213</v>
      </c>
      <c r="B904" s="18" t="s">
        <v>1125</v>
      </c>
      <c r="C904" s="18" t="s">
        <v>132</v>
      </c>
      <c r="D904" s="18" t="s">
        <v>94</v>
      </c>
      <c r="E904" s="18" t="s">
        <v>137</v>
      </c>
      <c r="F904" s="18" t="s">
        <v>2214</v>
      </c>
      <c r="G904" s="18" t="s">
        <v>143</v>
      </c>
      <c r="H904" s="18" t="s">
        <v>30</v>
      </c>
      <c r="I904" s="18">
        <v>3</v>
      </c>
      <c r="J904" s="19">
        <v>1546</v>
      </c>
      <c r="K904" s="19">
        <v>1515</v>
      </c>
      <c r="L904" s="20">
        <v>0.02</v>
      </c>
      <c r="M904" s="19">
        <v>948</v>
      </c>
      <c r="N904" s="19">
        <f>(tbl_raw[[#This Row],[Selling_Price]]-tbl_raw[[#This Row],[Cost_Price]])*tbl_raw[[#This Row],[Units_Sold]]</f>
        <v>1701</v>
      </c>
      <c r="O904" s="20">
        <f>IFERROR((tbl_raw[[#This Row],[Selling_Price]]-tbl_raw[[#This Row],[Cost_Price]]) / tbl_raw[[#This Row],[Selling_Price]],0)</f>
        <v>0.37425742574257426</v>
      </c>
      <c r="P904" s="19">
        <v>133</v>
      </c>
      <c r="Q904" s="19">
        <f>tbl_raw[[#This Row],[Gross_Profit]]-(tbl_raw[[#This Row],[Shipping_Cost]]*tbl_raw[[#This Row],[Units_Sold]])</f>
        <v>1302</v>
      </c>
      <c r="R904" s="20">
        <f>IFERROR(tbl_raw[[#This Row],[Net_Profit]]/(tbl_raw[[#This Row],[Selling_Price]]*tbl_raw[[#This Row],[Units_Sold]]),0)</f>
        <v>0.28646864686468648</v>
      </c>
      <c r="S904" s="18" t="s">
        <v>31</v>
      </c>
      <c r="T904" s="18" t="s">
        <v>32</v>
      </c>
      <c r="U904" s="18">
        <f>IF(tbl_raw[[#This Row],[Order_Status]]="Returned",1,0)</f>
        <v>0</v>
      </c>
      <c r="V904" s="18">
        <f>IF(tbl_raw[[#This Row],[Payment_Method]]="COD",1,0)</f>
        <v>0</v>
      </c>
      <c r="W904" s="21">
        <f>MIN(1,(tbl_raw[[#This Row],[Discount_Pct]]*1.4)+(tbl_raw[[#This Row],[COD_Flag]]*0.35))</f>
        <v>2.7999999999999997E-2</v>
      </c>
    </row>
    <row r="905" spans="1:23" ht="22.8" x14ac:dyDescent="0.3">
      <c r="A905" s="22" t="s">
        <v>2215</v>
      </c>
      <c r="B905" s="23" t="s">
        <v>186</v>
      </c>
      <c r="C905" s="23" t="s">
        <v>132</v>
      </c>
      <c r="D905" s="23" t="s">
        <v>53</v>
      </c>
      <c r="E905" s="23" t="s">
        <v>54</v>
      </c>
      <c r="F905" s="23" t="s">
        <v>2216</v>
      </c>
      <c r="G905" s="23" t="s">
        <v>120</v>
      </c>
      <c r="H905" s="23" t="s">
        <v>39</v>
      </c>
      <c r="I905" s="23">
        <v>11</v>
      </c>
      <c r="J905" s="24">
        <v>3837</v>
      </c>
      <c r="K905" s="24">
        <v>2379</v>
      </c>
      <c r="L905" s="25">
        <v>0.38</v>
      </c>
      <c r="M905" s="24">
        <v>1650</v>
      </c>
      <c r="N905" s="24">
        <f>(tbl_raw[[#This Row],[Selling_Price]]-tbl_raw[[#This Row],[Cost_Price]])*tbl_raw[[#This Row],[Units_Sold]]</f>
        <v>8019</v>
      </c>
      <c r="O905" s="25">
        <f>IFERROR((tbl_raw[[#This Row],[Selling_Price]]-tbl_raw[[#This Row],[Cost_Price]]) / tbl_raw[[#This Row],[Selling_Price]],0)</f>
        <v>0.30643127364438838</v>
      </c>
      <c r="P905" s="24">
        <v>170</v>
      </c>
      <c r="Q905" s="24">
        <f>tbl_raw[[#This Row],[Gross_Profit]]-(tbl_raw[[#This Row],[Shipping_Cost]]*tbl_raw[[#This Row],[Units_Sold]])</f>
        <v>6149</v>
      </c>
      <c r="R905" s="25">
        <f>IFERROR(tbl_raw[[#This Row],[Net_Profit]]/(tbl_raw[[#This Row],[Selling_Price]]*tbl_raw[[#This Row],[Units_Sold]]),0)</f>
        <v>0.23497267759562843</v>
      </c>
      <c r="S905" s="23" t="s">
        <v>58</v>
      </c>
      <c r="T905" s="23" t="s">
        <v>32</v>
      </c>
      <c r="U905" s="23">
        <f>IF(tbl_raw[[#This Row],[Order_Status]]="Returned",1,0)</f>
        <v>0</v>
      </c>
      <c r="V905" s="23">
        <f>IF(tbl_raw[[#This Row],[Payment_Method]]="COD",1,0)</f>
        <v>0</v>
      </c>
      <c r="W905" s="26">
        <f>MIN(1,(tbl_raw[[#This Row],[Discount_Pct]]*1.4)+(tbl_raw[[#This Row],[COD_Flag]]*0.35))</f>
        <v>0.53199999999999992</v>
      </c>
    </row>
    <row r="906" spans="1:23" ht="22.8" x14ac:dyDescent="0.3">
      <c r="A906" s="17" t="s">
        <v>2217</v>
      </c>
      <c r="B906" s="18" t="s">
        <v>822</v>
      </c>
      <c r="C906" s="18" t="s">
        <v>156</v>
      </c>
      <c r="D906" s="18" t="s">
        <v>164</v>
      </c>
      <c r="E906" s="18" t="s">
        <v>413</v>
      </c>
      <c r="F906" s="18" t="s">
        <v>2218</v>
      </c>
      <c r="G906" s="18" t="s">
        <v>139</v>
      </c>
      <c r="H906" s="18" t="s">
        <v>48</v>
      </c>
      <c r="I906" s="18">
        <v>6</v>
      </c>
      <c r="J906" s="19">
        <v>6352</v>
      </c>
      <c r="K906" s="19">
        <v>5717</v>
      </c>
      <c r="L906" s="20">
        <v>0.1</v>
      </c>
      <c r="M906" s="19">
        <v>3373</v>
      </c>
      <c r="N906" s="19">
        <f>(tbl_raw[[#This Row],[Selling_Price]]-tbl_raw[[#This Row],[Cost_Price]])*tbl_raw[[#This Row],[Units_Sold]]</f>
        <v>14064</v>
      </c>
      <c r="O906" s="20">
        <f>IFERROR((tbl_raw[[#This Row],[Selling_Price]]-tbl_raw[[#This Row],[Cost_Price]]) / tbl_raw[[#This Row],[Selling_Price]],0)</f>
        <v>0.41000524750743395</v>
      </c>
      <c r="P906" s="19">
        <v>42</v>
      </c>
      <c r="Q906" s="19">
        <f>tbl_raw[[#This Row],[Gross_Profit]]-(tbl_raw[[#This Row],[Shipping_Cost]]*tbl_raw[[#This Row],[Units_Sold]])</f>
        <v>13812</v>
      </c>
      <c r="R906" s="20">
        <f>IFERROR(tbl_raw[[#This Row],[Net_Profit]]/(tbl_raw[[#This Row],[Selling_Price]]*tbl_raw[[#This Row],[Units_Sold]]),0)</f>
        <v>0.40265873709987754</v>
      </c>
      <c r="S906" s="18" t="s">
        <v>40</v>
      </c>
      <c r="T906" s="18" t="s">
        <v>86</v>
      </c>
      <c r="U906" s="18">
        <f>IF(tbl_raw[[#This Row],[Order_Status]]="Returned",1,0)</f>
        <v>1</v>
      </c>
      <c r="V906" s="18">
        <f>IF(tbl_raw[[#This Row],[Payment_Method]]="COD",1,0)</f>
        <v>1</v>
      </c>
      <c r="W906" s="21">
        <f>MIN(1,(tbl_raw[[#This Row],[Discount_Pct]]*1.4)+(tbl_raw[[#This Row],[COD_Flag]]*0.35))</f>
        <v>0.49</v>
      </c>
    </row>
    <row r="907" spans="1:23" ht="22.8" x14ac:dyDescent="0.3">
      <c r="A907" s="22" t="s">
        <v>2219</v>
      </c>
      <c r="B907" s="23" t="s">
        <v>1148</v>
      </c>
      <c r="C907" s="23" t="s">
        <v>35</v>
      </c>
      <c r="D907" s="23" t="s">
        <v>164</v>
      </c>
      <c r="E907" s="23" t="s">
        <v>413</v>
      </c>
      <c r="F907" s="23" t="s">
        <v>2220</v>
      </c>
      <c r="G907" s="23" t="s">
        <v>47</v>
      </c>
      <c r="H907" s="23" t="s">
        <v>48</v>
      </c>
      <c r="I907" s="23">
        <v>10</v>
      </c>
      <c r="J907" s="24">
        <v>1588</v>
      </c>
      <c r="K907" s="24">
        <v>1493</v>
      </c>
      <c r="L907" s="25">
        <v>0.06</v>
      </c>
      <c r="M907" s="24">
        <v>811</v>
      </c>
      <c r="N907" s="24">
        <f>(tbl_raw[[#This Row],[Selling_Price]]-tbl_raw[[#This Row],[Cost_Price]])*tbl_raw[[#This Row],[Units_Sold]]</f>
        <v>6820</v>
      </c>
      <c r="O907" s="25">
        <f>IFERROR((tbl_raw[[#This Row],[Selling_Price]]-tbl_raw[[#This Row],[Cost_Price]]) / tbl_raw[[#This Row],[Selling_Price]],0)</f>
        <v>0.45679839249832555</v>
      </c>
      <c r="P907" s="24">
        <v>64</v>
      </c>
      <c r="Q907" s="24">
        <f>tbl_raw[[#This Row],[Gross_Profit]]-(tbl_raw[[#This Row],[Shipping_Cost]]*tbl_raw[[#This Row],[Units_Sold]])</f>
        <v>6180</v>
      </c>
      <c r="R907" s="25">
        <f>IFERROR(tbl_raw[[#This Row],[Net_Profit]]/(tbl_raw[[#This Row],[Selling_Price]]*tbl_raw[[#This Row],[Units_Sold]]),0)</f>
        <v>0.41393168117883455</v>
      </c>
      <c r="S907" s="23" t="s">
        <v>40</v>
      </c>
      <c r="T907" s="23" t="s">
        <v>32</v>
      </c>
      <c r="U907" s="23">
        <f>IF(tbl_raw[[#This Row],[Order_Status]]="Returned",1,0)</f>
        <v>0</v>
      </c>
      <c r="V907" s="23">
        <f>IF(tbl_raw[[#This Row],[Payment_Method]]="COD",1,0)</f>
        <v>1</v>
      </c>
      <c r="W907" s="26">
        <f>MIN(1,(tbl_raw[[#This Row],[Discount_Pct]]*1.4)+(tbl_raw[[#This Row],[COD_Flag]]*0.35))</f>
        <v>0.43399999999999994</v>
      </c>
    </row>
    <row r="908" spans="1:23" ht="22.8" x14ac:dyDescent="0.3">
      <c r="A908" s="17" t="s">
        <v>2221</v>
      </c>
      <c r="B908" s="18" t="s">
        <v>244</v>
      </c>
      <c r="C908" s="18" t="s">
        <v>99</v>
      </c>
      <c r="D908" s="18" t="s">
        <v>62</v>
      </c>
      <c r="E908" s="18" t="s">
        <v>63</v>
      </c>
      <c r="F908" s="18" t="s">
        <v>2222</v>
      </c>
      <c r="G908" s="18" t="s">
        <v>75</v>
      </c>
      <c r="H908" s="18" t="s">
        <v>48</v>
      </c>
      <c r="I908" s="18">
        <v>12</v>
      </c>
      <c r="J908" s="19">
        <v>4714</v>
      </c>
      <c r="K908" s="19">
        <v>3960</v>
      </c>
      <c r="L908" s="20">
        <v>0.16</v>
      </c>
      <c r="M908" s="19">
        <v>2945</v>
      </c>
      <c r="N908" s="19">
        <f>(tbl_raw[[#This Row],[Selling_Price]]-tbl_raw[[#This Row],[Cost_Price]])*tbl_raw[[#This Row],[Units_Sold]]</f>
        <v>12180</v>
      </c>
      <c r="O908" s="20">
        <f>IFERROR((tbl_raw[[#This Row],[Selling_Price]]-tbl_raw[[#This Row],[Cost_Price]]) / tbl_raw[[#This Row],[Selling_Price]],0)</f>
        <v>0.25631313131313133</v>
      </c>
      <c r="P908" s="19">
        <v>97</v>
      </c>
      <c r="Q908" s="19">
        <f>tbl_raw[[#This Row],[Gross_Profit]]-(tbl_raw[[#This Row],[Shipping_Cost]]*tbl_raw[[#This Row],[Units_Sold]])</f>
        <v>11016</v>
      </c>
      <c r="R908" s="20">
        <f>IFERROR(tbl_raw[[#This Row],[Net_Profit]]/(tbl_raw[[#This Row],[Selling_Price]]*tbl_raw[[#This Row],[Units_Sold]]),0)</f>
        <v>0.23181818181818181</v>
      </c>
      <c r="S908" s="18" t="s">
        <v>40</v>
      </c>
      <c r="T908" s="18" t="s">
        <v>49</v>
      </c>
      <c r="U908" s="18">
        <f>IF(tbl_raw[[#This Row],[Order_Status]]="Returned",1,0)</f>
        <v>0</v>
      </c>
      <c r="V908" s="18">
        <f>IF(tbl_raw[[#This Row],[Payment_Method]]="COD",1,0)</f>
        <v>1</v>
      </c>
      <c r="W908" s="21">
        <f>MIN(1,(tbl_raw[[#This Row],[Discount_Pct]]*1.4)+(tbl_raw[[#This Row],[COD_Flag]]*0.35))</f>
        <v>0.57399999999999995</v>
      </c>
    </row>
    <row r="909" spans="1:23" ht="22.8" x14ac:dyDescent="0.3">
      <c r="A909" s="22" t="s">
        <v>2223</v>
      </c>
      <c r="B909" s="23" t="s">
        <v>514</v>
      </c>
      <c r="C909" s="23" t="s">
        <v>52</v>
      </c>
      <c r="D909" s="23" t="s">
        <v>94</v>
      </c>
      <c r="E909" s="23" t="s">
        <v>310</v>
      </c>
      <c r="F909" s="23" t="s">
        <v>2224</v>
      </c>
      <c r="G909" s="23" t="s">
        <v>143</v>
      </c>
      <c r="H909" s="23" t="s">
        <v>30</v>
      </c>
      <c r="I909" s="23">
        <v>7</v>
      </c>
      <c r="J909" s="24">
        <v>2869</v>
      </c>
      <c r="K909" s="24">
        <v>1607</v>
      </c>
      <c r="L909" s="25">
        <v>0.44</v>
      </c>
      <c r="M909" s="24">
        <v>1702</v>
      </c>
      <c r="N909" s="24">
        <f>(tbl_raw[[#This Row],[Selling_Price]]-tbl_raw[[#This Row],[Cost_Price]])*tbl_raw[[#This Row],[Units_Sold]]</f>
        <v>-665</v>
      </c>
      <c r="O909" s="25">
        <f>IFERROR((tbl_raw[[#This Row],[Selling_Price]]-tbl_raw[[#This Row],[Cost_Price]]) / tbl_raw[[#This Row],[Selling_Price]],0)</f>
        <v>-5.9116365899191038E-2</v>
      </c>
      <c r="P909" s="24">
        <v>141</v>
      </c>
      <c r="Q909" s="24">
        <f>tbl_raw[[#This Row],[Gross_Profit]]-(tbl_raw[[#This Row],[Shipping_Cost]]*tbl_raw[[#This Row],[Units_Sold]])</f>
        <v>-1652</v>
      </c>
      <c r="R909" s="25">
        <f>IFERROR(tbl_raw[[#This Row],[Net_Profit]]/(tbl_raw[[#This Row],[Selling_Price]]*tbl_raw[[#This Row],[Units_Sold]]),0)</f>
        <v>-0.14685749844430615</v>
      </c>
      <c r="S909" s="23" t="s">
        <v>107</v>
      </c>
      <c r="T909" s="23" t="s">
        <v>86</v>
      </c>
      <c r="U909" s="23">
        <f>IF(tbl_raw[[#This Row],[Order_Status]]="Returned",1,0)</f>
        <v>1</v>
      </c>
      <c r="V909" s="23">
        <f>IF(tbl_raw[[#This Row],[Payment_Method]]="COD",1,0)</f>
        <v>0</v>
      </c>
      <c r="W909" s="26">
        <f>MIN(1,(tbl_raw[[#This Row],[Discount_Pct]]*1.4)+(tbl_raw[[#This Row],[COD_Flag]]*0.35))</f>
        <v>0.61599999999999999</v>
      </c>
    </row>
    <row r="910" spans="1:23" ht="22.8" x14ac:dyDescent="0.3">
      <c r="A910" s="17" t="s">
        <v>2225</v>
      </c>
      <c r="B910" s="18" t="s">
        <v>1333</v>
      </c>
      <c r="C910" s="18" t="s">
        <v>99</v>
      </c>
      <c r="D910" s="18" t="s">
        <v>62</v>
      </c>
      <c r="E910" s="18" t="s">
        <v>63</v>
      </c>
      <c r="F910" s="18" t="s">
        <v>2226</v>
      </c>
      <c r="G910" s="18" t="s">
        <v>120</v>
      </c>
      <c r="H910" s="18" t="s">
        <v>39</v>
      </c>
      <c r="I910" s="18">
        <v>17</v>
      </c>
      <c r="J910" s="19">
        <v>5335</v>
      </c>
      <c r="K910" s="19">
        <v>4908</v>
      </c>
      <c r="L910" s="20">
        <v>0.08</v>
      </c>
      <c r="M910" s="19">
        <v>2395</v>
      </c>
      <c r="N910" s="19">
        <f>(tbl_raw[[#This Row],[Selling_Price]]-tbl_raw[[#This Row],[Cost_Price]])*tbl_raw[[#This Row],[Units_Sold]]</f>
        <v>42721</v>
      </c>
      <c r="O910" s="20">
        <f>IFERROR((tbl_raw[[#This Row],[Selling_Price]]-tbl_raw[[#This Row],[Cost_Price]]) / tbl_raw[[#This Row],[Selling_Price]],0)</f>
        <v>0.51202118989405054</v>
      </c>
      <c r="P910" s="19">
        <v>118</v>
      </c>
      <c r="Q910" s="19">
        <f>tbl_raw[[#This Row],[Gross_Profit]]-(tbl_raw[[#This Row],[Shipping_Cost]]*tbl_raw[[#This Row],[Units_Sold]])</f>
        <v>40715</v>
      </c>
      <c r="R910" s="20">
        <f>IFERROR(tbl_raw[[#This Row],[Net_Profit]]/(tbl_raw[[#This Row],[Selling_Price]]*tbl_raw[[#This Row],[Units_Sold]]),0)</f>
        <v>0.48797881010594946</v>
      </c>
      <c r="S910" s="18" t="s">
        <v>107</v>
      </c>
      <c r="T910" s="18" t="s">
        <v>32</v>
      </c>
      <c r="U910" s="18">
        <f>IF(tbl_raw[[#This Row],[Order_Status]]="Returned",1,0)</f>
        <v>0</v>
      </c>
      <c r="V910" s="18">
        <f>IF(tbl_raw[[#This Row],[Payment_Method]]="COD",1,0)</f>
        <v>0</v>
      </c>
      <c r="W910" s="21">
        <f>MIN(1,(tbl_raw[[#This Row],[Discount_Pct]]*1.4)+(tbl_raw[[#This Row],[COD_Flag]]*0.35))</f>
        <v>0.11199999999999999</v>
      </c>
    </row>
    <row r="911" spans="1:23" ht="22.8" x14ac:dyDescent="0.3">
      <c r="A911" s="22" t="s">
        <v>2227</v>
      </c>
      <c r="B911" s="23" t="s">
        <v>306</v>
      </c>
      <c r="C911" s="23" t="s">
        <v>132</v>
      </c>
      <c r="D911" s="23" t="s">
        <v>175</v>
      </c>
      <c r="E911" s="23" t="s">
        <v>190</v>
      </c>
      <c r="F911" s="23" t="s">
        <v>2228</v>
      </c>
      <c r="G911" s="23" t="s">
        <v>139</v>
      </c>
      <c r="H911" s="23" t="s">
        <v>48</v>
      </c>
      <c r="I911" s="23">
        <v>6</v>
      </c>
      <c r="J911" s="24">
        <v>3487</v>
      </c>
      <c r="K911" s="24">
        <v>2964</v>
      </c>
      <c r="L911" s="25">
        <v>0.15</v>
      </c>
      <c r="M911" s="24">
        <v>2186</v>
      </c>
      <c r="N911" s="24">
        <f>(tbl_raw[[#This Row],[Selling_Price]]-tbl_raw[[#This Row],[Cost_Price]])*tbl_raw[[#This Row],[Units_Sold]]</f>
        <v>4668</v>
      </c>
      <c r="O911" s="25">
        <f>IFERROR((tbl_raw[[#This Row],[Selling_Price]]-tbl_raw[[#This Row],[Cost_Price]]) / tbl_raw[[#This Row],[Selling_Price]],0)</f>
        <v>0.26248313090418351</v>
      </c>
      <c r="P911" s="24">
        <v>45</v>
      </c>
      <c r="Q911" s="24">
        <f>tbl_raw[[#This Row],[Gross_Profit]]-(tbl_raw[[#This Row],[Shipping_Cost]]*tbl_raw[[#This Row],[Units_Sold]])</f>
        <v>4398</v>
      </c>
      <c r="R911" s="25">
        <f>IFERROR(tbl_raw[[#This Row],[Net_Profit]]/(tbl_raw[[#This Row],[Selling_Price]]*tbl_raw[[#This Row],[Units_Sold]]),0)</f>
        <v>0.24730094466936572</v>
      </c>
      <c r="S911" s="23" t="s">
        <v>107</v>
      </c>
      <c r="T911" s="23" t="s">
        <v>32</v>
      </c>
      <c r="U911" s="23">
        <f>IF(tbl_raw[[#This Row],[Order_Status]]="Returned",1,0)</f>
        <v>0</v>
      </c>
      <c r="V911" s="23">
        <f>IF(tbl_raw[[#This Row],[Payment_Method]]="COD",1,0)</f>
        <v>0</v>
      </c>
      <c r="W911" s="26">
        <f>MIN(1,(tbl_raw[[#This Row],[Discount_Pct]]*1.4)+(tbl_raw[[#This Row],[COD_Flag]]*0.35))</f>
        <v>0.21</v>
      </c>
    </row>
    <row r="912" spans="1:23" ht="22.8" x14ac:dyDescent="0.3">
      <c r="A912" s="17" t="s">
        <v>2229</v>
      </c>
      <c r="B912" s="18" t="s">
        <v>2230</v>
      </c>
      <c r="C912" s="18" t="s">
        <v>43</v>
      </c>
      <c r="D912" s="18" t="s">
        <v>26</v>
      </c>
      <c r="E912" s="18" t="s">
        <v>168</v>
      </c>
      <c r="F912" s="18" t="s">
        <v>2231</v>
      </c>
      <c r="G912" s="18" t="s">
        <v>102</v>
      </c>
      <c r="H912" s="18" t="s">
        <v>39</v>
      </c>
      <c r="I912" s="18">
        <v>15</v>
      </c>
      <c r="J912" s="19">
        <v>4830</v>
      </c>
      <c r="K912" s="19">
        <v>3333</v>
      </c>
      <c r="L912" s="20">
        <v>0.31</v>
      </c>
      <c r="M912" s="19">
        <v>3168</v>
      </c>
      <c r="N912" s="19">
        <f>(tbl_raw[[#This Row],[Selling_Price]]-tbl_raw[[#This Row],[Cost_Price]])*tbl_raw[[#This Row],[Units_Sold]]</f>
        <v>2475</v>
      </c>
      <c r="O912" s="20">
        <f>IFERROR((tbl_raw[[#This Row],[Selling_Price]]-tbl_raw[[#This Row],[Cost_Price]]) / tbl_raw[[#This Row],[Selling_Price]],0)</f>
        <v>4.9504950495049507E-2</v>
      </c>
      <c r="P912" s="19">
        <v>101</v>
      </c>
      <c r="Q912" s="19">
        <f>tbl_raw[[#This Row],[Gross_Profit]]-(tbl_raw[[#This Row],[Shipping_Cost]]*tbl_raw[[#This Row],[Units_Sold]])</f>
        <v>960</v>
      </c>
      <c r="R912" s="20">
        <f>IFERROR(tbl_raw[[#This Row],[Net_Profit]]/(tbl_raw[[#This Row],[Selling_Price]]*tbl_raw[[#This Row],[Units_Sold]]),0)</f>
        <v>1.9201920192019203E-2</v>
      </c>
      <c r="S912" s="18" t="s">
        <v>40</v>
      </c>
      <c r="T912" s="18" t="s">
        <v>32</v>
      </c>
      <c r="U912" s="18">
        <f>IF(tbl_raw[[#This Row],[Order_Status]]="Returned",1,0)</f>
        <v>0</v>
      </c>
      <c r="V912" s="18">
        <f>IF(tbl_raw[[#This Row],[Payment_Method]]="COD",1,0)</f>
        <v>1</v>
      </c>
      <c r="W912" s="21">
        <f>MIN(1,(tbl_raw[[#This Row],[Discount_Pct]]*1.4)+(tbl_raw[[#This Row],[COD_Flag]]*0.35))</f>
        <v>0.78400000000000003</v>
      </c>
    </row>
    <row r="913" spans="1:23" ht="22.8" x14ac:dyDescent="0.3">
      <c r="A913" s="22" t="s">
        <v>2232</v>
      </c>
      <c r="B913" s="23" t="s">
        <v>855</v>
      </c>
      <c r="C913" s="23" t="s">
        <v>89</v>
      </c>
      <c r="D913" s="23" t="s">
        <v>78</v>
      </c>
      <c r="E913" s="23" t="s">
        <v>79</v>
      </c>
      <c r="F913" s="23" t="s">
        <v>2233</v>
      </c>
      <c r="G913" s="23" t="s">
        <v>29</v>
      </c>
      <c r="H913" s="23" t="s">
        <v>30</v>
      </c>
      <c r="I913" s="23">
        <v>17</v>
      </c>
      <c r="J913" s="24">
        <v>1041</v>
      </c>
      <c r="K913" s="24">
        <v>843</v>
      </c>
      <c r="L913" s="25">
        <v>0.19</v>
      </c>
      <c r="M913" s="24">
        <v>515</v>
      </c>
      <c r="N913" s="24">
        <f>(tbl_raw[[#This Row],[Selling_Price]]-tbl_raw[[#This Row],[Cost_Price]])*tbl_raw[[#This Row],[Units_Sold]]</f>
        <v>5576</v>
      </c>
      <c r="O913" s="25">
        <f>IFERROR((tbl_raw[[#This Row],[Selling_Price]]-tbl_raw[[#This Row],[Cost_Price]]) / tbl_raw[[#This Row],[Selling_Price]],0)</f>
        <v>0.38908659549228947</v>
      </c>
      <c r="P913" s="24">
        <v>117</v>
      </c>
      <c r="Q913" s="24">
        <f>tbl_raw[[#This Row],[Gross_Profit]]-(tbl_raw[[#This Row],[Shipping_Cost]]*tbl_raw[[#This Row],[Units_Sold]])</f>
        <v>3587</v>
      </c>
      <c r="R913" s="25">
        <f>IFERROR(tbl_raw[[#This Row],[Net_Profit]]/(tbl_raw[[#This Row],[Selling_Price]]*tbl_raw[[#This Row],[Units_Sold]]),0)</f>
        <v>0.25029655990510086</v>
      </c>
      <c r="S913" s="23" t="s">
        <v>65</v>
      </c>
      <c r="T913" s="23" t="s">
        <v>32</v>
      </c>
      <c r="U913" s="23">
        <f>IF(tbl_raw[[#This Row],[Order_Status]]="Returned",1,0)</f>
        <v>0</v>
      </c>
      <c r="V913" s="23">
        <f>IF(tbl_raw[[#This Row],[Payment_Method]]="COD",1,0)</f>
        <v>0</v>
      </c>
      <c r="W913" s="26">
        <f>MIN(1,(tbl_raw[[#This Row],[Discount_Pct]]*1.4)+(tbl_raw[[#This Row],[COD_Flag]]*0.35))</f>
        <v>0.26599999999999996</v>
      </c>
    </row>
    <row r="914" spans="1:23" ht="22.8" x14ac:dyDescent="0.3">
      <c r="A914" s="17" t="s">
        <v>2234</v>
      </c>
      <c r="B914" s="18" t="s">
        <v>366</v>
      </c>
      <c r="C914" s="18" t="s">
        <v>99</v>
      </c>
      <c r="D914" s="18" t="s">
        <v>94</v>
      </c>
      <c r="E914" s="18" t="s">
        <v>137</v>
      </c>
      <c r="F914" s="18" t="s">
        <v>2235</v>
      </c>
      <c r="G914" s="18" t="s">
        <v>81</v>
      </c>
      <c r="H914" s="18" t="s">
        <v>30</v>
      </c>
      <c r="I914" s="18">
        <v>5</v>
      </c>
      <c r="J914" s="19">
        <v>5375</v>
      </c>
      <c r="K914" s="19">
        <v>3494</v>
      </c>
      <c r="L914" s="20">
        <v>0.35</v>
      </c>
      <c r="M914" s="19">
        <v>2251</v>
      </c>
      <c r="N914" s="19">
        <f>(tbl_raw[[#This Row],[Selling_Price]]-tbl_raw[[#This Row],[Cost_Price]])*tbl_raw[[#This Row],[Units_Sold]]</f>
        <v>6215</v>
      </c>
      <c r="O914" s="20">
        <f>IFERROR((tbl_raw[[#This Row],[Selling_Price]]-tbl_raw[[#This Row],[Cost_Price]]) / tbl_raw[[#This Row],[Selling_Price]],0)</f>
        <v>0.35575271894676591</v>
      </c>
      <c r="P914" s="19">
        <v>44</v>
      </c>
      <c r="Q914" s="19">
        <f>tbl_raw[[#This Row],[Gross_Profit]]-(tbl_raw[[#This Row],[Shipping_Cost]]*tbl_raw[[#This Row],[Units_Sold]])</f>
        <v>5995</v>
      </c>
      <c r="R914" s="20">
        <f>IFERROR(tbl_raw[[#This Row],[Net_Profit]]/(tbl_raw[[#This Row],[Selling_Price]]*tbl_raw[[#This Row],[Units_Sold]]),0)</f>
        <v>0.34315970234688037</v>
      </c>
      <c r="S914" s="18" t="s">
        <v>40</v>
      </c>
      <c r="T914" s="18" t="s">
        <v>32</v>
      </c>
      <c r="U914" s="18">
        <f>IF(tbl_raw[[#This Row],[Order_Status]]="Returned",1,0)</f>
        <v>0</v>
      </c>
      <c r="V914" s="18">
        <f>IF(tbl_raw[[#This Row],[Payment_Method]]="COD",1,0)</f>
        <v>1</v>
      </c>
      <c r="W914" s="21">
        <f>MIN(1,(tbl_raw[[#This Row],[Discount_Pct]]*1.4)+(tbl_raw[[#This Row],[COD_Flag]]*0.35))</f>
        <v>0.83999999999999986</v>
      </c>
    </row>
    <row r="915" spans="1:23" ht="22.8" x14ac:dyDescent="0.3">
      <c r="A915" s="22" t="s">
        <v>2236</v>
      </c>
      <c r="B915" s="23" t="s">
        <v>1022</v>
      </c>
      <c r="C915" s="23" t="s">
        <v>43</v>
      </c>
      <c r="D915" s="23" t="s">
        <v>26</v>
      </c>
      <c r="E915" s="23" t="s">
        <v>100</v>
      </c>
      <c r="F915" s="23" t="s">
        <v>2237</v>
      </c>
      <c r="G915" s="23" t="s">
        <v>81</v>
      </c>
      <c r="H915" s="23" t="s">
        <v>30</v>
      </c>
      <c r="I915" s="23">
        <v>10</v>
      </c>
      <c r="J915" s="24">
        <v>2599</v>
      </c>
      <c r="K915" s="24">
        <v>2391</v>
      </c>
      <c r="L915" s="25">
        <v>0.08</v>
      </c>
      <c r="M915" s="24">
        <v>1820</v>
      </c>
      <c r="N915" s="24">
        <f>(tbl_raw[[#This Row],[Selling_Price]]-tbl_raw[[#This Row],[Cost_Price]])*tbl_raw[[#This Row],[Units_Sold]]</f>
        <v>5710</v>
      </c>
      <c r="O915" s="25">
        <f>IFERROR((tbl_raw[[#This Row],[Selling_Price]]-tbl_raw[[#This Row],[Cost_Price]]) / tbl_raw[[#This Row],[Selling_Price]],0)</f>
        <v>0.23881221246340442</v>
      </c>
      <c r="P915" s="24">
        <v>95</v>
      </c>
      <c r="Q915" s="24">
        <f>tbl_raw[[#This Row],[Gross_Profit]]-(tbl_raw[[#This Row],[Shipping_Cost]]*tbl_raw[[#This Row],[Units_Sold]])</f>
        <v>4760</v>
      </c>
      <c r="R915" s="25">
        <f>IFERROR(tbl_raw[[#This Row],[Net_Profit]]/(tbl_raw[[#This Row],[Selling_Price]]*tbl_raw[[#This Row],[Units_Sold]]),0)</f>
        <v>0.19907988289418654</v>
      </c>
      <c r="S915" s="23" t="s">
        <v>40</v>
      </c>
      <c r="T915" s="23" t="s">
        <v>32</v>
      </c>
      <c r="U915" s="23">
        <f>IF(tbl_raw[[#This Row],[Order_Status]]="Returned",1,0)</f>
        <v>0</v>
      </c>
      <c r="V915" s="23">
        <f>IF(tbl_raw[[#This Row],[Payment_Method]]="COD",1,0)</f>
        <v>1</v>
      </c>
      <c r="W915" s="26">
        <f>MIN(1,(tbl_raw[[#This Row],[Discount_Pct]]*1.4)+(tbl_raw[[#This Row],[COD_Flag]]*0.35))</f>
        <v>0.46199999999999997</v>
      </c>
    </row>
    <row r="916" spans="1:23" ht="22.8" x14ac:dyDescent="0.3">
      <c r="A916" s="17" t="s">
        <v>2238</v>
      </c>
      <c r="B916" s="18" t="s">
        <v>2239</v>
      </c>
      <c r="C916" s="18" t="s">
        <v>89</v>
      </c>
      <c r="D916" s="18" t="s">
        <v>62</v>
      </c>
      <c r="E916" s="18" t="s">
        <v>203</v>
      </c>
      <c r="F916" s="18" t="s">
        <v>2240</v>
      </c>
      <c r="G916" s="18" t="s">
        <v>120</v>
      </c>
      <c r="H916" s="18" t="s">
        <v>39</v>
      </c>
      <c r="I916" s="18">
        <v>16</v>
      </c>
      <c r="J916" s="19">
        <v>4489</v>
      </c>
      <c r="K916" s="19">
        <v>3681</v>
      </c>
      <c r="L916" s="20">
        <v>0.18</v>
      </c>
      <c r="M916" s="19">
        <v>2129</v>
      </c>
      <c r="N916" s="19">
        <f>(tbl_raw[[#This Row],[Selling_Price]]-tbl_raw[[#This Row],[Cost_Price]])*tbl_raw[[#This Row],[Units_Sold]]</f>
        <v>24832</v>
      </c>
      <c r="O916" s="20">
        <f>IFERROR((tbl_raw[[#This Row],[Selling_Price]]-tbl_raw[[#This Row],[Cost_Price]]) / tbl_raw[[#This Row],[Selling_Price]],0)</f>
        <v>0.42162455854387393</v>
      </c>
      <c r="P916" s="19">
        <v>101</v>
      </c>
      <c r="Q916" s="19">
        <f>tbl_raw[[#This Row],[Gross_Profit]]-(tbl_raw[[#This Row],[Shipping_Cost]]*tbl_raw[[#This Row],[Units_Sold]])</f>
        <v>23216</v>
      </c>
      <c r="R916" s="20">
        <f>IFERROR(tbl_raw[[#This Row],[Net_Profit]]/(tbl_raw[[#This Row],[Selling_Price]]*tbl_raw[[#This Row],[Units_Sold]]),0)</f>
        <v>0.39418636240152133</v>
      </c>
      <c r="S916" s="18" t="s">
        <v>31</v>
      </c>
      <c r="T916" s="18" t="s">
        <v>32</v>
      </c>
      <c r="U916" s="18">
        <f>IF(tbl_raw[[#This Row],[Order_Status]]="Returned",1,0)</f>
        <v>0</v>
      </c>
      <c r="V916" s="18">
        <f>IF(tbl_raw[[#This Row],[Payment_Method]]="COD",1,0)</f>
        <v>0</v>
      </c>
      <c r="W916" s="21">
        <f>MIN(1,(tbl_raw[[#This Row],[Discount_Pct]]*1.4)+(tbl_raw[[#This Row],[COD_Flag]]*0.35))</f>
        <v>0.252</v>
      </c>
    </row>
    <row r="917" spans="1:23" ht="22.8" x14ac:dyDescent="0.3">
      <c r="A917" s="22" t="s">
        <v>2241</v>
      </c>
      <c r="B917" s="23" t="s">
        <v>83</v>
      </c>
      <c r="C917" s="23" t="s">
        <v>72</v>
      </c>
      <c r="D917" s="23" t="s">
        <v>164</v>
      </c>
      <c r="E917" s="23" t="s">
        <v>413</v>
      </c>
      <c r="F917" s="23" t="s">
        <v>2242</v>
      </c>
      <c r="G917" s="23" t="s">
        <v>81</v>
      </c>
      <c r="H917" s="23" t="s">
        <v>30</v>
      </c>
      <c r="I917" s="23">
        <v>13</v>
      </c>
      <c r="J917" s="24">
        <v>6231</v>
      </c>
      <c r="K917" s="24">
        <v>3739</v>
      </c>
      <c r="L917" s="25">
        <v>0.4</v>
      </c>
      <c r="M917" s="24">
        <v>4280</v>
      </c>
      <c r="N917" s="24">
        <f>(tbl_raw[[#This Row],[Selling_Price]]-tbl_raw[[#This Row],[Cost_Price]])*tbl_raw[[#This Row],[Units_Sold]]</f>
        <v>-7033</v>
      </c>
      <c r="O917" s="25">
        <f>IFERROR((tbl_raw[[#This Row],[Selling_Price]]-tbl_raw[[#This Row],[Cost_Price]]) / tbl_raw[[#This Row],[Selling_Price]],0)</f>
        <v>-0.14469109387536774</v>
      </c>
      <c r="P917" s="24">
        <v>140</v>
      </c>
      <c r="Q917" s="24">
        <f>tbl_raw[[#This Row],[Gross_Profit]]-(tbl_raw[[#This Row],[Shipping_Cost]]*tbl_raw[[#This Row],[Units_Sold]])</f>
        <v>-8853</v>
      </c>
      <c r="R917" s="25">
        <f>IFERROR(tbl_raw[[#This Row],[Net_Profit]]/(tbl_raw[[#This Row],[Selling_Price]]*tbl_raw[[#This Row],[Units_Sold]]),0)</f>
        <v>-0.1821342604974592</v>
      </c>
      <c r="S917" s="23" t="s">
        <v>31</v>
      </c>
      <c r="T917" s="23" t="s">
        <v>32</v>
      </c>
      <c r="U917" s="23">
        <f>IF(tbl_raw[[#This Row],[Order_Status]]="Returned",1,0)</f>
        <v>0</v>
      </c>
      <c r="V917" s="23">
        <f>IF(tbl_raw[[#This Row],[Payment_Method]]="COD",1,0)</f>
        <v>0</v>
      </c>
      <c r="W917" s="26">
        <f>MIN(1,(tbl_raw[[#This Row],[Discount_Pct]]*1.4)+(tbl_raw[[#This Row],[COD_Flag]]*0.35))</f>
        <v>0.55999999999999994</v>
      </c>
    </row>
    <row r="918" spans="1:23" ht="22.8" x14ac:dyDescent="0.3">
      <c r="A918" s="17" t="s">
        <v>2243</v>
      </c>
      <c r="B918" s="18" t="s">
        <v>855</v>
      </c>
      <c r="C918" s="18" t="s">
        <v>89</v>
      </c>
      <c r="D918" s="18" t="s">
        <v>26</v>
      </c>
      <c r="E918" s="18" t="s">
        <v>100</v>
      </c>
      <c r="F918" s="18" t="s">
        <v>2244</v>
      </c>
      <c r="G918" s="18" t="s">
        <v>81</v>
      </c>
      <c r="H918" s="18" t="s">
        <v>30</v>
      </c>
      <c r="I918" s="18">
        <v>8</v>
      </c>
      <c r="J918" s="19">
        <v>3079</v>
      </c>
      <c r="K918" s="19">
        <v>2617</v>
      </c>
      <c r="L918" s="20">
        <v>0.15</v>
      </c>
      <c r="M918" s="19">
        <v>2119</v>
      </c>
      <c r="N918" s="19">
        <f>(tbl_raw[[#This Row],[Selling_Price]]-tbl_raw[[#This Row],[Cost_Price]])*tbl_raw[[#This Row],[Units_Sold]]</f>
        <v>3984</v>
      </c>
      <c r="O918" s="20">
        <f>IFERROR((tbl_raw[[#This Row],[Selling_Price]]-tbl_raw[[#This Row],[Cost_Price]]) / tbl_raw[[#This Row],[Selling_Price]],0)</f>
        <v>0.19029423003439053</v>
      </c>
      <c r="P918" s="19">
        <v>122</v>
      </c>
      <c r="Q918" s="19">
        <f>tbl_raw[[#This Row],[Gross_Profit]]-(tbl_raw[[#This Row],[Shipping_Cost]]*tbl_raw[[#This Row],[Units_Sold]])</f>
        <v>3008</v>
      </c>
      <c r="R918" s="20">
        <f>IFERROR(tbl_raw[[#This Row],[Net_Profit]]/(tbl_raw[[#This Row],[Selling_Price]]*tbl_raw[[#This Row],[Units_Sold]]),0)</f>
        <v>0.14367596484524264</v>
      </c>
      <c r="S918" s="18" t="s">
        <v>31</v>
      </c>
      <c r="T918" s="18" t="s">
        <v>32</v>
      </c>
      <c r="U918" s="18">
        <f>IF(tbl_raw[[#This Row],[Order_Status]]="Returned",1,0)</f>
        <v>0</v>
      </c>
      <c r="V918" s="18">
        <f>IF(tbl_raw[[#This Row],[Payment_Method]]="COD",1,0)</f>
        <v>0</v>
      </c>
      <c r="W918" s="21">
        <f>MIN(1,(tbl_raw[[#This Row],[Discount_Pct]]*1.4)+(tbl_raw[[#This Row],[COD_Flag]]*0.35))</f>
        <v>0.21</v>
      </c>
    </row>
    <row r="919" spans="1:23" ht="22.8" x14ac:dyDescent="0.3">
      <c r="A919" s="22" t="s">
        <v>2245</v>
      </c>
      <c r="B919" s="23" t="s">
        <v>287</v>
      </c>
      <c r="C919" s="23" t="s">
        <v>43</v>
      </c>
      <c r="D919" s="23" t="s">
        <v>94</v>
      </c>
      <c r="E919" s="23" t="s">
        <v>207</v>
      </c>
      <c r="F919" s="23" t="s">
        <v>2246</v>
      </c>
      <c r="G919" s="23" t="s">
        <v>143</v>
      </c>
      <c r="H919" s="23" t="s">
        <v>30</v>
      </c>
      <c r="I919" s="23">
        <v>14</v>
      </c>
      <c r="J919" s="24">
        <v>924</v>
      </c>
      <c r="K919" s="24">
        <v>767</v>
      </c>
      <c r="L919" s="25">
        <v>0.17</v>
      </c>
      <c r="M919" s="24">
        <v>428</v>
      </c>
      <c r="N919" s="24">
        <f>(tbl_raw[[#This Row],[Selling_Price]]-tbl_raw[[#This Row],[Cost_Price]])*tbl_raw[[#This Row],[Units_Sold]]</f>
        <v>4746</v>
      </c>
      <c r="O919" s="25">
        <f>IFERROR((tbl_raw[[#This Row],[Selling_Price]]-tbl_raw[[#This Row],[Cost_Price]]) / tbl_raw[[#This Row],[Selling_Price]],0)</f>
        <v>0.44198174706649285</v>
      </c>
      <c r="P919" s="24">
        <v>53</v>
      </c>
      <c r="Q919" s="24">
        <f>tbl_raw[[#This Row],[Gross_Profit]]-(tbl_raw[[#This Row],[Shipping_Cost]]*tbl_raw[[#This Row],[Units_Sold]])</f>
        <v>4004</v>
      </c>
      <c r="R919" s="25">
        <f>IFERROR(tbl_raw[[#This Row],[Net_Profit]]/(tbl_raw[[#This Row],[Selling_Price]]*tbl_raw[[#This Row],[Units_Sold]]),0)</f>
        <v>0.3728813559322034</v>
      </c>
      <c r="S919" s="23" t="s">
        <v>107</v>
      </c>
      <c r="T919" s="23" t="s">
        <v>86</v>
      </c>
      <c r="U919" s="23">
        <f>IF(tbl_raw[[#This Row],[Order_Status]]="Returned",1,0)</f>
        <v>1</v>
      </c>
      <c r="V919" s="23">
        <f>IF(tbl_raw[[#This Row],[Payment_Method]]="COD",1,0)</f>
        <v>0</v>
      </c>
      <c r="W919" s="26">
        <f>MIN(1,(tbl_raw[[#This Row],[Discount_Pct]]*1.4)+(tbl_raw[[#This Row],[COD_Flag]]*0.35))</f>
        <v>0.23799999999999999</v>
      </c>
    </row>
    <row r="920" spans="1:23" ht="22.8" x14ac:dyDescent="0.3">
      <c r="A920" s="17" t="s">
        <v>2247</v>
      </c>
      <c r="B920" s="18" t="s">
        <v>543</v>
      </c>
      <c r="C920" s="18" t="s">
        <v>132</v>
      </c>
      <c r="D920" s="18" t="s">
        <v>78</v>
      </c>
      <c r="E920" s="18" t="s">
        <v>118</v>
      </c>
      <c r="F920" s="18" t="s">
        <v>1054</v>
      </c>
      <c r="G920" s="18" t="s">
        <v>47</v>
      </c>
      <c r="H920" s="18" t="s">
        <v>48</v>
      </c>
      <c r="I920" s="18">
        <v>17</v>
      </c>
      <c r="J920" s="19">
        <v>6707</v>
      </c>
      <c r="K920" s="19">
        <v>5299</v>
      </c>
      <c r="L920" s="20">
        <v>0.21</v>
      </c>
      <c r="M920" s="19">
        <v>2877</v>
      </c>
      <c r="N920" s="19">
        <f>(tbl_raw[[#This Row],[Selling_Price]]-tbl_raw[[#This Row],[Cost_Price]])*tbl_raw[[#This Row],[Units_Sold]]</f>
        <v>41174</v>
      </c>
      <c r="O920" s="20">
        <f>IFERROR((tbl_raw[[#This Row],[Selling_Price]]-tbl_raw[[#This Row],[Cost_Price]]) / tbl_raw[[#This Row],[Selling_Price]],0)</f>
        <v>0.4570673712021136</v>
      </c>
      <c r="P920" s="19">
        <v>133</v>
      </c>
      <c r="Q920" s="19">
        <f>tbl_raw[[#This Row],[Gross_Profit]]-(tbl_raw[[#This Row],[Shipping_Cost]]*tbl_raw[[#This Row],[Units_Sold]])</f>
        <v>38913</v>
      </c>
      <c r="R920" s="20">
        <f>IFERROR(tbl_raw[[#This Row],[Net_Profit]]/(tbl_raw[[#This Row],[Selling_Price]]*tbl_raw[[#This Row],[Units_Sold]]),0)</f>
        <v>0.43196829590488772</v>
      </c>
      <c r="S920" s="18" t="s">
        <v>58</v>
      </c>
      <c r="T920" s="18" t="s">
        <v>32</v>
      </c>
      <c r="U920" s="18">
        <f>IF(tbl_raw[[#This Row],[Order_Status]]="Returned",1,0)</f>
        <v>0</v>
      </c>
      <c r="V920" s="18">
        <f>IF(tbl_raw[[#This Row],[Payment_Method]]="COD",1,0)</f>
        <v>0</v>
      </c>
      <c r="W920" s="21">
        <f>MIN(1,(tbl_raw[[#This Row],[Discount_Pct]]*1.4)+(tbl_raw[[#This Row],[COD_Flag]]*0.35))</f>
        <v>0.29399999999999998</v>
      </c>
    </row>
    <row r="921" spans="1:23" ht="22.8" x14ac:dyDescent="0.3">
      <c r="A921" s="22" t="s">
        <v>2248</v>
      </c>
      <c r="B921" s="23" t="s">
        <v>720</v>
      </c>
      <c r="C921" s="23" t="s">
        <v>132</v>
      </c>
      <c r="D921" s="23" t="s">
        <v>44</v>
      </c>
      <c r="E921" s="23" t="s">
        <v>73</v>
      </c>
      <c r="F921" s="23" t="s">
        <v>2249</v>
      </c>
      <c r="G921" s="23" t="s">
        <v>38</v>
      </c>
      <c r="H921" s="23" t="s">
        <v>39</v>
      </c>
      <c r="I921" s="23">
        <v>13</v>
      </c>
      <c r="J921" s="24">
        <v>5553</v>
      </c>
      <c r="K921" s="24">
        <v>5497</v>
      </c>
      <c r="L921" s="25">
        <v>0.01</v>
      </c>
      <c r="M921" s="24">
        <v>3492</v>
      </c>
      <c r="N921" s="24">
        <f>(tbl_raw[[#This Row],[Selling_Price]]-tbl_raw[[#This Row],[Cost_Price]])*tbl_raw[[#This Row],[Units_Sold]]</f>
        <v>26065</v>
      </c>
      <c r="O921" s="25">
        <f>IFERROR((tbl_raw[[#This Row],[Selling_Price]]-tbl_raw[[#This Row],[Cost_Price]]) / tbl_raw[[#This Row],[Selling_Price]],0)</f>
        <v>0.36474440603965802</v>
      </c>
      <c r="P921" s="24">
        <v>131</v>
      </c>
      <c r="Q921" s="24">
        <f>tbl_raw[[#This Row],[Gross_Profit]]-(tbl_raw[[#This Row],[Shipping_Cost]]*tbl_raw[[#This Row],[Units_Sold]])</f>
        <v>24362</v>
      </c>
      <c r="R921" s="25">
        <f>IFERROR(tbl_raw[[#This Row],[Net_Profit]]/(tbl_raw[[#This Row],[Selling_Price]]*tbl_raw[[#This Row],[Units_Sold]]),0)</f>
        <v>0.34091322539567037</v>
      </c>
      <c r="S921" s="23" t="s">
        <v>31</v>
      </c>
      <c r="T921" s="23" t="s">
        <v>32</v>
      </c>
      <c r="U921" s="23">
        <f>IF(tbl_raw[[#This Row],[Order_Status]]="Returned",1,0)</f>
        <v>0</v>
      </c>
      <c r="V921" s="23">
        <f>IF(tbl_raw[[#This Row],[Payment_Method]]="COD",1,0)</f>
        <v>0</v>
      </c>
      <c r="W921" s="26">
        <f>MIN(1,(tbl_raw[[#This Row],[Discount_Pct]]*1.4)+(tbl_raw[[#This Row],[COD_Flag]]*0.35))</f>
        <v>1.3999999999999999E-2</v>
      </c>
    </row>
    <row r="922" spans="1:23" ht="22.8" x14ac:dyDescent="0.3">
      <c r="A922" s="17" t="s">
        <v>2250</v>
      </c>
      <c r="B922" s="18" t="s">
        <v>733</v>
      </c>
      <c r="C922" s="18" t="s">
        <v>99</v>
      </c>
      <c r="D922" s="18" t="s">
        <v>175</v>
      </c>
      <c r="E922" s="18" t="s">
        <v>176</v>
      </c>
      <c r="F922" s="18" t="s">
        <v>2251</v>
      </c>
      <c r="G922" s="18" t="s">
        <v>75</v>
      </c>
      <c r="H922" s="18" t="s">
        <v>48</v>
      </c>
      <c r="I922" s="18">
        <v>17</v>
      </c>
      <c r="J922" s="19">
        <v>3108</v>
      </c>
      <c r="K922" s="19">
        <v>2455</v>
      </c>
      <c r="L922" s="20">
        <v>0.21</v>
      </c>
      <c r="M922" s="19">
        <v>1608</v>
      </c>
      <c r="N922" s="19">
        <f>(tbl_raw[[#This Row],[Selling_Price]]-tbl_raw[[#This Row],[Cost_Price]])*tbl_raw[[#This Row],[Units_Sold]]</f>
        <v>14399</v>
      </c>
      <c r="O922" s="20">
        <f>IFERROR((tbl_raw[[#This Row],[Selling_Price]]-tbl_raw[[#This Row],[Cost_Price]]) / tbl_raw[[#This Row],[Selling_Price]],0)</f>
        <v>0.34501018329938898</v>
      </c>
      <c r="P922" s="19">
        <v>110</v>
      </c>
      <c r="Q922" s="19">
        <f>tbl_raw[[#This Row],[Gross_Profit]]-(tbl_raw[[#This Row],[Shipping_Cost]]*tbl_raw[[#This Row],[Units_Sold]])</f>
        <v>12529</v>
      </c>
      <c r="R922" s="20">
        <f>IFERROR(tbl_raw[[#This Row],[Net_Profit]]/(tbl_raw[[#This Row],[Selling_Price]]*tbl_raw[[#This Row],[Units_Sold]]),0)</f>
        <v>0.30020366598778003</v>
      </c>
      <c r="S922" s="18" t="s">
        <v>107</v>
      </c>
      <c r="T922" s="18" t="s">
        <v>32</v>
      </c>
      <c r="U922" s="18">
        <f>IF(tbl_raw[[#This Row],[Order_Status]]="Returned",1,0)</f>
        <v>0</v>
      </c>
      <c r="V922" s="18">
        <f>IF(tbl_raw[[#This Row],[Payment_Method]]="COD",1,0)</f>
        <v>0</v>
      </c>
      <c r="W922" s="21">
        <f>MIN(1,(tbl_raw[[#This Row],[Discount_Pct]]*1.4)+(tbl_raw[[#This Row],[COD_Flag]]*0.35))</f>
        <v>0.29399999999999998</v>
      </c>
    </row>
    <row r="923" spans="1:23" ht="22.8" x14ac:dyDescent="0.3">
      <c r="A923" s="22" t="s">
        <v>2252</v>
      </c>
      <c r="B923" s="23" t="s">
        <v>637</v>
      </c>
      <c r="C923" s="23" t="s">
        <v>52</v>
      </c>
      <c r="D923" s="23" t="s">
        <v>78</v>
      </c>
      <c r="E923" s="23" t="s">
        <v>296</v>
      </c>
      <c r="F923" s="23" t="s">
        <v>2253</v>
      </c>
      <c r="G923" s="23" t="s">
        <v>139</v>
      </c>
      <c r="H923" s="23" t="s">
        <v>48</v>
      </c>
      <c r="I923" s="23">
        <v>11</v>
      </c>
      <c r="J923" s="24">
        <v>7596</v>
      </c>
      <c r="K923" s="24">
        <v>5165</v>
      </c>
      <c r="L923" s="25">
        <v>0.32</v>
      </c>
      <c r="M923" s="24">
        <v>3724</v>
      </c>
      <c r="N923" s="24">
        <f>(tbl_raw[[#This Row],[Selling_Price]]-tbl_raw[[#This Row],[Cost_Price]])*tbl_raw[[#This Row],[Units_Sold]]</f>
        <v>15851</v>
      </c>
      <c r="O923" s="25">
        <f>IFERROR((tbl_raw[[#This Row],[Selling_Price]]-tbl_raw[[#This Row],[Cost_Price]]) / tbl_raw[[#This Row],[Selling_Price]],0)</f>
        <v>0.27899322362052276</v>
      </c>
      <c r="P923" s="24">
        <v>107</v>
      </c>
      <c r="Q923" s="24">
        <f>tbl_raw[[#This Row],[Gross_Profit]]-(tbl_raw[[#This Row],[Shipping_Cost]]*tbl_raw[[#This Row],[Units_Sold]])</f>
        <v>14674</v>
      </c>
      <c r="R923" s="25">
        <f>IFERROR(tbl_raw[[#This Row],[Net_Profit]]/(tbl_raw[[#This Row],[Selling_Price]]*tbl_raw[[#This Row],[Units_Sold]]),0)</f>
        <v>0.25827686350435625</v>
      </c>
      <c r="S923" s="23" t="s">
        <v>65</v>
      </c>
      <c r="T923" s="23" t="s">
        <v>32</v>
      </c>
      <c r="U923" s="23">
        <f>IF(tbl_raw[[#This Row],[Order_Status]]="Returned",1,0)</f>
        <v>0</v>
      </c>
      <c r="V923" s="23">
        <f>IF(tbl_raw[[#This Row],[Payment_Method]]="COD",1,0)</f>
        <v>0</v>
      </c>
      <c r="W923" s="26">
        <f>MIN(1,(tbl_raw[[#This Row],[Discount_Pct]]*1.4)+(tbl_raw[[#This Row],[COD_Flag]]*0.35))</f>
        <v>0.44799999999999995</v>
      </c>
    </row>
    <row r="924" spans="1:23" ht="22.8" x14ac:dyDescent="0.3">
      <c r="A924" s="17" t="s">
        <v>2254</v>
      </c>
      <c r="B924" s="18" t="s">
        <v>2255</v>
      </c>
      <c r="C924" s="18" t="s">
        <v>132</v>
      </c>
      <c r="D924" s="18" t="s">
        <v>53</v>
      </c>
      <c r="E924" s="18" t="s">
        <v>149</v>
      </c>
      <c r="F924" s="18" t="s">
        <v>2256</v>
      </c>
      <c r="G924" s="18" t="s">
        <v>75</v>
      </c>
      <c r="H924" s="18" t="s">
        <v>48</v>
      </c>
      <c r="I924" s="18">
        <v>15</v>
      </c>
      <c r="J924" s="19">
        <v>3063</v>
      </c>
      <c r="K924" s="19">
        <v>1838</v>
      </c>
      <c r="L924" s="20">
        <v>0.4</v>
      </c>
      <c r="M924" s="19">
        <v>1961</v>
      </c>
      <c r="N924" s="19">
        <f>(tbl_raw[[#This Row],[Selling_Price]]-tbl_raw[[#This Row],[Cost_Price]])*tbl_raw[[#This Row],[Units_Sold]]</f>
        <v>-1845</v>
      </c>
      <c r="O924" s="20">
        <f>IFERROR((tbl_raw[[#This Row],[Selling_Price]]-tbl_raw[[#This Row],[Cost_Price]]) / tbl_raw[[#This Row],[Selling_Price]],0)</f>
        <v>-6.6920565832426546E-2</v>
      </c>
      <c r="P924" s="19">
        <v>68</v>
      </c>
      <c r="Q924" s="19">
        <f>tbl_raw[[#This Row],[Gross_Profit]]-(tbl_raw[[#This Row],[Shipping_Cost]]*tbl_raw[[#This Row],[Units_Sold]])</f>
        <v>-2865</v>
      </c>
      <c r="R924" s="20">
        <f>IFERROR(tbl_raw[[#This Row],[Net_Profit]]/(tbl_raw[[#This Row],[Selling_Price]]*tbl_raw[[#This Row],[Units_Sold]]),0)</f>
        <v>-0.10391730141458107</v>
      </c>
      <c r="S924" s="18" t="s">
        <v>107</v>
      </c>
      <c r="T924" s="18" t="s">
        <v>86</v>
      </c>
      <c r="U924" s="18">
        <f>IF(tbl_raw[[#This Row],[Order_Status]]="Returned",1,0)</f>
        <v>1</v>
      </c>
      <c r="V924" s="18">
        <f>IF(tbl_raw[[#This Row],[Payment_Method]]="COD",1,0)</f>
        <v>0</v>
      </c>
      <c r="W924" s="21">
        <f>MIN(1,(tbl_raw[[#This Row],[Discount_Pct]]*1.4)+(tbl_raw[[#This Row],[COD_Flag]]*0.35))</f>
        <v>0.55999999999999994</v>
      </c>
    </row>
    <row r="925" spans="1:23" ht="22.8" x14ac:dyDescent="0.3">
      <c r="A925" s="22" t="s">
        <v>2257</v>
      </c>
      <c r="B925" s="23" t="s">
        <v>727</v>
      </c>
      <c r="C925" s="23" t="s">
        <v>132</v>
      </c>
      <c r="D925" s="23" t="s">
        <v>53</v>
      </c>
      <c r="E925" s="23" t="s">
        <v>145</v>
      </c>
      <c r="F925" s="23" t="s">
        <v>2258</v>
      </c>
      <c r="G925" s="23" t="s">
        <v>56</v>
      </c>
      <c r="H925" s="23" t="s">
        <v>57</v>
      </c>
      <c r="I925" s="23">
        <v>14</v>
      </c>
      <c r="J925" s="24">
        <v>337</v>
      </c>
      <c r="K925" s="24">
        <v>286</v>
      </c>
      <c r="L925" s="25">
        <v>0.15</v>
      </c>
      <c r="M925" s="24">
        <v>210</v>
      </c>
      <c r="N925" s="24">
        <f>(tbl_raw[[#This Row],[Selling_Price]]-tbl_raw[[#This Row],[Cost_Price]])*tbl_raw[[#This Row],[Units_Sold]]</f>
        <v>1064</v>
      </c>
      <c r="O925" s="25">
        <f>IFERROR((tbl_raw[[#This Row],[Selling_Price]]-tbl_raw[[#This Row],[Cost_Price]]) / tbl_raw[[#This Row],[Selling_Price]],0)</f>
        <v>0.26573426573426573</v>
      </c>
      <c r="P925" s="24">
        <v>119</v>
      </c>
      <c r="Q925" s="24">
        <f>tbl_raw[[#This Row],[Gross_Profit]]-(tbl_raw[[#This Row],[Shipping_Cost]]*tbl_raw[[#This Row],[Units_Sold]])</f>
        <v>-602</v>
      </c>
      <c r="R925" s="25">
        <f>IFERROR(tbl_raw[[#This Row],[Net_Profit]]/(tbl_raw[[#This Row],[Selling_Price]]*tbl_raw[[#This Row],[Units_Sold]]),0)</f>
        <v>-0.15034965034965034</v>
      </c>
      <c r="S925" s="23" t="s">
        <v>107</v>
      </c>
      <c r="T925" s="23" t="s">
        <v>32</v>
      </c>
      <c r="U925" s="23">
        <f>IF(tbl_raw[[#This Row],[Order_Status]]="Returned",1,0)</f>
        <v>0</v>
      </c>
      <c r="V925" s="23">
        <f>IF(tbl_raw[[#This Row],[Payment_Method]]="COD",1,0)</f>
        <v>0</v>
      </c>
      <c r="W925" s="26">
        <f>MIN(1,(tbl_raw[[#This Row],[Discount_Pct]]*1.4)+(tbl_raw[[#This Row],[COD_Flag]]*0.35))</f>
        <v>0.21</v>
      </c>
    </row>
    <row r="926" spans="1:23" ht="22.8" x14ac:dyDescent="0.3">
      <c r="A926" s="17" t="s">
        <v>2259</v>
      </c>
      <c r="B926" s="18" t="s">
        <v>295</v>
      </c>
      <c r="C926" s="18" t="s">
        <v>52</v>
      </c>
      <c r="D926" s="18" t="s">
        <v>164</v>
      </c>
      <c r="E926" s="18" t="s">
        <v>265</v>
      </c>
      <c r="F926" s="18" t="s">
        <v>2260</v>
      </c>
      <c r="G926" s="18" t="s">
        <v>120</v>
      </c>
      <c r="H926" s="18" t="s">
        <v>39</v>
      </c>
      <c r="I926" s="18">
        <v>5</v>
      </c>
      <c r="J926" s="19">
        <v>5869</v>
      </c>
      <c r="K926" s="19">
        <v>4226</v>
      </c>
      <c r="L926" s="20">
        <v>0.28000000000000003</v>
      </c>
      <c r="M926" s="19">
        <v>3233</v>
      </c>
      <c r="N926" s="19">
        <f>(tbl_raw[[#This Row],[Selling_Price]]-tbl_raw[[#This Row],[Cost_Price]])*tbl_raw[[#This Row],[Units_Sold]]</f>
        <v>4965</v>
      </c>
      <c r="O926" s="20">
        <f>IFERROR((tbl_raw[[#This Row],[Selling_Price]]-tbl_raw[[#This Row],[Cost_Price]]) / tbl_raw[[#This Row],[Selling_Price]],0)</f>
        <v>0.23497397065783246</v>
      </c>
      <c r="P926" s="19">
        <v>71</v>
      </c>
      <c r="Q926" s="19">
        <f>tbl_raw[[#This Row],[Gross_Profit]]-(tbl_raw[[#This Row],[Shipping_Cost]]*tbl_raw[[#This Row],[Units_Sold]])</f>
        <v>4610</v>
      </c>
      <c r="R926" s="20">
        <f>IFERROR(tbl_raw[[#This Row],[Net_Profit]]/(tbl_raw[[#This Row],[Selling_Price]]*tbl_raw[[#This Row],[Units_Sold]]),0)</f>
        <v>0.21817321344060578</v>
      </c>
      <c r="S926" s="18" t="s">
        <v>31</v>
      </c>
      <c r="T926" s="18" t="s">
        <v>32</v>
      </c>
      <c r="U926" s="18">
        <f>IF(tbl_raw[[#This Row],[Order_Status]]="Returned",1,0)</f>
        <v>0</v>
      </c>
      <c r="V926" s="18">
        <f>IF(tbl_raw[[#This Row],[Payment_Method]]="COD",1,0)</f>
        <v>0</v>
      </c>
      <c r="W926" s="21">
        <f>MIN(1,(tbl_raw[[#This Row],[Discount_Pct]]*1.4)+(tbl_raw[[#This Row],[COD_Flag]]*0.35))</f>
        <v>0.39200000000000002</v>
      </c>
    </row>
    <row r="927" spans="1:23" ht="22.8" x14ac:dyDescent="0.3">
      <c r="A927" s="22" t="s">
        <v>2261</v>
      </c>
      <c r="B927" s="23" t="s">
        <v>578</v>
      </c>
      <c r="C927" s="23" t="s">
        <v>156</v>
      </c>
      <c r="D927" s="23" t="s">
        <v>62</v>
      </c>
      <c r="E927" s="23" t="s">
        <v>110</v>
      </c>
      <c r="F927" s="23" t="s">
        <v>2262</v>
      </c>
      <c r="G927" s="23" t="s">
        <v>56</v>
      </c>
      <c r="H927" s="23" t="s">
        <v>57</v>
      </c>
      <c r="I927" s="23">
        <v>12</v>
      </c>
      <c r="J927" s="24">
        <v>499</v>
      </c>
      <c r="K927" s="24">
        <v>364</v>
      </c>
      <c r="L927" s="25">
        <v>0.27</v>
      </c>
      <c r="M927" s="24">
        <v>326</v>
      </c>
      <c r="N927" s="24">
        <f>(tbl_raw[[#This Row],[Selling_Price]]-tbl_raw[[#This Row],[Cost_Price]])*tbl_raw[[#This Row],[Units_Sold]]</f>
        <v>456</v>
      </c>
      <c r="O927" s="25">
        <f>IFERROR((tbl_raw[[#This Row],[Selling_Price]]-tbl_raw[[#This Row],[Cost_Price]]) / tbl_raw[[#This Row],[Selling_Price]],0)</f>
        <v>0.1043956043956044</v>
      </c>
      <c r="P927" s="24">
        <v>152</v>
      </c>
      <c r="Q927" s="24">
        <f>tbl_raw[[#This Row],[Gross_Profit]]-(tbl_raw[[#This Row],[Shipping_Cost]]*tbl_raw[[#This Row],[Units_Sold]])</f>
        <v>-1368</v>
      </c>
      <c r="R927" s="25">
        <f>IFERROR(tbl_raw[[#This Row],[Net_Profit]]/(tbl_raw[[#This Row],[Selling_Price]]*tbl_raw[[#This Row],[Units_Sold]]),0)</f>
        <v>-0.31318681318681318</v>
      </c>
      <c r="S927" s="23" t="s">
        <v>58</v>
      </c>
      <c r="T927" s="23" t="s">
        <v>49</v>
      </c>
      <c r="U927" s="23">
        <f>IF(tbl_raw[[#This Row],[Order_Status]]="Returned",1,0)</f>
        <v>0</v>
      </c>
      <c r="V927" s="23">
        <f>IF(tbl_raw[[#This Row],[Payment_Method]]="COD",1,0)</f>
        <v>0</v>
      </c>
      <c r="W927" s="26">
        <f>MIN(1,(tbl_raw[[#This Row],[Discount_Pct]]*1.4)+(tbl_raw[[#This Row],[COD_Flag]]*0.35))</f>
        <v>0.378</v>
      </c>
    </row>
    <row r="928" spans="1:23" ht="22.8" x14ac:dyDescent="0.3">
      <c r="A928" s="17" t="s">
        <v>2263</v>
      </c>
      <c r="B928" s="18" t="s">
        <v>611</v>
      </c>
      <c r="C928" s="18" t="s">
        <v>72</v>
      </c>
      <c r="D928" s="18" t="s">
        <v>53</v>
      </c>
      <c r="E928" s="18" t="s">
        <v>90</v>
      </c>
      <c r="F928" s="18" t="s">
        <v>2264</v>
      </c>
      <c r="G928" s="18" t="s">
        <v>139</v>
      </c>
      <c r="H928" s="18" t="s">
        <v>48</v>
      </c>
      <c r="I928" s="18">
        <v>6</v>
      </c>
      <c r="J928" s="19">
        <v>7613</v>
      </c>
      <c r="K928" s="19">
        <v>6699</v>
      </c>
      <c r="L928" s="20">
        <v>0.12</v>
      </c>
      <c r="M928" s="19">
        <v>4785</v>
      </c>
      <c r="N928" s="19">
        <f>(tbl_raw[[#This Row],[Selling_Price]]-tbl_raw[[#This Row],[Cost_Price]])*tbl_raw[[#This Row],[Units_Sold]]</f>
        <v>11484</v>
      </c>
      <c r="O928" s="20">
        <f>IFERROR((tbl_raw[[#This Row],[Selling_Price]]-tbl_raw[[#This Row],[Cost_Price]]) / tbl_raw[[#This Row],[Selling_Price]],0)</f>
        <v>0.2857142857142857</v>
      </c>
      <c r="P928" s="19">
        <v>162</v>
      </c>
      <c r="Q928" s="19">
        <f>tbl_raw[[#This Row],[Gross_Profit]]-(tbl_raw[[#This Row],[Shipping_Cost]]*tbl_raw[[#This Row],[Units_Sold]])</f>
        <v>10512</v>
      </c>
      <c r="R928" s="20">
        <f>IFERROR(tbl_raw[[#This Row],[Net_Profit]]/(tbl_raw[[#This Row],[Selling_Price]]*tbl_raw[[#This Row],[Units_Sold]]),0)</f>
        <v>0.26153157187639947</v>
      </c>
      <c r="S928" s="18" t="s">
        <v>31</v>
      </c>
      <c r="T928" s="18" t="s">
        <v>86</v>
      </c>
      <c r="U928" s="18">
        <f>IF(tbl_raw[[#This Row],[Order_Status]]="Returned",1,0)</f>
        <v>1</v>
      </c>
      <c r="V928" s="18">
        <f>IF(tbl_raw[[#This Row],[Payment_Method]]="COD",1,0)</f>
        <v>0</v>
      </c>
      <c r="W928" s="21">
        <f>MIN(1,(tbl_raw[[#This Row],[Discount_Pct]]*1.4)+(tbl_raw[[#This Row],[COD_Flag]]*0.35))</f>
        <v>0.16799999999999998</v>
      </c>
    </row>
    <row r="929" spans="1:23" ht="22.8" x14ac:dyDescent="0.3">
      <c r="A929" s="22" t="s">
        <v>2265</v>
      </c>
      <c r="B929" s="23" t="s">
        <v>1008</v>
      </c>
      <c r="C929" s="23" t="s">
        <v>199</v>
      </c>
      <c r="D929" s="23" t="s">
        <v>53</v>
      </c>
      <c r="E929" s="23" t="s">
        <v>54</v>
      </c>
      <c r="F929" s="23" t="s">
        <v>2266</v>
      </c>
      <c r="G929" s="23" t="s">
        <v>38</v>
      </c>
      <c r="H929" s="23" t="s">
        <v>39</v>
      </c>
      <c r="I929" s="23">
        <v>8</v>
      </c>
      <c r="J929" s="24">
        <v>5615</v>
      </c>
      <c r="K929" s="24">
        <v>5503</v>
      </c>
      <c r="L929" s="25">
        <v>0.02</v>
      </c>
      <c r="M929" s="24">
        <v>3373</v>
      </c>
      <c r="N929" s="24">
        <f>(tbl_raw[[#This Row],[Selling_Price]]-tbl_raw[[#This Row],[Cost_Price]])*tbl_raw[[#This Row],[Units_Sold]]</f>
        <v>17040</v>
      </c>
      <c r="O929" s="25">
        <f>IFERROR((tbl_raw[[#This Row],[Selling_Price]]-tbl_raw[[#This Row],[Cost_Price]]) / tbl_raw[[#This Row],[Selling_Price]],0)</f>
        <v>0.38706160276212975</v>
      </c>
      <c r="P929" s="24">
        <v>62</v>
      </c>
      <c r="Q929" s="24">
        <f>tbl_raw[[#This Row],[Gross_Profit]]-(tbl_raw[[#This Row],[Shipping_Cost]]*tbl_raw[[#This Row],[Units_Sold]])</f>
        <v>16544</v>
      </c>
      <c r="R929" s="25">
        <f>IFERROR(tbl_raw[[#This Row],[Net_Profit]]/(tbl_raw[[#This Row],[Selling_Price]]*tbl_raw[[#This Row],[Units_Sold]]),0)</f>
        <v>0.37579502089769218</v>
      </c>
      <c r="S929" s="23" t="s">
        <v>31</v>
      </c>
      <c r="T929" s="23" t="s">
        <v>32</v>
      </c>
      <c r="U929" s="23">
        <f>IF(tbl_raw[[#This Row],[Order_Status]]="Returned",1,0)</f>
        <v>0</v>
      </c>
      <c r="V929" s="23">
        <f>IF(tbl_raw[[#This Row],[Payment_Method]]="COD",1,0)</f>
        <v>0</v>
      </c>
      <c r="W929" s="26">
        <f>MIN(1,(tbl_raw[[#This Row],[Discount_Pct]]*1.4)+(tbl_raw[[#This Row],[COD_Flag]]*0.35))</f>
        <v>2.7999999999999997E-2</v>
      </c>
    </row>
    <row r="930" spans="1:23" ht="22.8" x14ac:dyDescent="0.3">
      <c r="A930" s="17" t="s">
        <v>2267</v>
      </c>
      <c r="B930" s="18" t="s">
        <v>264</v>
      </c>
      <c r="C930" s="18" t="s">
        <v>43</v>
      </c>
      <c r="D930" s="18" t="s">
        <v>26</v>
      </c>
      <c r="E930" s="18" t="s">
        <v>36</v>
      </c>
      <c r="F930" s="18" t="s">
        <v>1112</v>
      </c>
      <c r="G930" s="18" t="s">
        <v>81</v>
      </c>
      <c r="H930" s="18" t="s">
        <v>30</v>
      </c>
      <c r="I930" s="18">
        <v>10</v>
      </c>
      <c r="J930" s="19">
        <v>2327</v>
      </c>
      <c r="K930" s="19">
        <v>1908</v>
      </c>
      <c r="L930" s="20">
        <v>0.18</v>
      </c>
      <c r="M930" s="19">
        <v>946</v>
      </c>
      <c r="N930" s="19">
        <f>(tbl_raw[[#This Row],[Selling_Price]]-tbl_raw[[#This Row],[Cost_Price]])*tbl_raw[[#This Row],[Units_Sold]]</f>
        <v>9620</v>
      </c>
      <c r="O930" s="20">
        <f>IFERROR((tbl_raw[[#This Row],[Selling_Price]]-tbl_raw[[#This Row],[Cost_Price]]) / tbl_raw[[#This Row],[Selling_Price]],0)</f>
        <v>0.50419287211740038</v>
      </c>
      <c r="P930" s="19">
        <v>92</v>
      </c>
      <c r="Q930" s="19">
        <f>tbl_raw[[#This Row],[Gross_Profit]]-(tbl_raw[[#This Row],[Shipping_Cost]]*tbl_raw[[#This Row],[Units_Sold]])</f>
        <v>8700</v>
      </c>
      <c r="R930" s="20">
        <f>IFERROR(tbl_raw[[#This Row],[Net_Profit]]/(tbl_raw[[#This Row],[Selling_Price]]*tbl_raw[[#This Row],[Units_Sold]]),0)</f>
        <v>0.45597484276729561</v>
      </c>
      <c r="S930" s="18" t="s">
        <v>40</v>
      </c>
      <c r="T930" s="18" t="s">
        <v>32</v>
      </c>
      <c r="U930" s="18">
        <f>IF(tbl_raw[[#This Row],[Order_Status]]="Returned",1,0)</f>
        <v>0</v>
      </c>
      <c r="V930" s="18">
        <f>IF(tbl_raw[[#This Row],[Payment_Method]]="COD",1,0)</f>
        <v>1</v>
      </c>
      <c r="W930" s="21">
        <f>MIN(1,(tbl_raw[[#This Row],[Discount_Pct]]*1.4)+(tbl_raw[[#This Row],[COD_Flag]]*0.35))</f>
        <v>0.60199999999999998</v>
      </c>
    </row>
    <row r="931" spans="1:23" ht="22.8" x14ac:dyDescent="0.3">
      <c r="A931" s="22" t="s">
        <v>2268</v>
      </c>
      <c r="B931" s="23" t="s">
        <v>839</v>
      </c>
      <c r="C931" s="23" t="s">
        <v>25</v>
      </c>
      <c r="D931" s="23" t="s">
        <v>175</v>
      </c>
      <c r="E931" s="23" t="s">
        <v>225</v>
      </c>
      <c r="F931" s="23" t="s">
        <v>2269</v>
      </c>
      <c r="G931" s="23" t="s">
        <v>139</v>
      </c>
      <c r="H931" s="23" t="s">
        <v>48</v>
      </c>
      <c r="I931" s="23">
        <v>11</v>
      </c>
      <c r="J931" s="24">
        <v>1924</v>
      </c>
      <c r="K931" s="24">
        <v>1385</v>
      </c>
      <c r="L931" s="25">
        <v>0.28000000000000003</v>
      </c>
      <c r="M931" s="24">
        <v>1260</v>
      </c>
      <c r="N931" s="24">
        <f>(tbl_raw[[#This Row],[Selling_Price]]-tbl_raw[[#This Row],[Cost_Price]])*tbl_raw[[#This Row],[Units_Sold]]</f>
        <v>1375</v>
      </c>
      <c r="O931" s="25">
        <f>IFERROR((tbl_raw[[#This Row],[Selling_Price]]-tbl_raw[[#This Row],[Cost_Price]]) / tbl_raw[[#This Row],[Selling_Price]],0)</f>
        <v>9.0252707581227443E-2</v>
      </c>
      <c r="P931" s="24">
        <v>121</v>
      </c>
      <c r="Q931" s="24">
        <f>tbl_raw[[#This Row],[Gross_Profit]]-(tbl_raw[[#This Row],[Shipping_Cost]]*tbl_raw[[#This Row],[Units_Sold]])</f>
        <v>44</v>
      </c>
      <c r="R931" s="25">
        <f>IFERROR(tbl_raw[[#This Row],[Net_Profit]]/(tbl_raw[[#This Row],[Selling_Price]]*tbl_raw[[#This Row],[Units_Sold]]),0)</f>
        <v>2.8880866425992778E-3</v>
      </c>
      <c r="S931" s="23" t="s">
        <v>31</v>
      </c>
      <c r="T931" s="23" t="s">
        <v>32</v>
      </c>
      <c r="U931" s="23">
        <f>IF(tbl_raw[[#This Row],[Order_Status]]="Returned",1,0)</f>
        <v>0</v>
      </c>
      <c r="V931" s="23">
        <f>IF(tbl_raw[[#This Row],[Payment_Method]]="COD",1,0)</f>
        <v>0</v>
      </c>
      <c r="W931" s="26">
        <f>MIN(1,(tbl_raw[[#This Row],[Discount_Pct]]*1.4)+(tbl_raw[[#This Row],[COD_Flag]]*0.35))</f>
        <v>0.39200000000000002</v>
      </c>
    </row>
    <row r="932" spans="1:23" ht="22.8" x14ac:dyDescent="0.3">
      <c r="A932" s="17" t="s">
        <v>2270</v>
      </c>
      <c r="B932" s="18" t="s">
        <v>829</v>
      </c>
      <c r="C932" s="18" t="s">
        <v>89</v>
      </c>
      <c r="D932" s="18" t="s">
        <v>78</v>
      </c>
      <c r="E932" s="18" t="s">
        <v>534</v>
      </c>
      <c r="F932" s="18" t="s">
        <v>2271</v>
      </c>
      <c r="G932" s="18" t="s">
        <v>139</v>
      </c>
      <c r="H932" s="18" t="s">
        <v>48</v>
      </c>
      <c r="I932" s="18">
        <v>11</v>
      </c>
      <c r="J932" s="19">
        <v>2857</v>
      </c>
      <c r="K932" s="19">
        <v>2400</v>
      </c>
      <c r="L932" s="20">
        <v>0.16</v>
      </c>
      <c r="M932" s="19">
        <v>1587</v>
      </c>
      <c r="N932" s="19">
        <f>(tbl_raw[[#This Row],[Selling_Price]]-tbl_raw[[#This Row],[Cost_Price]])*tbl_raw[[#This Row],[Units_Sold]]</f>
        <v>8943</v>
      </c>
      <c r="O932" s="20">
        <f>IFERROR((tbl_raw[[#This Row],[Selling_Price]]-tbl_raw[[#This Row],[Cost_Price]]) / tbl_raw[[#This Row],[Selling_Price]],0)</f>
        <v>0.33875</v>
      </c>
      <c r="P932" s="19">
        <v>99</v>
      </c>
      <c r="Q932" s="19">
        <f>tbl_raw[[#This Row],[Gross_Profit]]-(tbl_raw[[#This Row],[Shipping_Cost]]*tbl_raw[[#This Row],[Units_Sold]])</f>
        <v>7854</v>
      </c>
      <c r="R932" s="20">
        <f>IFERROR(tbl_raw[[#This Row],[Net_Profit]]/(tbl_raw[[#This Row],[Selling_Price]]*tbl_raw[[#This Row],[Units_Sold]]),0)</f>
        <v>0.29749999999999999</v>
      </c>
      <c r="S932" s="18" t="s">
        <v>31</v>
      </c>
      <c r="T932" s="18" t="s">
        <v>32</v>
      </c>
      <c r="U932" s="18">
        <f>IF(tbl_raw[[#This Row],[Order_Status]]="Returned",1,0)</f>
        <v>0</v>
      </c>
      <c r="V932" s="18">
        <f>IF(tbl_raw[[#This Row],[Payment_Method]]="COD",1,0)</f>
        <v>0</v>
      </c>
      <c r="W932" s="21">
        <f>MIN(1,(tbl_raw[[#This Row],[Discount_Pct]]*1.4)+(tbl_raw[[#This Row],[COD_Flag]]*0.35))</f>
        <v>0.22399999999999998</v>
      </c>
    </row>
    <row r="933" spans="1:23" ht="22.8" x14ac:dyDescent="0.3">
      <c r="A933" s="22" t="s">
        <v>2272</v>
      </c>
      <c r="B933" s="23" t="s">
        <v>884</v>
      </c>
      <c r="C933" s="23" t="s">
        <v>25</v>
      </c>
      <c r="D933" s="23" t="s">
        <v>53</v>
      </c>
      <c r="E933" s="23" t="s">
        <v>90</v>
      </c>
      <c r="F933" s="23" t="s">
        <v>2273</v>
      </c>
      <c r="G933" s="23" t="s">
        <v>102</v>
      </c>
      <c r="H933" s="23" t="s">
        <v>39</v>
      </c>
      <c r="I933" s="23">
        <v>3</v>
      </c>
      <c r="J933" s="24">
        <v>5125</v>
      </c>
      <c r="K933" s="24">
        <v>3844</v>
      </c>
      <c r="L933" s="25">
        <v>0.25</v>
      </c>
      <c r="M933" s="24">
        <v>2669</v>
      </c>
      <c r="N933" s="24">
        <f>(tbl_raw[[#This Row],[Selling_Price]]-tbl_raw[[#This Row],[Cost_Price]])*tbl_raw[[#This Row],[Units_Sold]]</f>
        <v>3525</v>
      </c>
      <c r="O933" s="25">
        <f>IFERROR((tbl_raw[[#This Row],[Selling_Price]]-tbl_raw[[#This Row],[Cost_Price]]) / tbl_raw[[#This Row],[Selling_Price]],0)</f>
        <v>0.30567117585848075</v>
      </c>
      <c r="P933" s="24">
        <v>61</v>
      </c>
      <c r="Q933" s="24">
        <f>tbl_raw[[#This Row],[Gross_Profit]]-(tbl_raw[[#This Row],[Shipping_Cost]]*tbl_raw[[#This Row],[Units_Sold]])</f>
        <v>3342</v>
      </c>
      <c r="R933" s="25">
        <f>IFERROR(tbl_raw[[#This Row],[Net_Profit]]/(tbl_raw[[#This Row],[Selling_Price]]*tbl_raw[[#This Row],[Units_Sold]]),0)</f>
        <v>0.28980228928199792</v>
      </c>
      <c r="S933" s="23" t="s">
        <v>65</v>
      </c>
      <c r="T933" s="23" t="s">
        <v>32</v>
      </c>
      <c r="U933" s="23">
        <f>IF(tbl_raw[[#This Row],[Order_Status]]="Returned",1,0)</f>
        <v>0</v>
      </c>
      <c r="V933" s="23">
        <f>IF(tbl_raw[[#This Row],[Payment_Method]]="COD",1,0)</f>
        <v>0</v>
      </c>
      <c r="W933" s="26">
        <f>MIN(1,(tbl_raw[[#This Row],[Discount_Pct]]*1.4)+(tbl_raw[[#This Row],[COD_Flag]]*0.35))</f>
        <v>0.35</v>
      </c>
    </row>
    <row r="934" spans="1:23" ht="22.8" x14ac:dyDescent="0.3">
      <c r="A934" s="17" t="s">
        <v>2274</v>
      </c>
      <c r="B934" s="18" t="s">
        <v>109</v>
      </c>
      <c r="C934" s="18" t="s">
        <v>89</v>
      </c>
      <c r="D934" s="18" t="s">
        <v>62</v>
      </c>
      <c r="E934" s="18" t="s">
        <v>110</v>
      </c>
      <c r="F934" s="18" t="s">
        <v>2275</v>
      </c>
      <c r="G934" s="18" t="s">
        <v>102</v>
      </c>
      <c r="H934" s="18" t="s">
        <v>39</v>
      </c>
      <c r="I934" s="18">
        <v>19</v>
      </c>
      <c r="J934" s="19">
        <v>1501</v>
      </c>
      <c r="K934" s="19">
        <v>1261</v>
      </c>
      <c r="L934" s="20">
        <v>0.16</v>
      </c>
      <c r="M934" s="19">
        <v>827</v>
      </c>
      <c r="N934" s="19">
        <f>(tbl_raw[[#This Row],[Selling_Price]]-tbl_raw[[#This Row],[Cost_Price]])*tbl_raw[[#This Row],[Units_Sold]]</f>
        <v>8246</v>
      </c>
      <c r="O934" s="20">
        <f>IFERROR((tbl_raw[[#This Row],[Selling_Price]]-tbl_raw[[#This Row],[Cost_Price]]) / tbl_raw[[#This Row],[Selling_Price]],0)</f>
        <v>0.34417129262490087</v>
      </c>
      <c r="P934" s="19">
        <v>179</v>
      </c>
      <c r="Q934" s="19">
        <f>tbl_raw[[#This Row],[Gross_Profit]]-(tbl_raw[[#This Row],[Shipping_Cost]]*tbl_raw[[#This Row],[Units_Sold]])</f>
        <v>4845</v>
      </c>
      <c r="R934" s="20">
        <f>IFERROR(tbl_raw[[#This Row],[Net_Profit]]/(tbl_raw[[#This Row],[Selling_Price]]*tbl_raw[[#This Row],[Units_Sold]]),0)</f>
        <v>0.20222045995241872</v>
      </c>
      <c r="S934" s="18" t="s">
        <v>58</v>
      </c>
      <c r="T934" s="18" t="s">
        <v>32</v>
      </c>
      <c r="U934" s="18">
        <f>IF(tbl_raw[[#This Row],[Order_Status]]="Returned",1,0)</f>
        <v>0</v>
      </c>
      <c r="V934" s="18">
        <f>IF(tbl_raw[[#This Row],[Payment_Method]]="COD",1,0)</f>
        <v>0</v>
      </c>
      <c r="W934" s="21">
        <f>MIN(1,(tbl_raw[[#This Row],[Discount_Pct]]*1.4)+(tbl_raw[[#This Row],[COD_Flag]]*0.35))</f>
        <v>0.22399999999999998</v>
      </c>
    </row>
    <row r="935" spans="1:23" ht="22.8" x14ac:dyDescent="0.3">
      <c r="A935" s="22" t="s">
        <v>2276</v>
      </c>
      <c r="B935" s="23" t="s">
        <v>527</v>
      </c>
      <c r="C935" s="23" t="s">
        <v>156</v>
      </c>
      <c r="D935" s="23" t="s">
        <v>94</v>
      </c>
      <c r="E935" s="23" t="s">
        <v>310</v>
      </c>
      <c r="F935" s="23" t="s">
        <v>2277</v>
      </c>
      <c r="G935" s="23" t="s">
        <v>81</v>
      </c>
      <c r="H935" s="23" t="s">
        <v>30</v>
      </c>
      <c r="I935" s="23">
        <v>13</v>
      </c>
      <c r="J935" s="24">
        <v>4936</v>
      </c>
      <c r="K935" s="24">
        <v>3060</v>
      </c>
      <c r="L935" s="25">
        <v>0.38</v>
      </c>
      <c r="M935" s="24">
        <v>2142</v>
      </c>
      <c r="N935" s="24">
        <f>(tbl_raw[[#This Row],[Selling_Price]]-tbl_raw[[#This Row],[Cost_Price]])*tbl_raw[[#This Row],[Units_Sold]]</f>
        <v>11934</v>
      </c>
      <c r="O935" s="25">
        <f>IFERROR((tbl_raw[[#This Row],[Selling_Price]]-tbl_raw[[#This Row],[Cost_Price]]) / tbl_raw[[#This Row],[Selling_Price]],0)</f>
        <v>0.3</v>
      </c>
      <c r="P935" s="24">
        <v>63</v>
      </c>
      <c r="Q935" s="24">
        <f>tbl_raw[[#This Row],[Gross_Profit]]-(tbl_raw[[#This Row],[Shipping_Cost]]*tbl_raw[[#This Row],[Units_Sold]])</f>
        <v>11115</v>
      </c>
      <c r="R935" s="25">
        <f>IFERROR(tbl_raw[[#This Row],[Net_Profit]]/(tbl_raw[[#This Row],[Selling_Price]]*tbl_raw[[#This Row],[Units_Sold]]),0)</f>
        <v>0.27941176470588236</v>
      </c>
      <c r="S935" s="23" t="s">
        <v>58</v>
      </c>
      <c r="T935" s="23" t="s">
        <v>32</v>
      </c>
      <c r="U935" s="23">
        <f>IF(tbl_raw[[#This Row],[Order_Status]]="Returned",1,0)</f>
        <v>0</v>
      </c>
      <c r="V935" s="23">
        <f>IF(tbl_raw[[#This Row],[Payment_Method]]="COD",1,0)</f>
        <v>0</v>
      </c>
      <c r="W935" s="26">
        <f>MIN(1,(tbl_raw[[#This Row],[Discount_Pct]]*1.4)+(tbl_raw[[#This Row],[COD_Flag]]*0.35))</f>
        <v>0.53199999999999992</v>
      </c>
    </row>
    <row r="936" spans="1:23" ht="22.8" x14ac:dyDescent="0.3">
      <c r="A936" s="17" t="s">
        <v>2278</v>
      </c>
      <c r="B936" s="18" t="s">
        <v>2230</v>
      </c>
      <c r="C936" s="18" t="s">
        <v>43</v>
      </c>
      <c r="D936" s="18" t="s">
        <v>78</v>
      </c>
      <c r="E936" s="18" t="s">
        <v>84</v>
      </c>
      <c r="F936" s="18" t="s">
        <v>2279</v>
      </c>
      <c r="G936" s="18" t="s">
        <v>56</v>
      </c>
      <c r="H936" s="18" t="s">
        <v>57</v>
      </c>
      <c r="I936" s="18">
        <v>7</v>
      </c>
      <c r="J936" s="19">
        <v>3462</v>
      </c>
      <c r="K936" s="19">
        <v>2527</v>
      </c>
      <c r="L936" s="20">
        <v>0.27</v>
      </c>
      <c r="M936" s="19">
        <v>1772</v>
      </c>
      <c r="N936" s="19">
        <f>(tbl_raw[[#This Row],[Selling_Price]]-tbl_raw[[#This Row],[Cost_Price]])*tbl_raw[[#This Row],[Units_Sold]]</f>
        <v>5285</v>
      </c>
      <c r="O936" s="20">
        <f>IFERROR((tbl_raw[[#This Row],[Selling_Price]]-tbl_raw[[#This Row],[Cost_Price]]) / tbl_raw[[#This Row],[Selling_Price]],0)</f>
        <v>0.29877324891175305</v>
      </c>
      <c r="P936" s="19">
        <v>84</v>
      </c>
      <c r="Q936" s="19">
        <f>tbl_raw[[#This Row],[Gross_Profit]]-(tbl_raw[[#This Row],[Shipping_Cost]]*tbl_raw[[#This Row],[Units_Sold]])</f>
        <v>4697</v>
      </c>
      <c r="R936" s="20">
        <f>IFERROR(tbl_raw[[#This Row],[Net_Profit]]/(tbl_raw[[#This Row],[Selling_Price]]*tbl_raw[[#This Row],[Units_Sold]]),0)</f>
        <v>0.2655322516818362</v>
      </c>
      <c r="S936" s="18" t="s">
        <v>58</v>
      </c>
      <c r="T936" s="18" t="s">
        <v>32</v>
      </c>
      <c r="U936" s="18">
        <f>IF(tbl_raw[[#This Row],[Order_Status]]="Returned",1,0)</f>
        <v>0</v>
      </c>
      <c r="V936" s="18">
        <f>IF(tbl_raw[[#This Row],[Payment_Method]]="COD",1,0)</f>
        <v>0</v>
      </c>
      <c r="W936" s="21">
        <f>MIN(1,(tbl_raw[[#This Row],[Discount_Pct]]*1.4)+(tbl_raw[[#This Row],[COD_Flag]]*0.35))</f>
        <v>0.378</v>
      </c>
    </row>
    <row r="937" spans="1:23" ht="22.8" x14ac:dyDescent="0.3">
      <c r="A937" s="22" t="s">
        <v>2280</v>
      </c>
      <c r="B937" s="23" t="s">
        <v>1970</v>
      </c>
      <c r="C937" s="23" t="s">
        <v>25</v>
      </c>
      <c r="D937" s="23" t="s">
        <v>44</v>
      </c>
      <c r="E937" s="23" t="s">
        <v>338</v>
      </c>
      <c r="F937" s="23" t="s">
        <v>2281</v>
      </c>
      <c r="G937" s="23" t="s">
        <v>38</v>
      </c>
      <c r="H937" s="23" t="s">
        <v>39</v>
      </c>
      <c r="I937" s="23">
        <v>13</v>
      </c>
      <c r="J937" s="24">
        <v>1956</v>
      </c>
      <c r="K937" s="24">
        <v>1604</v>
      </c>
      <c r="L937" s="25">
        <v>0.18</v>
      </c>
      <c r="M937" s="24">
        <v>1301</v>
      </c>
      <c r="N937" s="24">
        <f>(tbl_raw[[#This Row],[Selling_Price]]-tbl_raw[[#This Row],[Cost_Price]])*tbl_raw[[#This Row],[Units_Sold]]</f>
        <v>3939</v>
      </c>
      <c r="O937" s="25">
        <f>IFERROR((tbl_raw[[#This Row],[Selling_Price]]-tbl_raw[[#This Row],[Cost_Price]]) / tbl_raw[[#This Row],[Selling_Price]],0)</f>
        <v>0.18890274314214464</v>
      </c>
      <c r="P937" s="24">
        <v>73</v>
      </c>
      <c r="Q937" s="24">
        <f>tbl_raw[[#This Row],[Gross_Profit]]-(tbl_raw[[#This Row],[Shipping_Cost]]*tbl_raw[[#This Row],[Units_Sold]])</f>
        <v>2990</v>
      </c>
      <c r="R937" s="25">
        <f>IFERROR(tbl_raw[[#This Row],[Net_Profit]]/(tbl_raw[[#This Row],[Selling_Price]]*tbl_raw[[#This Row],[Units_Sold]]),0)</f>
        <v>0.14339152119700749</v>
      </c>
      <c r="S937" s="23" t="s">
        <v>31</v>
      </c>
      <c r="T937" s="23" t="s">
        <v>59</v>
      </c>
      <c r="U937" s="23">
        <f>IF(tbl_raw[[#This Row],[Order_Status]]="Returned",1,0)</f>
        <v>0</v>
      </c>
      <c r="V937" s="23">
        <f>IF(tbl_raw[[#This Row],[Payment_Method]]="COD",1,0)</f>
        <v>0</v>
      </c>
      <c r="W937" s="26">
        <f>MIN(1,(tbl_raw[[#This Row],[Discount_Pct]]*1.4)+(tbl_raw[[#This Row],[COD_Flag]]*0.35))</f>
        <v>0.252</v>
      </c>
    </row>
    <row r="938" spans="1:23" ht="22.8" x14ac:dyDescent="0.3">
      <c r="A938" s="17" t="s">
        <v>2282</v>
      </c>
      <c r="B938" s="18" t="s">
        <v>2283</v>
      </c>
      <c r="C938" s="18" t="s">
        <v>52</v>
      </c>
      <c r="D938" s="18" t="s">
        <v>26</v>
      </c>
      <c r="E938" s="18" t="s">
        <v>36</v>
      </c>
      <c r="F938" s="18" t="s">
        <v>2284</v>
      </c>
      <c r="G938" s="18" t="s">
        <v>56</v>
      </c>
      <c r="H938" s="18" t="s">
        <v>57</v>
      </c>
      <c r="I938" s="18">
        <v>15</v>
      </c>
      <c r="J938" s="19">
        <v>5318</v>
      </c>
      <c r="K938" s="19">
        <v>3669</v>
      </c>
      <c r="L938" s="20">
        <v>0.31</v>
      </c>
      <c r="M938" s="19">
        <v>2310</v>
      </c>
      <c r="N938" s="19">
        <f>(tbl_raw[[#This Row],[Selling_Price]]-tbl_raw[[#This Row],[Cost_Price]])*tbl_raw[[#This Row],[Units_Sold]]</f>
        <v>20385</v>
      </c>
      <c r="O938" s="20">
        <f>IFERROR((tbl_raw[[#This Row],[Selling_Price]]-tbl_raw[[#This Row],[Cost_Price]]) / tbl_raw[[#This Row],[Selling_Price]],0)</f>
        <v>0.37040065412919049</v>
      </c>
      <c r="P938" s="19">
        <v>117</v>
      </c>
      <c r="Q938" s="19">
        <f>tbl_raw[[#This Row],[Gross_Profit]]-(tbl_raw[[#This Row],[Shipping_Cost]]*tbl_raw[[#This Row],[Units_Sold]])</f>
        <v>18630</v>
      </c>
      <c r="R938" s="20">
        <f>IFERROR(tbl_raw[[#This Row],[Net_Profit]]/(tbl_raw[[#This Row],[Selling_Price]]*tbl_raw[[#This Row],[Units_Sold]]),0)</f>
        <v>0.33851185609157808</v>
      </c>
      <c r="S938" s="18" t="s">
        <v>31</v>
      </c>
      <c r="T938" s="18" t="s">
        <v>32</v>
      </c>
      <c r="U938" s="18">
        <f>IF(tbl_raw[[#This Row],[Order_Status]]="Returned",1,0)</f>
        <v>0</v>
      </c>
      <c r="V938" s="18">
        <f>IF(tbl_raw[[#This Row],[Payment_Method]]="COD",1,0)</f>
        <v>0</v>
      </c>
      <c r="W938" s="21">
        <f>MIN(1,(tbl_raw[[#This Row],[Discount_Pct]]*1.4)+(tbl_raw[[#This Row],[COD_Flag]]*0.35))</f>
        <v>0.434</v>
      </c>
    </row>
    <row r="939" spans="1:23" ht="22.8" x14ac:dyDescent="0.3">
      <c r="A939" s="22" t="s">
        <v>2285</v>
      </c>
      <c r="B939" s="23" t="s">
        <v>819</v>
      </c>
      <c r="C939" s="23" t="s">
        <v>25</v>
      </c>
      <c r="D939" s="23" t="s">
        <v>94</v>
      </c>
      <c r="E939" s="23" t="s">
        <v>95</v>
      </c>
      <c r="F939" s="23" t="s">
        <v>2286</v>
      </c>
      <c r="G939" s="23" t="s">
        <v>102</v>
      </c>
      <c r="H939" s="23" t="s">
        <v>39</v>
      </c>
      <c r="I939" s="23">
        <v>17</v>
      </c>
      <c r="J939" s="24">
        <v>7991</v>
      </c>
      <c r="K939" s="24">
        <v>5833</v>
      </c>
      <c r="L939" s="25">
        <v>0.27</v>
      </c>
      <c r="M939" s="24">
        <v>5244</v>
      </c>
      <c r="N939" s="24">
        <f>(tbl_raw[[#This Row],[Selling_Price]]-tbl_raw[[#This Row],[Cost_Price]])*tbl_raw[[#This Row],[Units_Sold]]</f>
        <v>10013</v>
      </c>
      <c r="O939" s="25">
        <f>IFERROR((tbl_raw[[#This Row],[Selling_Price]]-tbl_raw[[#This Row],[Cost_Price]]) / tbl_raw[[#This Row],[Selling_Price]],0)</f>
        <v>0.10097719869706841</v>
      </c>
      <c r="P939" s="24">
        <v>172</v>
      </c>
      <c r="Q939" s="24">
        <f>tbl_raw[[#This Row],[Gross_Profit]]-(tbl_raw[[#This Row],[Shipping_Cost]]*tbl_raw[[#This Row],[Units_Sold]])</f>
        <v>7089</v>
      </c>
      <c r="R939" s="25">
        <f>IFERROR(tbl_raw[[#This Row],[Net_Profit]]/(tbl_raw[[#This Row],[Selling_Price]]*tbl_raw[[#This Row],[Units_Sold]]),0)</f>
        <v>7.1489799417109548E-2</v>
      </c>
      <c r="S939" s="23" t="s">
        <v>107</v>
      </c>
      <c r="T939" s="23" t="s">
        <v>32</v>
      </c>
      <c r="U939" s="23">
        <f>IF(tbl_raw[[#This Row],[Order_Status]]="Returned",1,0)</f>
        <v>0</v>
      </c>
      <c r="V939" s="23">
        <f>IF(tbl_raw[[#This Row],[Payment_Method]]="COD",1,0)</f>
        <v>0</v>
      </c>
      <c r="W939" s="26">
        <f>MIN(1,(tbl_raw[[#This Row],[Discount_Pct]]*1.4)+(tbl_raw[[#This Row],[COD_Flag]]*0.35))</f>
        <v>0.378</v>
      </c>
    </row>
    <row r="940" spans="1:23" ht="22.8" x14ac:dyDescent="0.3">
      <c r="A940" s="17" t="s">
        <v>2287</v>
      </c>
      <c r="B940" s="18" t="s">
        <v>292</v>
      </c>
      <c r="C940" s="18" t="s">
        <v>25</v>
      </c>
      <c r="D940" s="18" t="s">
        <v>175</v>
      </c>
      <c r="E940" s="18" t="s">
        <v>190</v>
      </c>
      <c r="F940" s="18" t="s">
        <v>2288</v>
      </c>
      <c r="G940" s="18" t="s">
        <v>102</v>
      </c>
      <c r="H940" s="18" t="s">
        <v>39</v>
      </c>
      <c r="I940" s="18">
        <v>13</v>
      </c>
      <c r="J940" s="19">
        <v>4506</v>
      </c>
      <c r="K940" s="19">
        <v>2749</v>
      </c>
      <c r="L940" s="20">
        <v>0.39</v>
      </c>
      <c r="M940" s="19">
        <v>3143</v>
      </c>
      <c r="N940" s="19">
        <f>(tbl_raw[[#This Row],[Selling_Price]]-tbl_raw[[#This Row],[Cost_Price]])*tbl_raw[[#This Row],[Units_Sold]]</f>
        <v>-5122</v>
      </c>
      <c r="O940" s="20">
        <f>IFERROR((tbl_raw[[#This Row],[Selling_Price]]-tbl_raw[[#This Row],[Cost_Price]]) / tbl_raw[[#This Row],[Selling_Price]],0)</f>
        <v>-0.14332484539832666</v>
      </c>
      <c r="P940" s="19">
        <v>54</v>
      </c>
      <c r="Q940" s="19">
        <f>tbl_raw[[#This Row],[Gross_Profit]]-(tbl_raw[[#This Row],[Shipping_Cost]]*tbl_raw[[#This Row],[Units_Sold]])</f>
        <v>-5824</v>
      </c>
      <c r="R940" s="20">
        <f>IFERROR(tbl_raw[[#This Row],[Net_Profit]]/(tbl_raw[[#This Row],[Selling_Price]]*tbl_raw[[#This Row],[Units_Sold]]),0)</f>
        <v>-0.16296835212804656</v>
      </c>
      <c r="S940" s="18" t="s">
        <v>107</v>
      </c>
      <c r="T940" s="18" t="s">
        <v>32</v>
      </c>
      <c r="U940" s="18">
        <f>IF(tbl_raw[[#This Row],[Order_Status]]="Returned",1,0)</f>
        <v>0</v>
      </c>
      <c r="V940" s="18">
        <f>IF(tbl_raw[[#This Row],[Payment_Method]]="COD",1,0)</f>
        <v>0</v>
      </c>
      <c r="W940" s="21">
        <f>MIN(1,(tbl_raw[[#This Row],[Discount_Pct]]*1.4)+(tbl_raw[[#This Row],[COD_Flag]]*0.35))</f>
        <v>0.54599999999999993</v>
      </c>
    </row>
    <row r="941" spans="1:23" ht="22.8" x14ac:dyDescent="0.3">
      <c r="A941" s="22" t="s">
        <v>2289</v>
      </c>
      <c r="B941" s="23" t="s">
        <v>788</v>
      </c>
      <c r="C941" s="23" t="s">
        <v>117</v>
      </c>
      <c r="D941" s="23" t="s">
        <v>94</v>
      </c>
      <c r="E941" s="23" t="s">
        <v>180</v>
      </c>
      <c r="F941" s="23" t="s">
        <v>2290</v>
      </c>
      <c r="G941" s="23" t="s">
        <v>143</v>
      </c>
      <c r="H941" s="23" t="s">
        <v>30</v>
      </c>
      <c r="I941" s="23">
        <v>3</v>
      </c>
      <c r="J941" s="24">
        <v>7177</v>
      </c>
      <c r="K941" s="24">
        <v>6531</v>
      </c>
      <c r="L941" s="25">
        <v>0.09</v>
      </c>
      <c r="M941" s="24">
        <v>4029</v>
      </c>
      <c r="N941" s="24">
        <f>(tbl_raw[[#This Row],[Selling_Price]]-tbl_raw[[#This Row],[Cost_Price]])*tbl_raw[[#This Row],[Units_Sold]]</f>
        <v>7506</v>
      </c>
      <c r="O941" s="25">
        <f>IFERROR((tbl_raw[[#This Row],[Selling_Price]]-tbl_raw[[#This Row],[Cost_Price]]) / tbl_raw[[#This Row],[Selling_Price]],0)</f>
        <v>0.3830960036747818</v>
      </c>
      <c r="P941" s="24">
        <v>67</v>
      </c>
      <c r="Q941" s="24">
        <f>tbl_raw[[#This Row],[Gross_Profit]]-(tbl_raw[[#This Row],[Shipping_Cost]]*tbl_raw[[#This Row],[Units_Sold]])</f>
        <v>7305</v>
      </c>
      <c r="R941" s="25">
        <f>IFERROR(tbl_raw[[#This Row],[Net_Profit]]/(tbl_raw[[#This Row],[Selling_Price]]*tbl_raw[[#This Row],[Units_Sold]]),0)</f>
        <v>0.37283723778900629</v>
      </c>
      <c r="S941" s="23" t="s">
        <v>65</v>
      </c>
      <c r="T941" s="23" t="s">
        <v>32</v>
      </c>
      <c r="U941" s="23">
        <f>IF(tbl_raw[[#This Row],[Order_Status]]="Returned",1,0)</f>
        <v>0</v>
      </c>
      <c r="V941" s="23">
        <f>IF(tbl_raw[[#This Row],[Payment_Method]]="COD",1,0)</f>
        <v>0</v>
      </c>
      <c r="W941" s="26">
        <f>MIN(1,(tbl_raw[[#This Row],[Discount_Pct]]*1.4)+(tbl_raw[[#This Row],[COD_Flag]]*0.35))</f>
        <v>0.126</v>
      </c>
    </row>
    <row r="942" spans="1:23" ht="22.8" x14ac:dyDescent="0.3">
      <c r="A942" s="17" t="s">
        <v>2291</v>
      </c>
      <c r="B942" s="18" t="s">
        <v>1022</v>
      </c>
      <c r="C942" s="18" t="s">
        <v>43</v>
      </c>
      <c r="D942" s="18" t="s">
        <v>175</v>
      </c>
      <c r="E942" s="18" t="s">
        <v>176</v>
      </c>
      <c r="F942" s="18" t="s">
        <v>2292</v>
      </c>
      <c r="G942" s="18" t="s">
        <v>56</v>
      </c>
      <c r="H942" s="18" t="s">
        <v>57</v>
      </c>
      <c r="I942" s="18">
        <v>6</v>
      </c>
      <c r="J942" s="19">
        <v>2110</v>
      </c>
      <c r="K942" s="19">
        <v>1435</v>
      </c>
      <c r="L942" s="20">
        <v>0.32</v>
      </c>
      <c r="M942" s="19">
        <v>896</v>
      </c>
      <c r="N942" s="19">
        <f>(tbl_raw[[#This Row],[Selling_Price]]-tbl_raw[[#This Row],[Cost_Price]])*tbl_raw[[#This Row],[Units_Sold]]</f>
        <v>3234</v>
      </c>
      <c r="O942" s="20">
        <f>IFERROR((tbl_raw[[#This Row],[Selling_Price]]-tbl_raw[[#This Row],[Cost_Price]]) / tbl_raw[[#This Row],[Selling_Price]],0)</f>
        <v>0.37560975609756098</v>
      </c>
      <c r="P942" s="19">
        <v>142</v>
      </c>
      <c r="Q942" s="19">
        <f>tbl_raw[[#This Row],[Gross_Profit]]-(tbl_raw[[#This Row],[Shipping_Cost]]*tbl_raw[[#This Row],[Units_Sold]])</f>
        <v>2382</v>
      </c>
      <c r="R942" s="20">
        <f>IFERROR(tbl_raw[[#This Row],[Net_Profit]]/(tbl_raw[[#This Row],[Selling_Price]]*tbl_raw[[#This Row],[Units_Sold]]),0)</f>
        <v>0.27665505226480835</v>
      </c>
      <c r="S942" s="18" t="s">
        <v>31</v>
      </c>
      <c r="T942" s="18" t="s">
        <v>49</v>
      </c>
      <c r="U942" s="18">
        <f>IF(tbl_raw[[#This Row],[Order_Status]]="Returned",1,0)</f>
        <v>0</v>
      </c>
      <c r="V942" s="18">
        <f>IF(tbl_raw[[#This Row],[Payment_Method]]="COD",1,0)</f>
        <v>0</v>
      </c>
      <c r="W942" s="21">
        <f>MIN(1,(tbl_raw[[#This Row],[Discount_Pct]]*1.4)+(tbl_raw[[#This Row],[COD_Flag]]*0.35))</f>
        <v>0.44799999999999995</v>
      </c>
    </row>
    <row r="943" spans="1:23" ht="22.8" x14ac:dyDescent="0.3">
      <c r="A943" s="22" t="s">
        <v>2293</v>
      </c>
      <c r="B943" s="23" t="s">
        <v>51</v>
      </c>
      <c r="C943" s="23" t="s">
        <v>52</v>
      </c>
      <c r="D943" s="23" t="s">
        <v>78</v>
      </c>
      <c r="E943" s="23" t="s">
        <v>79</v>
      </c>
      <c r="F943" s="23" t="s">
        <v>2294</v>
      </c>
      <c r="G943" s="23" t="s">
        <v>38</v>
      </c>
      <c r="H943" s="23" t="s">
        <v>39</v>
      </c>
      <c r="I943" s="23">
        <v>4</v>
      </c>
      <c r="J943" s="24">
        <v>5783</v>
      </c>
      <c r="K943" s="24">
        <v>4222</v>
      </c>
      <c r="L943" s="25">
        <v>0.27</v>
      </c>
      <c r="M943" s="24">
        <v>4315</v>
      </c>
      <c r="N943" s="24">
        <f>(tbl_raw[[#This Row],[Selling_Price]]-tbl_raw[[#This Row],[Cost_Price]])*tbl_raw[[#This Row],[Units_Sold]]</f>
        <v>-372</v>
      </c>
      <c r="O943" s="25">
        <f>IFERROR((tbl_raw[[#This Row],[Selling_Price]]-tbl_raw[[#This Row],[Cost_Price]]) / tbl_raw[[#This Row],[Selling_Price]],0)</f>
        <v>-2.2027475130270015E-2</v>
      </c>
      <c r="P943" s="24">
        <v>137</v>
      </c>
      <c r="Q943" s="24">
        <f>tbl_raw[[#This Row],[Gross_Profit]]-(tbl_raw[[#This Row],[Shipping_Cost]]*tbl_raw[[#This Row],[Units_Sold]])</f>
        <v>-920</v>
      </c>
      <c r="R943" s="25">
        <f>IFERROR(tbl_raw[[#This Row],[Net_Profit]]/(tbl_raw[[#This Row],[Selling_Price]]*tbl_raw[[#This Row],[Units_Sold]]),0)</f>
        <v>-5.4476551397441973E-2</v>
      </c>
      <c r="S943" s="23" t="s">
        <v>31</v>
      </c>
      <c r="T943" s="23" t="s">
        <v>32</v>
      </c>
      <c r="U943" s="23">
        <f>IF(tbl_raw[[#This Row],[Order_Status]]="Returned",1,0)</f>
        <v>0</v>
      </c>
      <c r="V943" s="23">
        <f>IF(tbl_raw[[#This Row],[Payment_Method]]="COD",1,0)</f>
        <v>0</v>
      </c>
      <c r="W943" s="26">
        <f>MIN(1,(tbl_raw[[#This Row],[Discount_Pct]]*1.4)+(tbl_raw[[#This Row],[COD_Flag]]*0.35))</f>
        <v>0.378</v>
      </c>
    </row>
    <row r="944" spans="1:23" ht="22.8" x14ac:dyDescent="0.3">
      <c r="A944" s="17" t="s">
        <v>2295</v>
      </c>
      <c r="B944" s="18" t="s">
        <v>128</v>
      </c>
      <c r="C944" s="18" t="s">
        <v>99</v>
      </c>
      <c r="D944" s="18" t="s">
        <v>78</v>
      </c>
      <c r="E944" s="18" t="s">
        <v>296</v>
      </c>
      <c r="F944" s="18" t="s">
        <v>2296</v>
      </c>
      <c r="G944" s="18" t="s">
        <v>47</v>
      </c>
      <c r="H944" s="18" t="s">
        <v>48</v>
      </c>
      <c r="I944" s="18">
        <v>17</v>
      </c>
      <c r="J944" s="19">
        <v>5108</v>
      </c>
      <c r="K944" s="19">
        <v>4086</v>
      </c>
      <c r="L944" s="20">
        <v>0.2</v>
      </c>
      <c r="M944" s="19">
        <v>3451</v>
      </c>
      <c r="N944" s="19">
        <f>(tbl_raw[[#This Row],[Selling_Price]]-tbl_raw[[#This Row],[Cost_Price]])*tbl_raw[[#This Row],[Units_Sold]]</f>
        <v>10795</v>
      </c>
      <c r="O944" s="20">
        <f>IFERROR((tbl_raw[[#This Row],[Selling_Price]]-tbl_raw[[#This Row],[Cost_Price]]) / tbl_raw[[#This Row],[Selling_Price]],0)</f>
        <v>0.15540871267743514</v>
      </c>
      <c r="P944" s="19">
        <v>46</v>
      </c>
      <c r="Q944" s="19">
        <f>tbl_raw[[#This Row],[Gross_Profit]]-(tbl_raw[[#This Row],[Shipping_Cost]]*tbl_raw[[#This Row],[Units_Sold]])</f>
        <v>10013</v>
      </c>
      <c r="R944" s="20">
        <f>IFERROR(tbl_raw[[#This Row],[Net_Profit]]/(tbl_raw[[#This Row],[Selling_Price]]*tbl_raw[[#This Row],[Units_Sold]]),0)</f>
        <v>0.14415075868820362</v>
      </c>
      <c r="S944" s="18" t="s">
        <v>107</v>
      </c>
      <c r="T944" s="18" t="s">
        <v>32</v>
      </c>
      <c r="U944" s="18">
        <f>IF(tbl_raw[[#This Row],[Order_Status]]="Returned",1,0)</f>
        <v>0</v>
      </c>
      <c r="V944" s="18">
        <f>IF(tbl_raw[[#This Row],[Payment_Method]]="COD",1,0)</f>
        <v>0</v>
      </c>
      <c r="W944" s="21">
        <f>MIN(1,(tbl_raw[[#This Row],[Discount_Pct]]*1.4)+(tbl_raw[[#This Row],[COD_Flag]]*0.35))</f>
        <v>0.27999999999999997</v>
      </c>
    </row>
    <row r="945" spans="1:23" ht="22.8" x14ac:dyDescent="0.3">
      <c r="A945" s="22" t="s">
        <v>2297</v>
      </c>
      <c r="B945" s="23" t="s">
        <v>1539</v>
      </c>
      <c r="C945" s="23" t="s">
        <v>72</v>
      </c>
      <c r="D945" s="23" t="s">
        <v>164</v>
      </c>
      <c r="E945" s="23" t="s">
        <v>413</v>
      </c>
      <c r="F945" s="23" t="s">
        <v>2298</v>
      </c>
      <c r="G945" s="23" t="s">
        <v>56</v>
      </c>
      <c r="H945" s="23" t="s">
        <v>57</v>
      </c>
      <c r="I945" s="23">
        <v>5</v>
      </c>
      <c r="J945" s="24">
        <v>7321</v>
      </c>
      <c r="K945" s="24">
        <v>4685</v>
      </c>
      <c r="L945" s="25">
        <v>0.36</v>
      </c>
      <c r="M945" s="24">
        <v>3467</v>
      </c>
      <c r="N945" s="24">
        <f>(tbl_raw[[#This Row],[Selling_Price]]-tbl_raw[[#This Row],[Cost_Price]])*tbl_raw[[#This Row],[Units_Sold]]</f>
        <v>6090</v>
      </c>
      <c r="O945" s="25">
        <f>IFERROR((tbl_raw[[#This Row],[Selling_Price]]-tbl_raw[[#This Row],[Cost_Price]]) / tbl_raw[[#This Row],[Selling_Price]],0)</f>
        <v>0.25997865528281749</v>
      </c>
      <c r="P945" s="24">
        <v>45</v>
      </c>
      <c r="Q945" s="24">
        <f>tbl_raw[[#This Row],[Gross_Profit]]-(tbl_raw[[#This Row],[Shipping_Cost]]*tbl_raw[[#This Row],[Units_Sold]])</f>
        <v>5865</v>
      </c>
      <c r="R945" s="25">
        <f>IFERROR(tbl_raw[[#This Row],[Net_Profit]]/(tbl_raw[[#This Row],[Selling_Price]]*tbl_raw[[#This Row],[Units_Sold]]),0)</f>
        <v>0.25037353255069372</v>
      </c>
      <c r="S945" s="23" t="s">
        <v>58</v>
      </c>
      <c r="T945" s="23" t="s">
        <v>32</v>
      </c>
      <c r="U945" s="23">
        <f>IF(tbl_raw[[#This Row],[Order_Status]]="Returned",1,0)</f>
        <v>0</v>
      </c>
      <c r="V945" s="23">
        <f>IF(tbl_raw[[#This Row],[Payment_Method]]="COD",1,0)</f>
        <v>0</v>
      </c>
      <c r="W945" s="26">
        <f>MIN(1,(tbl_raw[[#This Row],[Discount_Pct]]*1.4)+(tbl_raw[[#This Row],[COD_Flag]]*0.35))</f>
        <v>0.504</v>
      </c>
    </row>
    <row r="946" spans="1:23" ht="22.8" x14ac:dyDescent="0.3">
      <c r="A946" s="17" t="s">
        <v>2299</v>
      </c>
      <c r="B946" s="18" t="s">
        <v>681</v>
      </c>
      <c r="C946" s="18" t="s">
        <v>35</v>
      </c>
      <c r="D946" s="18" t="s">
        <v>53</v>
      </c>
      <c r="E946" s="18" t="s">
        <v>160</v>
      </c>
      <c r="F946" s="18" t="s">
        <v>2300</v>
      </c>
      <c r="G946" s="18" t="s">
        <v>75</v>
      </c>
      <c r="H946" s="18" t="s">
        <v>48</v>
      </c>
      <c r="I946" s="18">
        <v>11</v>
      </c>
      <c r="J946" s="19">
        <v>6342</v>
      </c>
      <c r="K946" s="19">
        <v>4376</v>
      </c>
      <c r="L946" s="20">
        <v>0.31</v>
      </c>
      <c r="M946" s="19">
        <v>3798</v>
      </c>
      <c r="N946" s="19">
        <f>(tbl_raw[[#This Row],[Selling_Price]]-tbl_raw[[#This Row],[Cost_Price]])*tbl_raw[[#This Row],[Units_Sold]]</f>
        <v>6358</v>
      </c>
      <c r="O946" s="20">
        <f>IFERROR((tbl_raw[[#This Row],[Selling_Price]]-tbl_raw[[#This Row],[Cost_Price]]) / tbl_raw[[#This Row],[Selling_Price]],0)</f>
        <v>0.13208409506398539</v>
      </c>
      <c r="P946" s="19">
        <v>119</v>
      </c>
      <c r="Q946" s="19">
        <f>tbl_raw[[#This Row],[Gross_Profit]]-(tbl_raw[[#This Row],[Shipping_Cost]]*tbl_raw[[#This Row],[Units_Sold]])</f>
        <v>5049</v>
      </c>
      <c r="R946" s="20">
        <f>IFERROR(tbl_raw[[#This Row],[Net_Profit]]/(tbl_raw[[#This Row],[Selling_Price]]*tbl_raw[[#This Row],[Units_Sold]]),0)</f>
        <v>0.10489031078610603</v>
      </c>
      <c r="S946" s="18" t="s">
        <v>40</v>
      </c>
      <c r="T946" s="18" t="s">
        <v>32</v>
      </c>
      <c r="U946" s="18">
        <f>IF(tbl_raw[[#This Row],[Order_Status]]="Returned",1,0)</f>
        <v>0</v>
      </c>
      <c r="V946" s="18">
        <f>IF(tbl_raw[[#This Row],[Payment_Method]]="COD",1,0)</f>
        <v>1</v>
      </c>
      <c r="W946" s="21">
        <f>MIN(1,(tbl_raw[[#This Row],[Discount_Pct]]*1.4)+(tbl_raw[[#This Row],[COD_Flag]]*0.35))</f>
        <v>0.78400000000000003</v>
      </c>
    </row>
    <row r="947" spans="1:23" ht="22.8" x14ac:dyDescent="0.3">
      <c r="A947" s="22" t="s">
        <v>2301</v>
      </c>
      <c r="B947" s="23" t="s">
        <v>1462</v>
      </c>
      <c r="C947" s="23" t="s">
        <v>35</v>
      </c>
      <c r="D947" s="23" t="s">
        <v>44</v>
      </c>
      <c r="E947" s="23" t="s">
        <v>279</v>
      </c>
      <c r="F947" s="23" t="s">
        <v>2302</v>
      </c>
      <c r="G947" s="23" t="s">
        <v>81</v>
      </c>
      <c r="H947" s="23" t="s">
        <v>30</v>
      </c>
      <c r="I947" s="23">
        <v>19</v>
      </c>
      <c r="J947" s="24">
        <v>5144</v>
      </c>
      <c r="K947" s="24">
        <v>4064</v>
      </c>
      <c r="L947" s="25">
        <v>0.21</v>
      </c>
      <c r="M947" s="24">
        <v>2850</v>
      </c>
      <c r="N947" s="24">
        <f>(tbl_raw[[#This Row],[Selling_Price]]-tbl_raw[[#This Row],[Cost_Price]])*tbl_raw[[#This Row],[Units_Sold]]</f>
        <v>23066</v>
      </c>
      <c r="O947" s="25">
        <f>IFERROR((tbl_raw[[#This Row],[Selling_Price]]-tbl_raw[[#This Row],[Cost_Price]]) / tbl_raw[[#This Row],[Selling_Price]],0)</f>
        <v>0.29872047244094491</v>
      </c>
      <c r="P947" s="24">
        <v>74</v>
      </c>
      <c r="Q947" s="24">
        <f>tbl_raw[[#This Row],[Gross_Profit]]-(tbl_raw[[#This Row],[Shipping_Cost]]*tbl_raw[[#This Row],[Units_Sold]])</f>
        <v>21660</v>
      </c>
      <c r="R947" s="25">
        <f>IFERROR(tbl_raw[[#This Row],[Net_Profit]]/(tbl_raw[[#This Row],[Selling_Price]]*tbl_raw[[#This Row],[Units_Sold]]),0)</f>
        <v>0.28051181102362205</v>
      </c>
      <c r="S947" s="23" t="s">
        <v>40</v>
      </c>
      <c r="T947" s="23" t="s">
        <v>32</v>
      </c>
      <c r="U947" s="23">
        <f>IF(tbl_raw[[#This Row],[Order_Status]]="Returned",1,0)</f>
        <v>0</v>
      </c>
      <c r="V947" s="23">
        <f>IF(tbl_raw[[#This Row],[Payment_Method]]="COD",1,0)</f>
        <v>1</v>
      </c>
      <c r="W947" s="26">
        <f>MIN(1,(tbl_raw[[#This Row],[Discount_Pct]]*1.4)+(tbl_raw[[#This Row],[COD_Flag]]*0.35))</f>
        <v>0.64399999999999991</v>
      </c>
    </row>
    <row r="948" spans="1:23" ht="22.8" x14ac:dyDescent="0.3">
      <c r="A948" s="17" t="s">
        <v>2303</v>
      </c>
      <c r="B948" s="18" t="s">
        <v>61</v>
      </c>
      <c r="C948" s="18" t="s">
        <v>52</v>
      </c>
      <c r="D948" s="18" t="s">
        <v>94</v>
      </c>
      <c r="E948" s="18" t="s">
        <v>207</v>
      </c>
      <c r="F948" s="18" t="s">
        <v>2304</v>
      </c>
      <c r="G948" s="18" t="s">
        <v>29</v>
      </c>
      <c r="H948" s="18" t="s">
        <v>30</v>
      </c>
      <c r="I948" s="18">
        <v>19</v>
      </c>
      <c r="J948" s="19">
        <v>2563</v>
      </c>
      <c r="K948" s="19">
        <v>1897</v>
      </c>
      <c r="L948" s="20">
        <v>0.26</v>
      </c>
      <c r="M948" s="19">
        <v>1258</v>
      </c>
      <c r="N948" s="19">
        <f>(tbl_raw[[#This Row],[Selling_Price]]-tbl_raw[[#This Row],[Cost_Price]])*tbl_raw[[#This Row],[Units_Sold]]</f>
        <v>12141</v>
      </c>
      <c r="O948" s="20">
        <f>IFERROR((tbl_raw[[#This Row],[Selling_Price]]-tbl_raw[[#This Row],[Cost_Price]]) / tbl_raw[[#This Row],[Selling_Price]],0)</f>
        <v>0.33684765419082763</v>
      </c>
      <c r="P948" s="19">
        <v>138</v>
      </c>
      <c r="Q948" s="19">
        <f>tbl_raw[[#This Row],[Gross_Profit]]-(tbl_raw[[#This Row],[Shipping_Cost]]*tbl_raw[[#This Row],[Units_Sold]])</f>
        <v>9519</v>
      </c>
      <c r="R948" s="20">
        <f>IFERROR(tbl_raw[[#This Row],[Net_Profit]]/(tbl_raw[[#This Row],[Selling_Price]]*tbl_raw[[#This Row],[Units_Sold]]),0)</f>
        <v>0.26410121244069584</v>
      </c>
      <c r="S948" s="18" t="s">
        <v>65</v>
      </c>
      <c r="T948" s="18" t="s">
        <v>32</v>
      </c>
      <c r="U948" s="18">
        <f>IF(tbl_raw[[#This Row],[Order_Status]]="Returned",1,0)</f>
        <v>0</v>
      </c>
      <c r="V948" s="18">
        <f>IF(tbl_raw[[#This Row],[Payment_Method]]="COD",1,0)</f>
        <v>0</v>
      </c>
      <c r="W948" s="21">
        <f>MIN(1,(tbl_raw[[#This Row],[Discount_Pct]]*1.4)+(tbl_raw[[#This Row],[COD_Flag]]*0.35))</f>
        <v>0.36399999999999999</v>
      </c>
    </row>
    <row r="949" spans="1:23" ht="22.8" x14ac:dyDescent="0.3">
      <c r="A949" s="22" t="s">
        <v>2305</v>
      </c>
      <c r="B949" s="23" t="s">
        <v>646</v>
      </c>
      <c r="C949" s="23" t="s">
        <v>43</v>
      </c>
      <c r="D949" s="23" t="s">
        <v>164</v>
      </c>
      <c r="E949" s="23" t="s">
        <v>345</v>
      </c>
      <c r="F949" s="23" t="s">
        <v>2306</v>
      </c>
      <c r="G949" s="23" t="s">
        <v>38</v>
      </c>
      <c r="H949" s="23" t="s">
        <v>39</v>
      </c>
      <c r="I949" s="23">
        <v>11</v>
      </c>
      <c r="J949" s="24">
        <v>4282</v>
      </c>
      <c r="K949" s="24">
        <v>3554</v>
      </c>
      <c r="L949" s="25">
        <v>0.17</v>
      </c>
      <c r="M949" s="24">
        <v>3101</v>
      </c>
      <c r="N949" s="24">
        <f>(tbl_raw[[#This Row],[Selling_Price]]-tbl_raw[[#This Row],[Cost_Price]])*tbl_raw[[#This Row],[Units_Sold]]</f>
        <v>4983</v>
      </c>
      <c r="O949" s="25">
        <f>IFERROR((tbl_raw[[#This Row],[Selling_Price]]-tbl_raw[[#This Row],[Cost_Price]]) / tbl_raw[[#This Row],[Selling_Price]],0)</f>
        <v>0.12746201463140125</v>
      </c>
      <c r="P949" s="24">
        <v>127</v>
      </c>
      <c r="Q949" s="24">
        <f>tbl_raw[[#This Row],[Gross_Profit]]-(tbl_raw[[#This Row],[Shipping_Cost]]*tbl_raw[[#This Row],[Units_Sold]])</f>
        <v>3586</v>
      </c>
      <c r="R949" s="25">
        <f>IFERROR(tbl_raw[[#This Row],[Net_Profit]]/(tbl_raw[[#This Row],[Selling_Price]]*tbl_raw[[#This Row],[Units_Sold]]),0)</f>
        <v>9.1727630838491836E-2</v>
      </c>
      <c r="S949" s="23" t="s">
        <v>65</v>
      </c>
      <c r="T949" s="23" t="s">
        <v>32</v>
      </c>
      <c r="U949" s="23">
        <f>IF(tbl_raw[[#This Row],[Order_Status]]="Returned",1,0)</f>
        <v>0</v>
      </c>
      <c r="V949" s="23">
        <f>IF(tbl_raw[[#This Row],[Payment_Method]]="COD",1,0)</f>
        <v>0</v>
      </c>
      <c r="W949" s="26">
        <f>MIN(1,(tbl_raw[[#This Row],[Discount_Pct]]*1.4)+(tbl_raw[[#This Row],[COD_Flag]]*0.35))</f>
        <v>0.23799999999999999</v>
      </c>
    </row>
    <row r="950" spans="1:23" ht="22.8" x14ac:dyDescent="0.3">
      <c r="A950" s="17" t="s">
        <v>2307</v>
      </c>
      <c r="B950" s="18" t="s">
        <v>387</v>
      </c>
      <c r="C950" s="18" t="s">
        <v>52</v>
      </c>
      <c r="D950" s="18" t="s">
        <v>175</v>
      </c>
      <c r="E950" s="18" t="s">
        <v>190</v>
      </c>
      <c r="F950" s="18" t="s">
        <v>2308</v>
      </c>
      <c r="G950" s="18" t="s">
        <v>143</v>
      </c>
      <c r="H950" s="18" t="s">
        <v>30</v>
      </c>
      <c r="I950" s="18">
        <v>7</v>
      </c>
      <c r="J950" s="19">
        <v>1950</v>
      </c>
      <c r="K950" s="19">
        <v>1696</v>
      </c>
      <c r="L950" s="20">
        <v>0.13</v>
      </c>
      <c r="M950" s="19">
        <v>1311</v>
      </c>
      <c r="N950" s="19">
        <f>(tbl_raw[[#This Row],[Selling_Price]]-tbl_raw[[#This Row],[Cost_Price]])*tbl_raw[[#This Row],[Units_Sold]]</f>
        <v>2695</v>
      </c>
      <c r="O950" s="20">
        <f>IFERROR((tbl_raw[[#This Row],[Selling_Price]]-tbl_raw[[#This Row],[Cost_Price]]) / tbl_raw[[#This Row],[Selling_Price]],0)</f>
        <v>0.22700471698113209</v>
      </c>
      <c r="P950" s="19">
        <v>148</v>
      </c>
      <c r="Q950" s="19">
        <f>tbl_raw[[#This Row],[Gross_Profit]]-(tbl_raw[[#This Row],[Shipping_Cost]]*tbl_raw[[#This Row],[Units_Sold]])</f>
        <v>1659</v>
      </c>
      <c r="R950" s="20">
        <f>IFERROR(tbl_raw[[#This Row],[Net_Profit]]/(tbl_raw[[#This Row],[Selling_Price]]*tbl_raw[[#This Row],[Units_Sold]]),0)</f>
        <v>0.13974056603773585</v>
      </c>
      <c r="S950" s="18" t="s">
        <v>40</v>
      </c>
      <c r="T950" s="18" t="s">
        <v>32</v>
      </c>
      <c r="U950" s="18">
        <f>IF(tbl_raw[[#This Row],[Order_Status]]="Returned",1,0)</f>
        <v>0</v>
      </c>
      <c r="V950" s="18">
        <f>IF(tbl_raw[[#This Row],[Payment_Method]]="COD",1,0)</f>
        <v>1</v>
      </c>
      <c r="W950" s="21">
        <f>MIN(1,(tbl_raw[[#This Row],[Discount_Pct]]*1.4)+(tbl_raw[[#This Row],[COD_Flag]]*0.35))</f>
        <v>0.53200000000000003</v>
      </c>
    </row>
    <row r="951" spans="1:23" ht="22.8" x14ac:dyDescent="0.3">
      <c r="A951" s="22" t="s">
        <v>2309</v>
      </c>
      <c r="B951" s="23" t="s">
        <v>819</v>
      </c>
      <c r="C951" s="23" t="s">
        <v>25</v>
      </c>
      <c r="D951" s="23" t="s">
        <v>94</v>
      </c>
      <c r="E951" s="23" t="s">
        <v>95</v>
      </c>
      <c r="F951" s="23" t="s">
        <v>2310</v>
      </c>
      <c r="G951" s="23" t="s">
        <v>139</v>
      </c>
      <c r="H951" s="23" t="s">
        <v>48</v>
      </c>
      <c r="I951" s="23">
        <v>13</v>
      </c>
      <c r="J951" s="24">
        <v>5086</v>
      </c>
      <c r="K951" s="24">
        <v>2899</v>
      </c>
      <c r="L951" s="25">
        <v>0.43</v>
      </c>
      <c r="M951" s="24">
        <v>2938</v>
      </c>
      <c r="N951" s="24">
        <f>(tbl_raw[[#This Row],[Selling_Price]]-tbl_raw[[#This Row],[Cost_Price]])*tbl_raw[[#This Row],[Units_Sold]]</f>
        <v>-507</v>
      </c>
      <c r="O951" s="25">
        <f>IFERROR((tbl_raw[[#This Row],[Selling_Price]]-tbl_raw[[#This Row],[Cost_Price]]) / tbl_raw[[#This Row],[Selling_Price]],0)</f>
        <v>-1.3452914798206279E-2</v>
      </c>
      <c r="P951" s="24">
        <v>71</v>
      </c>
      <c r="Q951" s="24">
        <f>tbl_raw[[#This Row],[Gross_Profit]]-(tbl_raw[[#This Row],[Shipping_Cost]]*tbl_raw[[#This Row],[Units_Sold]])</f>
        <v>-1430</v>
      </c>
      <c r="R951" s="25">
        <f>IFERROR(tbl_raw[[#This Row],[Net_Profit]]/(tbl_raw[[#This Row],[Selling_Price]]*tbl_raw[[#This Row],[Units_Sold]]),0)</f>
        <v>-3.7944118661607448E-2</v>
      </c>
      <c r="S951" s="23" t="s">
        <v>65</v>
      </c>
      <c r="T951" s="23" t="s">
        <v>32</v>
      </c>
      <c r="U951" s="23">
        <f>IF(tbl_raw[[#This Row],[Order_Status]]="Returned",1,0)</f>
        <v>0</v>
      </c>
      <c r="V951" s="23">
        <f>IF(tbl_raw[[#This Row],[Payment_Method]]="COD",1,0)</f>
        <v>0</v>
      </c>
      <c r="W951" s="26">
        <f>MIN(1,(tbl_raw[[#This Row],[Discount_Pct]]*1.4)+(tbl_raw[[#This Row],[COD_Flag]]*0.35))</f>
        <v>0.60199999999999998</v>
      </c>
    </row>
    <row r="952" spans="1:23" ht="22.8" x14ac:dyDescent="0.3">
      <c r="A952" s="17" t="s">
        <v>2311</v>
      </c>
      <c r="B952" s="18" t="s">
        <v>452</v>
      </c>
      <c r="C952" s="18" t="s">
        <v>72</v>
      </c>
      <c r="D952" s="18" t="s">
        <v>26</v>
      </c>
      <c r="E952" s="18" t="s">
        <v>168</v>
      </c>
      <c r="F952" s="18" t="s">
        <v>2312</v>
      </c>
      <c r="G952" s="18" t="s">
        <v>38</v>
      </c>
      <c r="H952" s="18" t="s">
        <v>39</v>
      </c>
      <c r="I952" s="18">
        <v>8</v>
      </c>
      <c r="J952" s="19">
        <v>2109</v>
      </c>
      <c r="K952" s="19">
        <v>1350</v>
      </c>
      <c r="L952" s="20">
        <v>0.36</v>
      </c>
      <c r="M952" s="19">
        <v>978</v>
      </c>
      <c r="N952" s="19">
        <f>(tbl_raw[[#This Row],[Selling_Price]]-tbl_raw[[#This Row],[Cost_Price]])*tbl_raw[[#This Row],[Units_Sold]]</f>
        <v>2976</v>
      </c>
      <c r="O952" s="20">
        <f>IFERROR((tbl_raw[[#This Row],[Selling_Price]]-tbl_raw[[#This Row],[Cost_Price]]) / tbl_raw[[#This Row],[Selling_Price]],0)</f>
        <v>0.27555555555555555</v>
      </c>
      <c r="P952" s="19">
        <v>170</v>
      </c>
      <c r="Q952" s="19">
        <f>tbl_raw[[#This Row],[Gross_Profit]]-(tbl_raw[[#This Row],[Shipping_Cost]]*tbl_raw[[#This Row],[Units_Sold]])</f>
        <v>1616</v>
      </c>
      <c r="R952" s="20">
        <f>IFERROR(tbl_raw[[#This Row],[Net_Profit]]/(tbl_raw[[#This Row],[Selling_Price]]*tbl_raw[[#This Row],[Units_Sold]]),0)</f>
        <v>0.14962962962962964</v>
      </c>
      <c r="S952" s="18" t="s">
        <v>40</v>
      </c>
      <c r="T952" s="18" t="s">
        <v>86</v>
      </c>
      <c r="U952" s="18">
        <f>IF(tbl_raw[[#This Row],[Order_Status]]="Returned",1,0)</f>
        <v>1</v>
      </c>
      <c r="V952" s="18">
        <f>IF(tbl_raw[[#This Row],[Payment_Method]]="COD",1,0)</f>
        <v>1</v>
      </c>
      <c r="W952" s="21">
        <f>MIN(1,(tbl_raw[[#This Row],[Discount_Pct]]*1.4)+(tbl_raw[[#This Row],[COD_Flag]]*0.35))</f>
        <v>0.85399999999999998</v>
      </c>
    </row>
    <row r="953" spans="1:23" ht="22.8" x14ac:dyDescent="0.3">
      <c r="A953" s="22" t="s">
        <v>2313</v>
      </c>
      <c r="B953" s="23" t="s">
        <v>159</v>
      </c>
      <c r="C953" s="23" t="s">
        <v>43</v>
      </c>
      <c r="D953" s="23" t="s">
        <v>53</v>
      </c>
      <c r="E953" s="23" t="s">
        <v>54</v>
      </c>
      <c r="F953" s="23" t="s">
        <v>2314</v>
      </c>
      <c r="G953" s="23" t="s">
        <v>120</v>
      </c>
      <c r="H953" s="23" t="s">
        <v>39</v>
      </c>
      <c r="I953" s="23">
        <v>7</v>
      </c>
      <c r="J953" s="24">
        <v>5920</v>
      </c>
      <c r="K953" s="24">
        <v>3493</v>
      </c>
      <c r="L953" s="25">
        <v>0.41</v>
      </c>
      <c r="M953" s="24">
        <v>4246</v>
      </c>
      <c r="N953" s="24">
        <f>(tbl_raw[[#This Row],[Selling_Price]]-tbl_raw[[#This Row],[Cost_Price]])*tbl_raw[[#This Row],[Units_Sold]]</f>
        <v>-5271</v>
      </c>
      <c r="O953" s="25">
        <f>IFERROR((tbl_raw[[#This Row],[Selling_Price]]-tbl_raw[[#This Row],[Cost_Price]]) / tbl_raw[[#This Row],[Selling_Price]],0)</f>
        <v>-0.21557400515316347</v>
      </c>
      <c r="P953" s="24">
        <v>50</v>
      </c>
      <c r="Q953" s="24">
        <f>tbl_raw[[#This Row],[Gross_Profit]]-(tbl_raw[[#This Row],[Shipping_Cost]]*tbl_raw[[#This Row],[Units_Sold]])</f>
        <v>-5621</v>
      </c>
      <c r="R953" s="25">
        <f>IFERROR(tbl_raw[[#This Row],[Net_Profit]]/(tbl_raw[[#This Row],[Selling_Price]]*tbl_raw[[#This Row],[Units_Sold]]),0)</f>
        <v>-0.22988834812482106</v>
      </c>
      <c r="S953" s="23" t="s">
        <v>107</v>
      </c>
      <c r="T953" s="23" t="s">
        <v>32</v>
      </c>
      <c r="U953" s="23">
        <f>IF(tbl_raw[[#This Row],[Order_Status]]="Returned",1,0)</f>
        <v>0</v>
      </c>
      <c r="V953" s="23">
        <f>IF(tbl_raw[[#This Row],[Payment_Method]]="COD",1,0)</f>
        <v>0</v>
      </c>
      <c r="W953" s="26">
        <f>MIN(1,(tbl_raw[[#This Row],[Discount_Pct]]*1.4)+(tbl_raw[[#This Row],[COD_Flag]]*0.35))</f>
        <v>0.57399999999999995</v>
      </c>
    </row>
    <row r="954" spans="1:23" ht="22.8" x14ac:dyDescent="0.3">
      <c r="A954" s="17" t="s">
        <v>2315</v>
      </c>
      <c r="B954" s="18" t="s">
        <v>247</v>
      </c>
      <c r="C954" s="18" t="s">
        <v>199</v>
      </c>
      <c r="D954" s="18" t="s">
        <v>62</v>
      </c>
      <c r="E954" s="18" t="s">
        <v>68</v>
      </c>
      <c r="F954" s="18" t="s">
        <v>2316</v>
      </c>
      <c r="G954" s="18" t="s">
        <v>38</v>
      </c>
      <c r="H954" s="18" t="s">
        <v>39</v>
      </c>
      <c r="I954" s="18">
        <v>2</v>
      </c>
      <c r="J954" s="19">
        <v>2687</v>
      </c>
      <c r="K954" s="19">
        <v>1908</v>
      </c>
      <c r="L954" s="20">
        <v>0.28999999999999998</v>
      </c>
      <c r="M954" s="19">
        <v>1260</v>
      </c>
      <c r="N954" s="19">
        <f>(tbl_raw[[#This Row],[Selling_Price]]-tbl_raw[[#This Row],[Cost_Price]])*tbl_raw[[#This Row],[Units_Sold]]</f>
        <v>1296</v>
      </c>
      <c r="O954" s="20">
        <f>IFERROR((tbl_raw[[#This Row],[Selling_Price]]-tbl_raw[[#This Row],[Cost_Price]]) / tbl_raw[[#This Row],[Selling_Price]],0)</f>
        <v>0.33962264150943394</v>
      </c>
      <c r="P954" s="19">
        <v>47</v>
      </c>
      <c r="Q954" s="19">
        <f>tbl_raw[[#This Row],[Gross_Profit]]-(tbl_raw[[#This Row],[Shipping_Cost]]*tbl_raw[[#This Row],[Units_Sold]])</f>
        <v>1202</v>
      </c>
      <c r="R954" s="20">
        <f>IFERROR(tbl_raw[[#This Row],[Net_Profit]]/(tbl_raw[[#This Row],[Selling_Price]]*tbl_raw[[#This Row],[Units_Sold]]),0)</f>
        <v>0.31498951781970652</v>
      </c>
      <c r="S954" s="18" t="s">
        <v>58</v>
      </c>
      <c r="T954" s="18" t="s">
        <v>32</v>
      </c>
      <c r="U954" s="18">
        <f>IF(tbl_raw[[#This Row],[Order_Status]]="Returned",1,0)</f>
        <v>0</v>
      </c>
      <c r="V954" s="18">
        <f>IF(tbl_raw[[#This Row],[Payment_Method]]="COD",1,0)</f>
        <v>0</v>
      </c>
      <c r="W954" s="21">
        <f>MIN(1,(tbl_raw[[#This Row],[Discount_Pct]]*1.4)+(tbl_raw[[#This Row],[COD_Flag]]*0.35))</f>
        <v>0.40599999999999997</v>
      </c>
    </row>
    <row r="955" spans="1:23" ht="22.8" x14ac:dyDescent="0.3">
      <c r="A955" s="22" t="s">
        <v>2317</v>
      </c>
      <c r="B955" s="23" t="s">
        <v>768</v>
      </c>
      <c r="C955" s="23" t="s">
        <v>199</v>
      </c>
      <c r="D955" s="23" t="s">
        <v>62</v>
      </c>
      <c r="E955" s="23" t="s">
        <v>63</v>
      </c>
      <c r="F955" s="23" t="s">
        <v>2318</v>
      </c>
      <c r="G955" s="23" t="s">
        <v>139</v>
      </c>
      <c r="H955" s="23" t="s">
        <v>48</v>
      </c>
      <c r="I955" s="23">
        <v>19</v>
      </c>
      <c r="J955" s="24">
        <v>3552</v>
      </c>
      <c r="K955" s="24">
        <v>2096</v>
      </c>
      <c r="L955" s="25">
        <v>0.41</v>
      </c>
      <c r="M955" s="24">
        <v>2316</v>
      </c>
      <c r="N955" s="24">
        <f>(tbl_raw[[#This Row],[Selling_Price]]-tbl_raw[[#This Row],[Cost_Price]])*tbl_raw[[#This Row],[Units_Sold]]</f>
        <v>-4180</v>
      </c>
      <c r="O955" s="25">
        <f>IFERROR((tbl_raw[[#This Row],[Selling_Price]]-tbl_raw[[#This Row],[Cost_Price]]) / tbl_raw[[#This Row],[Selling_Price]],0)</f>
        <v>-0.1049618320610687</v>
      </c>
      <c r="P955" s="24">
        <v>96</v>
      </c>
      <c r="Q955" s="24">
        <f>tbl_raw[[#This Row],[Gross_Profit]]-(tbl_raw[[#This Row],[Shipping_Cost]]*tbl_raw[[#This Row],[Units_Sold]])</f>
        <v>-6004</v>
      </c>
      <c r="R955" s="25">
        <f>IFERROR(tbl_raw[[#This Row],[Net_Profit]]/(tbl_raw[[#This Row],[Selling_Price]]*tbl_raw[[#This Row],[Units_Sold]]),0)</f>
        <v>-0.15076335877862596</v>
      </c>
      <c r="S955" s="23" t="s">
        <v>40</v>
      </c>
      <c r="T955" s="23" t="s">
        <v>86</v>
      </c>
      <c r="U955" s="23">
        <f>IF(tbl_raw[[#This Row],[Order_Status]]="Returned",1,0)</f>
        <v>1</v>
      </c>
      <c r="V955" s="23">
        <f>IF(tbl_raw[[#This Row],[Payment_Method]]="COD",1,0)</f>
        <v>1</v>
      </c>
      <c r="W955" s="26">
        <f>MIN(1,(tbl_raw[[#This Row],[Discount_Pct]]*1.4)+(tbl_raw[[#This Row],[COD_Flag]]*0.35))</f>
        <v>0.92399999999999993</v>
      </c>
    </row>
    <row r="956" spans="1:23" ht="22.8" x14ac:dyDescent="0.3">
      <c r="A956" s="17" t="s">
        <v>2319</v>
      </c>
      <c r="B956" s="18" t="s">
        <v>494</v>
      </c>
      <c r="C956" s="18" t="s">
        <v>117</v>
      </c>
      <c r="D956" s="18" t="s">
        <v>53</v>
      </c>
      <c r="E956" s="18" t="s">
        <v>90</v>
      </c>
      <c r="F956" s="18" t="s">
        <v>2320</v>
      </c>
      <c r="G956" s="18" t="s">
        <v>143</v>
      </c>
      <c r="H956" s="18" t="s">
        <v>30</v>
      </c>
      <c r="I956" s="18">
        <v>16</v>
      </c>
      <c r="J956" s="19">
        <v>5123</v>
      </c>
      <c r="K956" s="19">
        <v>4355</v>
      </c>
      <c r="L956" s="20">
        <v>0.15</v>
      </c>
      <c r="M956" s="19">
        <v>2916</v>
      </c>
      <c r="N956" s="19">
        <f>(tbl_raw[[#This Row],[Selling_Price]]-tbl_raw[[#This Row],[Cost_Price]])*tbl_raw[[#This Row],[Units_Sold]]</f>
        <v>23024</v>
      </c>
      <c r="O956" s="20">
        <f>IFERROR((tbl_raw[[#This Row],[Selling_Price]]-tbl_raw[[#This Row],[Cost_Price]]) / tbl_raw[[#This Row],[Selling_Price]],0)</f>
        <v>0.33042479908151551</v>
      </c>
      <c r="P956" s="19">
        <v>73</v>
      </c>
      <c r="Q956" s="19">
        <f>tbl_raw[[#This Row],[Gross_Profit]]-(tbl_raw[[#This Row],[Shipping_Cost]]*tbl_raw[[#This Row],[Units_Sold]])</f>
        <v>21856</v>
      </c>
      <c r="R956" s="20">
        <f>IFERROR(tbl_raw[[#This Row],[Net_Profit]]/(tbl_raw[[#This Row],[Selling_Price]]*tbl_raw[[#This Row],[Units_Sold]]),0)</f>
        <v>0.31366245694603906</v>
      </c>
      <c r="S956" s="18" t="s">
        <v>107</v>
      </c>
      <c r="T956" s="18" t="s">
        <v>32</v>
      </c>
      <c r="U956" s="18">
        <f>IF(tbl_raw[[#This Row],[Order_Status]]="Returned",1,0)</f>
        <v>0</v>
      </c>
      <c r="V956" s="18">
        <f>IF(tbl_raw[[#This Row],[Payment_Method]]="COD",1,0)</f>
        <v>0</v>
      </c>
      <c r="W956" s="21">
        <f>MIN(1,(tbl_raw[[#This Row],[Discount_Pct]]*1.4)+(tbl_raw[[#This Row],[COD_Flag]]*0.35))</f>
        <v>0.21</v>
      </c>
    </row>
    <row r="957" spans="1:23" ht="22.8" x14ac:dyDescent="0.3">
      <c r="A957" s="22" t="s">
        <v>2321</v>
      </c>
      <c r="B957" s="23" t="s">
        <v>1866</v>
      </c>
      <c r="C957" s="23" t="s">
        <v>89</v>
      </c>
      <c r="D957" s="23" t="s">
        <v>53</v>
      </c>
      <c r="E957" s="23" t="s">
        <v>90</v>
      </c>
      <c r="F957" s="23" t="s">
        <v>2322</v>
      </c>
      <c r="G957" s="23" t="s">
        <v>81</v>
      </c>
      <c r="H957" s="23" t="s">
        <v>30</v>
      </c>
      <c r="I957" s="23">
        <v>16</v>
      </c>
      <c r="J957" s="24">
        <v>251</v>
      </c>
      <c r="K957" s="24">
        <v>151</v>
      </c>
      <c r="L957" s="25">
        <v>0.4</v>
      </c>
      <c r="M957" s="24">
        <v>145</v>
      </c>
      <c r="N957" s="24">
        <f>(tbl_raw[[#This Row],[Selling_Price]]-tbl_raw[[#This Row],[Cost_Price]])*tbl_raw[[#This Row],[Units_Sold]]</f>
        <v>96</v>
      </c>
      <c r="O957" s="25">
        <f>IFERROR((tbl_raw[[#This Row],[Selling_Price]]-tbl_raw[[#This Row],[Cost_Price]]) / tbl_raw[[#This Row],[Selling_Price]],0)</f>
        <v>3.9735099337748346E-2</v>
      </c>
      <c r="P957" s="24">
        <v>104</v>
      </c>
      <c r="Q957" s="24">
        <f>tbl_raw[[#This Row],[Gross_Profit]]-(tbl_raw[[#This Row],[Shipping_Cost]]*tbl_raw[[#This Row],[Units_Sold]])</f>
        <v>-1568</v>
      </c>
      <c r="R957" s="25">
        <f>IFERROR(tbl_raw[[#This Row],[Net_Profit]]/(tbl_raw[[#This Row],[Selling_Price]]*tbl_raw[[#This Row],[Units_Sold]]),0)</f>
        <v>-0.64900662251655628</v>
      </c>
      <c r="S957" s="23" t="s">
        <v>40</v>
      </c>
      <c r="T957" s="23" t="s">
        <v>32</v>
      </c>
      <c r="U957" s="23">
        <f>IF(tbl_raw[[#This Row],[Order_Status]]="Returned",1,0)</f>
        <v>0</v>
      </c>
      <c r="V957" s="23">
        <f>IF(tbl_raw[[#This Row],[Payment_Method]]="COD",1,0)</f>
        <v>1</v>
      </c>
      <c r="W957" s="26">
        <f>MIN(1,(tbl_raw[[#This Row],[Discount_Pct]]*1.4)+(tbl_raw[[#This Row],[COD_Flag]]*0.35))</f>
        <v>0.90999999999999992</v>
      </c>
    </row>
    <row r="958" spans="1:23" ht="22.8" x14ac:dyDescent="0.3">
      <c r="A958" s="17" t="s">
        <v>2323</v>
      </c>
      <c r="B958" s="18" t="s">
        <v>1411</v>
      </c>
      <c r="C958" s="18" t="s">
        <v>99</v>
      </c>
      <c r="D958" s="18" t="s">
        <v>62</v>
      </c>
      <c r="E958" s="18" t="s">
        <v>63</v>
      </c>
      <c r="F958" s="18" t="s">
        <v>2324</v>
      </c>
      <c r="G958" s="18" t="s">
        <v>38</v>
      </c>
      <c r="H958" s="18" t="s">
        <v>39</v>
      </c>
      <c r="I958" s="18">
        <v>6</v>
      </c>
      <c r="J958" s="19">
        <v>1710</v>
      </c>
      <c r="K958" s="19">
        <v>1624</v>
      </c>
      <c r="L958" s="20">
        <v>0.05</v>
      </c>
      <c r="M958" s="19">
        <v>823</v>
      </c>
      <c r="N958" s="19">
        <f>(tbl_raw[[#This Row],[Selling_Price]]-tbl_raw[[#This Row],[Cost_Price]])*tbl_raw[[#This Row],[Units_Sold]]</f>
        <v>4806</v>
      </c>
      <c r="O958" s="20">
        <f>IFERROR((tbl_raw[[#This Row],[Selling_Price]]-tbl_raw[[#This Row],[Cost_Price]]) / tbl_raw[[#This Row],[Selling_Price]],0)</f>
        <v>0.4932266009852217</v>
      </c>
      <c r="P958" s="19">
        <v>76</v>
      </c>
      <c r="Q958" s="19">
        <f>tbl_raw[[#This Row],[Gross_Profit]]-(tbl_raw[[#This Row],[Shipping_Cost]]*tbl_raw[[#This Row],[Units_Sold]])</f>
        <v>4350</v>
      </c>
      <c r="R958" s="20">
        <f>IFERROR(tbl_raw[[#This Row],[Net_Profit]]/(tbl_raw[[#This Row],[Selling_Price]]*tbl_raw[[#This Row],[Units_Sold]]),0)</f>
        <v>0.44642857142857145</v>
      </c>
      <c r="S958" s="18" t="s">
        <v>107</v>
      </c>
      <c r="T958" s="18" t="s">
        <v>32</v>
      </c>
      <c r="U958" s="18">
        <f>IF(tbl_raw[[#This Row],[Order_Status]]="Returned",1,0)</f>
        <v>0</v>
      </c>
      <c r="V958" s="18">
        <f>IF(tbl_raw[[#This Row],[Payment_Method]]="COD",1,0)</f>
        <v>0</v>
      </c>
      <c r="W958" s="21">
        <f>MIN(1,(tbl_raw[[#This Row],[Discount_Pct]]*1.4)+(tbl_raw[[#This Row],[COD_Flag]]*0.35))</f>
        <v>6.9999999999999993E-2</v>
      </c>
    </row>
    <row r="959" spans="1:23" ht="22.8" x14ac:dyDescent="0.3">
      <c r="A959" s="22" t="s">
        <v>2325</v>
      </c>
      <c r="B959" s="23" t="s">
        <v>606</v>
      </c>
      <c r="C959" s="23" t="s">
        <v>72</v>
      </c>
      <c r="D959" s="23" t="s">
        <v>53</v>
      </c>
      <c r="E959" s="23" t="s">
        <v>54</v>
      </c>
      <c r="F959" s="23" t="s">
        <v>2326</v>
      </c>
      <c r="G959" s="23" t="s">
        <v>102</v>
      </c>
      <c r="H959" s="23" t="s">
        <v>39</v>
      </c>
      <c r="I959" s="23">
        <v>5</v>
      </c>
      <c r="J959" s="24">
        <v>2725</v>
      </c>
      <c r="K959" s="24">
        <v>2480</v>
      </c>
      <c r="L959" s="25">
        <v>0.09</v>
      </c>
      <c r="M959" s="24">
        <v>1468</v>
      </c>
      <c r="N959" s="24">
        <f>(tbl_raw[[#This Row],[Selling_Price]]-tbl_raw[[#This Row],[Cost_Price]])*tbl_raw[[#This Row],[Units_Sold]]</f>
        <v>5060</v>
      </c>
      <c r="O959" s="25">
        <f>IFERROR((tbl_raw[[#This Row],[Selling_Price]]-tbl_raw[[#This Row],[Cost_Price]]) / tbl_raw[[#This Row],[Selling_Price]],0)</f>
        <v>0.40806451612903227</v>
      </c>
      <c r="P959" s="24">
        <v>56</v>
      </c>
      <c r="Q959" s="24">
        <f>tbl_raw[[#This Row],[Gross_Profit]]-(tbl_raw[[#This Row],[Shipping_Cost]]*tbl_raw[[#This Row],[Units_Sold]])</f>
        <v>4780</v>
      </c>
      <c r="R959" s="25">
        <f>IFERROR(tbl_raw[[#This Row],[Net_Profit]]/(tbl_raw[[#This Row],[Selling_Price]]*tbl_raw[[#This Row],[Units_Sold]]),0)</f>
        <v>0.38548387096774195</v>
      </c>
      <c r="S959" s="23" t="s">
        <v>40</v>
      </c>
      <c r="T959" s="23" t="s">
        <v>32</v>
      </c>
      <c r="U959" s="23">
        <f>IF(tbl_raw[[#This Row],[Order_Status]]="Returned",1,0)</f>
        <v>0</v>
      </c>
      <c r="V959" s="23">
        <f>IF(tbl_raw[[#This Row],[Payment_Method]]="COD",1,0)</f>
        <v>1</v>
      </c>
      <c r="W959" s="26">
        <f>MIN(1,(tbl_raw[[#This Row],[Discount_Pct]]*1.4)+(tbl_raw[[#This Row],[COD_Flag]]*0.35))</f>
        <v>0.47599999999999998</v>
      </c>
    </row>
    <row r="960" spans="1:23" ht="22.8" x14ac:dyDescent="0.3">
      <c r="A960" s="17" t="s">
        <v>2327</v>
      </c>
      <c r="B960" s="18" t="s">
        <v>537</v>
      </c>
      <c r="C960" s="18" t="s">
        <v>105</v>
      </c>
      <c r="D960" s="18" t="s">
        <v>78</v>
      </c>
      <c r="E960" s="18" t="s">
        <v>79</v>
      </c>
      <c r="F960" s="18" t="s">
        <v>2328</v>
      </c>
      <c r="G960" s="18" t="s">
        <v>143</v>
      </c>
      <c r="H960" s="18" t="s">
        <v>30</v>
      </c>
      <c r="I960" s="18">
        <v>16</v>
      </c>
      <c r="J960" s="19">
        <v>7488</v>
      </c>
      <c r="K960" s="19">
        <v>4643</v>
      </c>
      <c r="L960" s="20">
        <v>0.38</v>
      </c>
      <c r="M960" s="19">
        <v>3967</v>
      </c>
      <c r="N960" s="19">
        <f>(tbl_raw[[#This Row],[Selling_Price]]-tbl_raw[[#This Row],[Cost_Price]])*tbl_raw[[#This Row],[Units_Sold]]</f>
        <v>10816</v>
      </c>
      <c r="O960" s="20">
        <f>IFERROR((tbl_raw[[#This Row],[Selling_Price]]-tbl_raw[[#This Row],[Cost_Price]]) / tbl_raw[[#This Row],[Selling_Price]],0)</f>
        <v>0.14559552013784191</v>
      </c>
      <c r="P960" s="19">
        <v>76</v>
      </c>
      <c r="Q960" s="19">
        <f>tbl_raw[[#This Row],[Gross_Profit]]-(tbl_raw[[#This Row],[Shipping_Cost]]*tbl_raw[[#This Row],[Units_Sold]])</f>
        <v>9600</v>
      </c>
      <c r="R960" s="20">
        <f>IFERROR(tbl_raw[[#This Row],[Net_Profit]]/(tbl_raw[[#This Row],[Selling_Price]]*tbl_raw[[#This Row],[Units_Sold]]),0)</f>
        <v>0.12922679302175319</v>
      </c>
      <c r="S960" s="18" t="s">
        <v>107</v>
      </c>
      <c r="T960" s="18" t="s">
        <v>32</v>
      </c>
      <c r="U960" s="18">
        <f>IF(tbl_raw[[#This Row],[Order_Status]]="Returned",1,0)</f>
        <v>0</v>
      </c>
      <c r="V960" s="18">
        <f>IF(tbl_raw[[#This Row],[Payment_Method]]="COD",1,0)</f>
        <v>0</v>
      </c>
      <c r="W960" s="21">
        <f>MIN(1,(tbl_raw[[#This Row],[Discount_Pct]]*1.4)+(tbl_raw[[#This Row],[COD_Flag]]*0.35))</f>
        <v>0.53199999999999992</v>
      </c>
    </row>
    <row r="961" spans="1:23" ht="22.8" x14ac:dyDescent="0.3">
      <c r="A961" s="22" t="s">
        <v>2329</v>
      </c>
      <c r="B961" s="23" t="s">
        <v>558</v>
      </c>
      <c r="C961" s="23" t="s">
        <v>99</v>
      </c>
      <c r="D961" s="23" t="s">
        <v>78</v>
      </c>
      <c r="E961" s="23" t="s">
        <v>534</v>
      </c>
      <c r="F961" s="23" t="s">
        <v>2330</v>
      </c>
      <c r="G961" s="23" t="s">
        <v>47</v>
      </c>
      <c r="H961" s="23" t="s">
        <v>48</v>
      </c>
      <c r="I961" s="23">
        <v>2</v>
      </c>
      <c r="J961" s="24">
        <v>7756</v>
      </c>
      <c r="K961" s="24">
        <v>6515</v>
      </c>
      <c r="L961" s="25">
        <v>0.16</v>
      </c>
      <c r="M961" s="24">
        <v>5289</v>
      </c>
      <c r="N961" s="24">
        <f>(tbl_raw[[#This Row],[Selling_Price]]-tbl_raw[[#This Row],[Cost_Price]])*tbl_raw[[#This Row],[Units_Sold]]</f>
        <v>2452</v>
      </c>
      <c r="O961" s="25">
        <f>IFERROR((tbl_raw[[#This Row],[Selling_Price]]-tbl_raw[[#This Row],[Cost_Price]]) / tbl_raw[[#This Row],[Selling_Price]],0)</f>
        <v>0.18818112049117422</v>
      </c>
      <c r="P961" s="24">
        <v>176</v>
      </c>
      <c r="Q961" s="24">
        <f>tbl_raw[[#This Row],[Gross_Profit]]-(tbl_raw[[#This Row],[Shipping_Cost]]*tbl_raw[[#This Row],[Units_Sold]])</f>
        <v>2100</v>
      </c>
      <c r="R961" s="25">
        <f>IFERROR(tbl_raw[[#This Row],[Net_Profit]]/(tbl_raw[[#This Row],[Selling_Price]]*tbl_raw[[#This Row],[Units_Sold]]),0)</f>
        <v>0.16116653875671527</v>
      </c>
      <c r="S961" s="23" t="s">
        <v>107</v>
      </c>
      <c r="T961" s="23" t="s">
        <v>32</v>
      </c>
      <c r="U961" s="23">
        <f>IF(tbl_raw[[#This Row],[Order_Status]]="Returned",1,0)</f>
        <v>0</v>
      </c>
      <c r="V961" s="23">
        <f>IF(tbl_raw[[#This Row],[Payment_Method]]="COD",1,0)</f>
        <v>0</v>
      </c>
      <c r="W961" s="26">
        <f>MIN(1,(tbl_raw[[#This Row],[Discount_Pct]]*1.4)+(tbl_raw[[#This Row],[COD_Flag]]*0.35))</f>
        <v>0.22399999999999998</v>
      </c>
    </row>
    <row r="962" spans="1:23" ht="22.8" x14ac:dyDescent="0.3">
      <c r="A962" s="17" t="s">
        <v>2331</v>
      </c>
      <c r="B962" s="18" t="s">
        <v>935</v>
      </c>
      <c r="C962" s="18" t="s">
        <v>35</v>
      </c>
      <c r="D962" s="18" t="s">
        <v>53</v>
      </c>
      <c r="E962" s="18" t="s">
        <v>160</v>
      </c>
      <c r="F962" s="18" t="s">
        <v>2332</v>
      </c>
      <c r="G962" s="18" t="s">
        <v>56</v>
      </c>
      <c r="H962" s="18" t="s">
        <v>57</v>
      </c>
      <c r="I962" s="18">
        <v>1</v>
      </c>
      <c r="J962" s="19">
        <v>2710</v>
      </c>
      <c r="K962" s="19">
        <v>1734</v>
      </c>
      <c r="L962" s="20">
        <v>0.36</v>
      </c>
      <c r="M962" s="19">
        <v>1393</v>
      </c>
      <c r="N962" s="19">
        <f>(tbl_raw[[#This Row],[Selling_Price]]-tbl_raw[[#This Row],[Cost_Price]])*tbl_raw[[#This Row],[Units_Sold]]</f>
        <v>341</v>
      </c>
      <c r="O962" s="20">
        <f>IFERROR((tbl_raw[[#This Row],[Selling_Price]]-tbl_raw[[#This Row],[Cost_Price]]) / tbl_raw[[#This Row],[Selling_Price]],0)</f>
        <v>0.19665513264129181</v>
      </c>
      <c r="P962" s="19">
        <v>114</v>
      </c>
      <c r="Q962" s="19">
        <f>tbl_raw[[#This Row],[Gross_Profit]]-(tbl_raw[[#This Row],[Shipping_Cost]]*tbl_raw[[#This Row],[Units_Sold]])</f>
        <v>227</v>
      </c>
      <c r="R962" s="20">
        <f>IFERROR(tbl_raw[[#This Row],[Net_Profit]]/(tbl_raw[[#This Row],[Selling_Price]]*tbl_raw[[#This Row],[Units_Sold]]),0)</f>
        <v>0.1309111880046136</v>
      </c>
      <c r="S962" s="18" t="s">
        <v>40</v>
      </c>
      <c r="T962" s="18" t="s">
        <v>86</v>
      </c>
      <c r="U962" s="18">
        <f>IF(tbl_raw[[#This Row],[Order_Status]]="Returned",1,0)</f>
        <v>1</v>
      </c>
      <c r="V962" s="18">
        <f>IF(tbl_raw[[#This Row],[Payment_Method]]="COD",1,0)</f>
        <v>1</v>
      </c>
      <c r="W962" s="21">
        <f>MIN(1,(tbl_raw[[#This Row],[Discount_Pct]]*1.4)+(tbl_raw[[#This Row],[COD_Flag]]*0.35))</f>
        <v>0.85399999999999998</v>
      </c>
    </row>
    <row r="963" spans="1:23" ht="22.8" x14ac:dyDescent="0.3">
      <c r="A963" s="22" t="s">
        <v>2333</v>
      </c>
      <c r="B963" s="23" t="s">
        <v>2334</v>
      </c>
      <c r="C963" s="23" t="s">
        <v>117</v>
      </c>
      <c r="D963" s="23" t="s">
        <v>53</v>
      </c>
      <c r="E963" s="23" t="s">
        <v>149</v>
      </c>
      <c r="F963" s="23" t="s">
        <v>2335</v>
      </c>
      <c r="G963" s="23" t="s">
        <v>29</v>
      </c>
      <c r="H963" s="23" t="s">
        <v>30</v>
      </c>
      <c r="I963" s="23">
        <v>6</v>
      </c>
      <c r="J963" s="24">
        <v>2739</v>
      </c>
      <c r="K963" s="24">
        <v>2136</v>
      </c>
      <c r="L963" s="25">
        <v>0.22</v>
      </c>
      <c r="M963" s="24">
        <v>1787</v>
      </c>
      <c r="N963" s="24">
        <f>(tbl_raw[[#This Row],[Selling_Price]]-tbl_raw[[#This Row],[Cost_Price]])*tbl_raw[[#This Row],[Units_Sold]]</f>
        <v>2094</v>
      </c>
      <c r="O963" s="25">
        <f>IFERROR((tbl_raw[[#This Row],[Selling_Price]]-tbl_raw[[#This Row],[Cost_Price]]) / tbl_raw[[#This Row],[Selling_Price]],0)</f>
        <v>0.16338951310861424</v>
      </c>
      <c r="P963" s="24">
        <v>100</v>
      </c>
      <c r="Q963" s="24">
        <f>tbl_raw[[#This Row],[Gross_Profit]]-(tbl_raw[[#This Row],[Shipping_Cost]]*tbl_raw[[#This Row],[Units_Sold]])</f>
        <v>1494</v>
      </c>
      <c r="R963" s="25">
        <f>IFERROR(tbl_raw[[#This Row],[Net_Profit]]/(tbl_raw[[#This Row],[Selling_Price]]*tbl_raw[[#This Row],[Units_Sold]]),0)</f>
        <v>0.11657303370786516</v>
      </c>
      <c r="S963" s="23" t="s">
        <v>58</v>
      </c>
      <c r="T963" s="23" t="s">
        <v>32</v>
      </c>
      <c r="U963" s="23">
        <f>IF(tbl_raw[[#This Row],[Order_Status]]="Returned",1,0)</f>
        <v>0</v>
      </c>
      <c r="V963" s="23">
        <f>IF(tbl_raw[[#This Row],[Payment_Method]]="COD",1,0)</f>
        <v>0</v>
      </c>
      <c r="W963" s="26">
        <f>MIN(1,(tbl_raw[[#This Row],[Discount_Pct]]*1.4)+(tbl_raw[[#This Row],[COD_Flag]]*0.35))</f>
        <v>0.308</v>
      </c>
    </row>
    <row r="964" spans="1:23" ht="22.8" x14ac:dyDescent="0.3">
      <c r="A964" s="17" t="s">
        <v>2336</v>
      </c>
      <c r="B964" s="18" t="s">
        <v>527</v>
      </c>
      <c r="C964" s="18" t="s">
        <v>156</v>
      </c>
      <c r="D964" s="18" t="s">
        <v>94</v>
      </c>
      <c r="E964" s="18" t="s">
        <v>180</v>
      </c>
      <c r="F964" s="18" t="s">
        <v>2337</v>
      </c>
      <c r="G964" s="18" t="s">
        <v>102</v>
      </c>
      <c r="H964" s="18" t="s">
        <v>39</v>
      </c>
      <c r="I964" s="18">
        <v>13</v>
      </c>
      <c r="J964" s="19">
        <v>663</v>
      </c>
      <c r="K964" s="19">
        <v>643</v>
      </c>
      <c r="L964" s="20">
        <v>0.03</v>
      </c>
      <c r="M964" s="19">
        <v>345</v>
      </c>
      <c r="N964" s="19">
        <f>(tbl_raw[[#This Row],[Selling_Price]]-tbl_raw[[#This Row],[Cost_Price]])*tbl_raw[[#This Row],[Units_Sold]]</f>
        <v>3874</v>
      </c>
      <c r="O964" s="20">
        <f>IFERROR((tbl_raw[[#This Row],[Selling_Price]]-tbl_raw[[#This Row],[Cost_Price]]) / tbl_raw[[#This Row],[Selling_Price]],0)</f>
        <v>0.46345256609642299</v>
      </c>
      <c r="P964" s="19">
        <v>111</v>
      </c>
      <c r="Q964" s="19">
        <f>tbl_raw[[#This Row],[Gross_Profit]]-(tbl_raw[[#This Row],[Shipping_Cost]]*tbl_raw[[#This Row],[Units_Sold]])</f>
        <v>2431</v>
      </c>
      <c r="R964" s="20">
        <f>IFERROR(tbl_raw[[#This Row],[Net_Profit]]/(tbl_raw[[#This Row],[Selling_Price]]*tbl_raw[[#This Row],[Units_Sold]]),0)</f>
        <v>0.29082426127527217</v>
      </c>
      <c r="S964" s="18" t="s">
        <v>31</v>
      </c>
      <c r="T964" s="18" t="s">
        <v>32</v>
      </c>
      <c r="U964" s="18">
        <f>IF(tbl_raw[[#This Row],[Order_Status]]="Returned",1,0)</f>
        <v>0</v>
      </c>
      <c r="V964" s="18">
        <f>IF(tbl_raw[[#This Row],[Payment_Method]]="COD",1,0)</f>
        <v>0</v>
      </c>
      <c r="W964" s="21">
        <f>MIN(1,(tbl_raw[[#This Row],[Discount_Pct]]*1.4)+(tbl_raw[[#This Row],[COD_Flag]]*0.35))</f>
        <v>4.1999999999999996E-2</v>
      </c>
    </row>
    <row r="965" spans="1:23" ht="22.8" x14ac:dyDescent="0.3">
      <c r="A965" s="22" t="s">
        <v>2338</v>
      </c>
      <c r="B965" s="23" t="s">
        <v>1140</v>
      </c>
      <c r="C965" s="23" t="s">
        <v>43</v>
      </c>
      <c r="D965" s="23" t="s">
        <v>175</v>
      </c>
      <c r="E965" s="23" t="s">
        <v>190</v>
      </c>
      <c r="F965" s="23" t="s">
        <v>2339</v>
      </c>
      <c r="G965" s="23" t="s">
        <v>47</v>
      </c>
      <c r="H965" s="23" t="s">
        <v>48</v>
      </c>
      <c r="I965" s="23">
        <v>5</v>
      </c>
      <c r="J965" s="24">
        <v>7017</v>
      </c>
      <c r="K965" s="24">
        <v>5122</v>
      </c>
      <c r="L965" s="25">
        <v>0.27</v>
      </c>
      <c r="M965" s="24">
        <v>4217</v>
      </c>
      <c r="N965" s="24">
        <f>(tbl_raw[[#This Row],[Selling_Price]]-tbl_raw[[#This Row],[Cost_Price]])*tbl_raw[[#This Row],[Units_Sold]]</f>
        <v>4525</v>
      </c>
      <c r="O965" s="25">
        <f>IFERROR((tbl_raw[[#This Row],[Selling_Price]]-tbl_raw[[#This Row],[Cost_Price]]) / tbl_raw[[#This Row],[Selling_Price]],0)</f>
        <v>0.17668879344006247</v>
      </c>
      <c r="P965" s="24">
        <v>114</v>
      </c>
      <c r="Q965" s="24">
        <f>tbl_raw[[#This Row],[Gross_Profit]]-(tbl_raw[[#This Row],[Shipping_Cost]]*tbl_raw[[#This Row],[Units_Sold]])</f>
        <v>3955</v>
      </c>
      <c r="R965" s="25">
        <f>IFERROR(tbl_raw[[#This Row],[Net_Profit]]/(tbl_raw[[#This Row],[Selling_Price]]*tbl_raw[[#This Row],[Units_Sold]]),0)</f>
        <v>0.15443186255368996</v>
      </c>
      <c r="S965" s="23" t="s">
        <v>31</v>
      </c>
      <c r="T965" s="23" t="s">
        <v>32</v>
      </c>
      <c r="U965" s="23">
        <f>IF(tbl_raw[[#This Row],[Order_Status]]="Returned",1,0)</f>
        <v>0</v>
      </c>
      <c r="V965" s="23">
        <f>IF(tbl_raw[[#This Row],[Payment_Method]]="COD",1,0)</f>
        <v>0</v>
      </c>
      <c r="W965" s="26">
        <f>MIN(1,(tbl_raw[[#This Row],[Discount_Pct]]*1.4)+(tbl_raw[[#This Row],[COD_Flag]]*0.35))</f>
        <v>0.378</v>
      </c>
    </row>
    <row r="966" spans="1:23" ht="22.8" x14ac:dyDescent="0.3">
      <c r="A966" s="17" t="s">
        <v>2340</v>
      </c>
      <c r="B966" s="18" t="s">
        <v>202</v>
      </c>
      <c r="C966" s="18" t="s">
        <v>25</v>
      </c>
      <c r="D966" s="18" t="s">
        <v>53</v>
      </c>
      <c r="E966" s="18" t="s">
        <v>149</v>
      </c>
      <c r="F966" s="18" t="s">
        <v>2341</v>
      </c>
      <c r="G966" s="18" t="s">
        <v>120</v>
      </c>
      <c r="H966" s="18" t="s">
        <v>39</v>
      </c>
      <c r="I966" s="18">
        <v>11</v>
      </c>
      <c r="J966" s="19">
        <v>7666</v>
      </c>
      <c r="K966" s="19">
        <v>6439</v>
      </c>
      <c r="L966" s="20">
        <v>0.16</v>
      </c>
      <c r="M966" s="19">
        <v>5140</v>
      </c>
      <c r="N966" s="19">
        <f>(tbl_raw[[#This Row],[Selling_Price]]-tbl_raw[[#This Row],[Cost_Price]])*tbl_raw[[#This Row],[Units_Sold]]</f>
        <v>14289</v>
      </c>
      <c r="O966" s="20">
        <f>IFERROR((tbl_raw[[#This Row],[Selling_Price]]-tbl_raw[[#This Row],[Cost_Price]]) / tbl_raw[[#This Row],[Selling_Price]],0)</f>
        <v>0.2017394005280323</v>
      </c>
      <c r="P966" s="19">
        <v>142</v>
      </c>
      <c r="Q966" s="19">
        <f>tbl_raw[[#This Row],[Gross_Profit]]-(tbl_raw[[#This Row],[Shipping_Cost]]*tbl_raw[[#This Row],[Units_Sold]])</f>
        <v>12727</v>
      </c>
      <c r="R966" s="20">
        <f>IFERROR(tbl_raw[[#This Row],[Net_Profit]]/(tbl_raw[[#This Row],[Selling_Price]]*tbl_raw[[#This Row],[Units_Sold]]),0)</f>
        <v>0.1796862866904799</v>
      </c>
      <c r="S966" s="18" t="s">
        <v>40</v>
      </c>
      <c r="T966" s="18" t="s">
        <v>32</v>
      </c>
      <c r="U966" s="18">
        <f>IF(tbl_raw[[#This Row],[Order_Status]]="Returned",1,0)</f>
        <v>0</v>
      </c>
      <c r="V966" s="18">
        <f>IF(tbl_raw[[#This Row],[Payment_Method]]="COD",1,0)</f>
        <v>1</v>
      </c>
      <c r="W966" s="21">
        <f>MIN(1,(tbl_raw[[#This Row],[Discount_Pct]]*1.4)+(tbl_raw[[#This Row],[COD_Flag]]*0.35))</f>
        <v>0.57399999999999995</v>
      </c>
    </row>
    <row r="967" spans="1:23" ht="22.8" x14ac:dyDescent="0.3">
      <c r="A967" s="22" t="s">
        <v>2342</v>
      </c>
      <c r="B967" s="23" t="s">
        <v>2343</v>
      </c>
      <c r="C967" s="23" t="s">
        <v>117</v>
      </c>
      <c r="D967" s="23" t="s">
        <v>44</v>
      </c>
      <c r="E967" s="23" t="s">
        <v>73</v>
      </c>
      <c r="F967" s="23" t="s">
        <v>2344</v>
      </c>
      <c r="G967" s="23" t="s">
        <v>143</v>
      </c>
      <c r="H967" s="23" t="s">
        <v>30</v>
      </c>
      <c r="I967" s="23">
        <v>9</v>
      </c>
      <c r="J967" s="24">
        <v>4908</v>
      </c>
      <c r="K967" s="24">
        <v>2847</v>
      </c>
      <c r="L967" s="25">
        <v>0.42</v>
      </c>
      <c r="M967" s="24">
        <v>2204</v>
      </c>
      <c r="N967" s="24">
        <f>(tbl_raw[[#This Row],[Selling_Price]]-tbl_raw[[#This Row],[Cost_Price]])*tbl_raw[[#This Row],[Units_Sold]]</f>
        <v>5787</v>
      </c>
      <c r="O967" s="25">
        <f>IFERROR((tbl_raw[[#This Row],[Selling_Price]]-tbl_raw[[#This Row],[Cost_Price]]) / tbl_raw[[#This Row],[Selling_Price]],0)</f>
        <v>0.22585177379697927</v>
      </c>
      <c r="P967" s="24">
        <v>126</v>
      </c>
      <c r="Q967" s="24">
        <f>tbl_raw[[#This Row],[Gross_Profit]]-(tbl_raw[[#This Row],[Shipping_Cost]]*tbl_raw[[#This Row],[Units_Sold]])</f>
        <v>4653</v>
      </c>
      <c r="R967" s="25">
        <f>IFERROR(tbl_raw[[#This Row],[Net_Profit]]/(tbl_raw[[#This Row],[Selling_Price]]*tbl_raw[[#This Row],[Units_Sold]]),0)</f>
        <v>0.18159466104671584</v>
      </c>
      <c r="S967" s="23" t="s">
        <v>31</v>
      </c>
      <c r="T967" s="23" t="s">
        <v>32</v>
      </c>
      <c r="U967" s="23">
        <f>IF(tbl_raw[[#This Row],[Order_Status]]="Returned",1,0)</f>
        <v>0</v>
      </c>
      <c r="V967" s="23">
        <f>IF(tbl_raw[[#This Row],[Payment_Method]]="COD",1,0)</f>
        <v>0</v>
      </c>
      <c r="W967" s="26">
        <f>MIN(1,(tbl_raw[[#This Row],[Discount_Pct]]*1.4)+(tbl_raw[[#This Row],[COD_Flag]]*0.35))</f>
        <v>0.58799999999999997</v>
      </c>
    </row>
    <row r="968" spans="1:23" ht="22.8" x14ac:dyDescent="0.3">
      <c r="A968" s="17" t="s">
        <v>2345</v>
      </c>
      <c r="B968" s="18" t="s">
        <v>533</v>
      </c>
      <c r="C968" s="18" t="s">
        <v>132</v>
      </c>
      <c r="D968" s="18" t="s">
        <v>26</v>
      </c>
      <c r="E968" s="18" t="s">
        <v>36</v>
      </c>
      <c r="F968" s="18" t="s">
        <v>2346</v>
      </c>
      <c r="G968" s="18" t="s">
        <v>139</v>
      </c>
      <c r="H968" s="18" t="s">
        <v>48</v>
      </c>
      <c r="I968" s="18">
        <v>19</v>
      </c>
      <c r="J968" s="19">
        <v>3610</v>
      </c>
      <c r="K968" s="19">
        <v>3574</v>
      </c>
      <c r="L968" s="20">
        <v>0.01</v>
      </c>
      <c r="M968" s="19">
        <v>2081</v>
      </c>
      <c r="N968" s="19">
        <f>(tbl_raw[[#This Row],[Selling_Price]]-tbl_raw[[#This Row],[Cost_Price]])*tbl_raw[[#This Row],[Units_Sold]]</f>
        <v>28367</v>
      </c>
      <c r="O968" s="20">
        <f>IFERROR((tbl_raw[[#This Row],[Selling_Price]]-tbl_raw[[#This Row],[Cost_Price]]) / tbl_raw[[#This Row],[Selling_Price]],0)</f>
        <v>0.41773922775601569</v>
      </c>
      <c r="P968" s="19">
        <v>150</v>
      </c>
      <c r="Q968" s="19">
        <f>tbl_raw[[#This Row],[Gross_Profit]]-(tbl_raw[[#This Row],[Shipping_Cost]]*tbl_raw[[#This Row],[Units_Sold]])</f>
        <v>25517</v>
      </c>
      <c r="R968" s="20">
        <f>IFERROR(tbl_raw[[#This Row],[Net_Profit]]/(tbl_raw[[#This Row],[Selling_Price]]*tbl_raw[[#This Row],[Units_Sold]]),0)</f>
        <v>0.37576944599888079</v>
      </c>
      <c r="S968" s="18" t="s">
        <v>65</v>
      </c>
      <c r="T968" s="18" t="s">
        <v>32</v>
      </c>
      <c r="U968" s="18">
        <f>IF(tbl_raw[[#This Row],[Order_Status]]="Returned",1,0)</f>
        <v>0</v>
      </c>
      <c r="V968" s="18">
        <f>IF(tbl_raw[[#This Row],[Payment_Method]]="COD",1,0)</f>
        <v>0</v>
      </c>
      <c r="W968" s="21">
        <f>MIN(1,(tbl_raw[[#This Row],[Discount_Pct]]*1.4)+(tbl_raw[[#This Row],[COD_Flag]]*0.35))</f>
        <v>1.3999999999999999E-2</v>
      </c>
    </row>
    <row r="969" spans="1:23" ht="22.8" x14ac:dyDescent="0.3">
      <c r="A969" s="22" t="s">
        <v>2347</v>
      </c>
      <c r="B969" s="23" t="s">
        <v>2348</v>
      </c>
      <c r="C969" s="23" t="s">
        <v>25</v>
      </c>
      <c r="D969" s="23" t="s">
        <v>175</v>
      </c>
      <c r="E969" s="23" t="s">
        <v>176</v>
      </c>
      <c r="F969" s="23" t="s">
        <v>2349</v>
      </c>
      <c r="G969" s="23" t="s">
        <v>38</v>
      </c>
      <c r="H969" s="23" t="s">
        <v>39</v>
      </c>
      <c r="I969" s="23">
        <v>4</v>
      </c>
      <c r="J969" s="24">
        <v>4348</v>
      </c>
      <c r="K969" s="24">
        <v>2783</v>
      </c>
      <c r="L969" s="25">
        <v>0.36</v>
      </c>
      <c r="M969" s="24">
        <v>3027</v>
      </c>
      <c r="N969" s="24">
        <f>(tbl_raw[[#This Row],[Selling_Price]]-tbl_raw[[#This Row],[Cost_Price]])*tbl_raw[[#This Row],[Units_Sold]]</f>
        <v>-976</v>
      </c>
      <c r="O969" s="25">
        <f>IFERROR((tbl_raw[[#This Row],[Selling_Price]]-tbl_raw[[#This Row],[Cost_Price]]) / tbl_raw[[#This Row],[Selling_Price]],0)</f>
        <v>-8.7675170679123254E-2</v>
      </c>
      <c r="P969" s="24">
        <v>43</v>
      </c>
      <c r="Q969" s="24">
        <f>tbl_raw[[#This Row],[Gross_Profit]]-(tbl_raw[[#This Row],[Shipping_Cost]]*tbl_raw[[#This Row],[Units_Sold]])</f>
        <v>-1148</v>
      </c>
      <c r="R969" s="25">
        <f>IFERROR(tbl_raw[[#This Row],[Net_Profit]]/(tbl_raw[[#This Row],[Selling_Price]]*tbl_raw[[#This Row],[Units_Sold]]),0)</f>
        <v>-0.10312612288896873</v>
      </c>
      <c r="S969" s="23" t="s">
        <v>31</v>
      </c>
      <c r="T969" s="23" t="s">
        <v>49</v>
      </c>
      <c r="U969" s="23">
        <f>IF(tbl_raw[[#This Row],[Order_Status]]="Returned",1,0)</f>
        <v>0</v>
      </c>
      <c r="V969" s="23">
        <f>IF(tbl_raw[[#This Row],[Payment_Method]]="COD",1,0)</f>
        <v>0</v>
      </c>
      <c r="W969" s="26">
        <f>MIN(1,(tbl_raw[[#This Row],[Discount_Pct]]*1.4)+(tbl_raw[[#This Row],[COD_Flag]]*0.35))</f>
        <v>0.504</v>
      </c>
    </row>
    <row r="970" spans="1:23" ht="22.8" x14ac:dyDescent="0.3">
      <c r="A970" s="17" t="s">
        <v>2350</v>
      </c>
      <c r="B970" s="18" t="s">
        <v>171</v>
      </c>
      <c r="C970" s="18" t="s">
        <v>72</v>
      </c>
      <c r="D970" s="18" t="s">
        <v>78</v>
      </c>
      <c r="E970" s="18" t="s">
        <v>79</v>
      </c>
      <c r="F970" s="18" t="s">
        <v>2351</v>
      </c>
      <c r="G970" s="18" t="s">
        <v>75</v>
      </c>
      <c r="H970" s="18" t="s">
        <v>48</v>
      </c>
      <c r="I970" s="18">
        <v>5</v>
      </c>
      <c r="J970" s="19">
        <v>5273</v>
      </c>
      <c r="K970" s="19">
        <v>5115</v>
      </c>
      <c r="L970" s="20">
        <v>0.03</v>
      </c>
      <c r="M970" s="19">
        <v>3305</v>
      </c>
      <c r="N970" s="19">
        <f>(tbl_raw[[#This Row],[Selling_Price]]-tbl_raw[[#This Row],[Cost_Price]])*tbl_raw[[#This Row],[Units_Sold]]</f>
        <v>9050</v>
      </c>
      <c r="O970" s="20">
        <f>IFERROR((tbl_raw[[#This Row],[Selling_Price]]-tbl_raw[[#This Row],[Cost_Price]]) / tbl_raw[[#This Row],[Selling_Price]],0)</f>
        <v>0.35386119257087001</v>
      </c>
      <c r="P970" s="19">
        <v>81</v>
      </c>
      <c r="Q970" s="19">
        <f>tbl_raw[[#This Row],[Gross_Profit]]-(tbl_raw[[#This Row],[Shipping_Cost]]*tbl_raw[[#This Row],[Units_Sold]])</f>
        <v>8645</v>
      </c>
      <c r="R970" s="20">
        <f>IFERROR(tbl_raw[[#This Row],[Net_Profit]]/(tbl_raw[[#This Row],[Selling_Price]]*tbl_raw[[#This Row],[Units_Sold]]),0)</f>
        <v>0.33802541544477027</v>
      </c>
      <c r="S970" s="18" t="s">
        <v>65</v>
      </c>
      <c r="T970" s="18" t="s">
        <v>32</v>
      </c>
      <c r="U970" s="18">
        <f>IF(tbl_raw[[#This Row],[Order_Status]]="Returned",1,0)</f>
        <v>0</v>
      </c>
      <c r="V970" s="18">
        <f>IF(tbl_raw[[#This Row],[Payment_Method]]="COD",1,0)</f>
        <v>0</v>
      </c>
      <c r="W970" s="21">
        <f>MIN(1,(tbl_raw[[#This Row],[Discount_Pct]]*1.4)+(tbl_raw[[#This Row],[COD_Flag]]*0.35))</f>
        <v>4.1999999999999996E-2</v>
      </c>
    </row>
    <row r="971" spans="1:23" ht="22.8" x14ac:dyDescent="0.3">
      <c r="A971" s="22" t="s">
        <v>2352</v>
      </c>
      <c r="B971" s="23" t="s">
        <v>387</v>
      </c>
      <c r="C971" s="23" t="s">
        <v>52</v>
      </c>
      <c r="D971" s="23" t="s">
        <v>78</v>
      </c>
      <c r="E971" s="23" t="s">
        <v>84</v>
      </c>
      <c r="F971" s="23" t="s">
        <v>2353</v>
      </c>
      <c r="G971" s="23" t="s">
        <v>139</v>
      </c>
      <c r="H971" s="23" t="s">
        <v>48</v>
      </c>
      <c r="I971" s="23">
        <v>20</v>
      </c>
      <c r="J971" s="24">
        <v>6660</v>
      </c>
      <c r="K971" s="24">
        <v>6593</v>
      </c>
      <c r="L971" s="25">
        <v>0.01</v>
      </c>
      <c r="M971" s="24">
        <v>3189</v>
      </c>
      <c r="N971" s="24">
        <f>(tbl_raw[[#This Row],[Selling_Price]]-tbl_raw[[#This Row],[Cost_Price]])*tbl_raw[[#This Row],[Units_Sold]]</f>
        <v>68080</v>
      </c>
      <c r="O971" s="25">
        <f>IFERROR((tbl_raw[[#This Row],[Selling_Price]]-tbl_raw[[#This Row],[Cost_Price]]) / tbl_raw[[#This Row],[Selling_Price]],0)</f>
        <v>0.51630517215228278</v>
      </c>
      <c r="P971" s="24">
        <v>94</v>
      </c>
      <c r="Q971" s="24">
        <f>tbl_raw[[#This Row],[Gross_Profit]]-(tbl_raw[[#This Row],[Shipping_Cost]]*tbl_raw[[#This Row],[Units_Sold]])</f>
        <v>66200</v>
      </c>
      <c r="R971" s="25">
        <f>IFERROR(tbl_raw[[#This Row],[Net_Profit]]/(tbl_raw[[#This Row],[Selling_Price]]*tbl_raw[[#This Row],[Units_Sold]]),0)</f>
        <v>0.50204762627028665</v>
      </c>
      <c r="S971" s="23" t="s">
        <v>107</v>
      </c>
      <c r="T971" s="23" t="s">
        <v>32</v>
      </c>
      <c r="U971" s="23">
        <f>IF(tbl_raw[[#This Row],[Order_Status]]="Returned",1,0)</f>
        <v>0</v>
      </c>
      <c r="V971" s="23">
        <f>IF(tbl_raw[[#This Row],[Payment_Method]]="COD",1,0)</f>
        <v>0</v>
      </c>
      <c r="W971" s="26">
        <f>MIN(1,(tbl_raw[[#This Row],[Discount_Pct]]*1.4)+(tbl_raw[[#This Row],[COD_Flag]]*0.35))</f>
        <v>1.3999999999999999E-2</v>
      </c>
    </row>
    <row r="972" spans="1:23" ht="22.8" x14ac:dyDescent="0.3">
      <c r="A972" s="17" t="s">
        <v>2354</v>
      </c>
      <c r="B972" s="18" t="s">
        <v>829</v>
      </c>
      <c r="C972" s="18" t="s">
        <v>89</v>
      </c>
      <c r="D972" s="18" t="s">
        <v>62</v>
      </c>
      <c r="E972" s="18" t="s">
        <v>203</v>
      </c>
      <c r="F972" s="18" t="s">
        <v>2355</v>
      </c>
      <c r="G972" s="18" t="s">
        <v>102</v>
      </c>
      <c r="H972" s="18" t="s">
        <v>39</v>
      </c>
      <c r="I972" s="18">
        <v>12</v>
      </c>
      <c r="J972" s="19">
        <v>7167</v>
      </c>
      <c r="K972" s="19">
        <v>4874</v>
      </c>
      <c r="L972" s="20">
        <v>0.32</v>
      </c>
      <c r="M972" s="19">
        <v>4314</v>
      </c>
      <c r="N972" s="19">
        <f>(tbl_raw[[#This Row],[Selling_Price]]-tbl_raw[[#This Row],[Cost_Price]])*tbl_raw[[#This Row],[Units_Sold]]</f>
        <v>6720</v>
      </c>
      <c r="O972" s="20">
        <f>IFERROR((tbl_raw[[#This Row],[Selling_Price]]-tbl_raw[[#This Row],[Cost_Price]]) / tbl_raw[[#This Row],[Selling_Price]],0)</f>
        <v>0.11489536315141567</v>
      </c>
      <c r="P972" s="19">
        <v>58</v>
      </c>
      <c r="Q972" s="19">
        <f>tbl_raw[[#This Row],[Gross_Profit]]-(tbl_raw[[#This Row],[Shipping_Cost]]*tbl_raw[[#This Row],[Units_Sold]])</f>
        <v>6024</v>
      </c>
      <c r="R972" s="20">
        <f>IFERROR(tbl_raw[[#This Row],[Net_Profit]]/(tbl_raw[[#This Row],[Selling_Price]]*tbl_raw[[#This Row],[Units_Sold]]),0)</f>
        <v>0.10299548625359048</v>
      </c>
      <c r="S972" s="18" t="s">
        <v>40</v>
      </c>
      <c r="T972" s="18" t="s">
        <v>32</v>
      </c>
      <c r="U972" s="18">
        <f>IF(tbl_raw[[#This Row],[Order_Status]]="Returned",1,0)</f>
        <v>0</v>
      </c>
      <c r="V972" s="18">
        <f>IF(tbl_raw[[#This Row],[Payment_Method]]="COD",1,0)</f>
        <v>1</v>
      </c>
      <c r="W972" s="21">
        <f>MIN(1,(tbl_raw[[#This Row],[Discount_Pct]]*1.4)+(tbl_raw[[#This Row],[COD_Flag]]*0.35))</f>
        <v>0.79799999999999993</v>
      </c>
    </row>
    <row r="973" spans="1:23" ht="22.8" x14ac:dyDescent="0.3">
      <c r="A973" s="22" t="s">
        <v>2356</v>
      </c>
      <c r="B973" s="23" t="s">
        <v>727</v>
      </c>
      <c r="C973" s="23" t="s">
        <v>132</v>
      </c>
      <c r="D973" s="23" t="s">
        <v>26</v>
      </c>
      <c r="E973" s="23" t="s">
        <v>100</v>
      </c>
      <c r="F973" s="23" t="s">
        <v>2357</v>
      </c>
      <c r="G973" s="23" t="s">
        <v>56</v>
      </c>
      <c r="H973" s="23" t="s">
        <v>57</v>
      </c>
      <c r="I973" s="23">
        <v>3</v>
      </c>
      <c r="J973" s="24">
        <v>2754</v>
      </c>
      <c r="K973" s="24">
        <v>2368</v>
      </c>
      <c r="L973" s="25">
        <v>0.14000000000000001</v>
      </c>
      <c r="M973" s="24">
        <v>1323</v>
      </c>
      <c r="N973" s="24">
        <f>(tbl_raw[[#This Row],[Selling_Price]]-tbl_raw[[#This Row],[Cost_Price]])*tbl_raw[[#This Row],[Units_Sold]]</f>
        <v>3135</v>
      </c>
      <c r="O973" s="25">
        <f>IFERROR((tbl_raw[[#This Row],[Selling_Price]]-tbl_raw[[#This Row],[Cost_Price]]) / tbl_raw[[#This Row],[Selling_Price]],0)</f>
        <v>0.44130067567567566</v>
      </c>
      <c r="P973" s="24">
        <v>61</v>
      </c>
      <c r="Q973" s="24">
        <f>tbl_raw[[#This Row],[Gross_Profit]]-(tbl_raw[[#This Row],[Shipping_Cost]]*tbl_raw[[#This Row],[Units_Sold]])</f>
        <v>2952</v>
      </c>
      <c r="R973" s="25">
        <f>IFERROR(tbl_raw[[#This Row],[Net_Profit]]/(tbl_raw[[#This Row],[Selling_Price]]*tbl_raw[[#This Row],[Units_Sold]]),0)</f>
        <v>0.41554054054054052</v>
      </c>
      <c r="S973" s="23" t="s">
        <v>107</v>
      </c>
      <c r="T973" s="23" t="s">
        <v>49</v>
      </c>
      <c r="U973" s="23">
        <f>IF(tbl_raw[[#This Row],[Order_Status]]="Returned",1,0)</f>
        <v>0</v>
      </c>
      <c r="V973" s="23">
        <f>IF(tbl_raw[[#This Row],[Payment_Method]]="COD",1,0)</f>
        <v>0</v>
      </c>
      <c r="W973" s="26">
        <f>MIN(1,(tbl_raw[[#This Row],[Discount_Pct]]*1.4)+(tbl_raw[[#This Row],[COD_Flag]]*0.35))</f>
        <v>0.19600000000000001</v>
      </c>
    </row>
    <row r="974" spans="1:23" ht="22.8" x14ac:dyDescent="0.3">
      <c r="A974" s="17" t="s">
        <v>2358</v>
      </c>
      <c r="B974" s="18" t="s">
        <v>1118</v>
      </c>
      <c r="C974" s="18" t="s">
        <v>35</v>
      </c>
      <c r="D974" s="18" t="s">
        <v>44</v>
      </c>
      <c r="E974" s="18" t="s">
        <v>45</v>
      </c>
      <c r="F974" s="18" t="s">
        <v>2359</v>
      </c>
      <c r="G974" s="18" t="s">
        <v>75</v>
      </c>
      <c r="H974" s="18" t="s">
        <v>48</v>
      </c>
      <c r="I974" s="18">
        <v>4</v>
      </c>
      <c r="J974" s="19">
        <v>6706</v>
      </c>
      <c r="K974" s="19">
        <v>5566</v>
      </c>
      <c r="L974" s="20">
        <v>0.17</v>
      </c>
      <c r="M974" s="19">
        <v>3724</v>
      </c>
      <c r="N974" s="19">
        <f>(tbl_raw[[#This Row],[Selling_Price]]-tbl_raw[[#This Row],[Cost_Price]])*tbl_raw[[#This Row],[Units_Sold]]</f>
        <v>7368</v>
      </c>
      <c r="O974" s="20">
        <f>IFERROR((tbl_raw[[#This Row],[Selling_Price]]-tbl_raw[[#This Row],[Cost_Price]]) / tbl_raw[[#This Row],[Selling_Price]],0)</f>
        <v>0.33093783686669065</v>
      </c>
      <c r="P974" s="19">
        <v>142</v>
      </c>
      <c r="Q974" s="19">
        <f>tbl_raw[[#This Row],[Gross_Profit]]-(tbl_raw[[#This Row],[Shipping_Cost]]*tbl_raw[[#This Row],[Units_Sold]])</f>
        <v>6800</v>
      </c>
      <c r="R974" s="20">
        <f>IFERROR(tbl_raw[[#This Row],[Net_Profit]]/(tbl_raw[[#This Row],[Selling_Price]]*tbl_raw[[#This Row],[Units_Sold]]),0)</f>
        <v>0.30542579949694576</v>
      </c>
      <c r="S974" s="18" t="s">
        <v>40</v>
      </c>
      <c r="T974" s="18" t="s">
        <v>32</v>
      </c>
      <c r="U974" s="18">
        <f>IF(tbl_raw[[#This Row],[Order_Status]]="Returned",1,0)</f>
        <v>0</v>
      </c>
      <c r="V974" s="18">
        <f>IF(tbl_raw[[#This Row],[Payment_Method]]="COD",1,0)</f>
        <v>1</v>
      </c>
      <c r="W974" s="21">
        <f>MIN(1,(tbl_raw[[#This Row],[Discount_Pct]]*1.4)+(tbl_raw[[#This Row],[COD_Flag]]*0.35))</f>
        <v>0.58799999999999997</v>
      </c>
    </row>
    <row r="975" spans="1:23" ht="22.8" x14ac:dyDescent="0.3">
      <c r="A975" s="22" t="s">
        <v>2360</v>
      </c>
      <c r="B975" s="23" t="s">
        <v>686</v>
      </c>
      <c r="C975" s="23" t="s">
        <v>52</v>
      </c>
      <c r="D975" s="23" t="s">
        <v>94</v>
      </c>
      <c r="E975" s="23" t="s">
        <v>310</v>
      </c>
      <c r="F975" s="23" t="s">
        <v>2361</v>
      </c>
      <c r="G975" s="23" t="s">
        <v>120</v>
      </c>
      <c r="H975" s="23" t="s">
        <v>39</v>
      </c>
      <c r="I975" s="23">
        <v>3</v>
      </c>
      <c r="J975" s="24">
        <v>7760</v>
      </c>
      <c r="K975" s="24">
        <v>5975</v>
      </c>
      <c r="L975" s="25">
        <v>0.23</v>
      </c>
      <c r="M975" s="24">
        <v>4675</v>
      </c>
      <c r="N975" s="24">
        <f>(tbl_raw[[#This Row],[Selling_Price]]-tbl_raw[[#This Row],[Cost_Price]])*tbl_raw[[#This Row],[Units_Sold]]</f>
        <v>3900</v>
      </c>
      <c r="O975" s="25">
        <f>IFERROR((tbl_raw[[#This Row],[Selling_Price]]-tbl_raw[[#This Row],[Cost_Price]]) / tbl_raw[[#This Row],[Selling_Price]],0)</f>
        <v>0.21757322175732219</v>
      </c>
      <c r="P975" s="24">
        <v>107</v>
      </c>
      <c r="Q975" s="24">
        <f>tbl_raw[[#This Row],[Gross_Profit]]-(tbl_raw[[#This Row],[Shipping_Cost]]*tbl_raw[[#This Row],[Units_Sold]])</f>
        <v>3579</v>
      </c>
      <c r="R975" s="25">
        <f>IFERROR(tbl_raw[[#This Row],[Net_Profit]]/(tbl_raw[[#This Row],[Selling_Price]]*tbl_raw[[#This Row],[Units_Sold]]),0)</f>
        <v>0.1996652719665272</v>
      </c>
      <c r="S975" s="23" t="s">
        <v>40</v>
      </c>
      <c r="T975" s="23" t="s">
        <v>32</v>
      </c>
      <c r="U975" s="23">
        <f>IF(tbl_raw[[#This Row],[Order_Status]]="Returned",1,0)</f>
        <v>0</v>
      </c>
      <c r="V975" s="23">
        <f>IF(tbl_raw[[#This Row],[Payment_Method]]="COD",1,0)</f>
        <v>1</v>
      </c>
      <c r="W975" s="26">
        <f>MIN(1,(tbl_raw[[#This Row],[Discount_Pct]]*1.4)+(tbl_raw[[#This Row],[COD_Flag]]*0.35))</f>
        <v>0.67199999999999993</v>
      </c>
    </row>
    <row r="976" spans="1:23" ht="22.8" x14ac:dyDescent="0.3">
      <c r="A976" s="17" t="s">
        <v>2362</v>
      </c>
      <c r="B976" s="18" t="s">
        <v>384</v>
      </c>
      <c r="C976" s="18" t="s">
        <v>117</v>
      </c>
      <c r="D976" s="18" t="s">
        <v>44</v>
      </c>
      <c r="E976" s="18" t="s">
        <v>279</v>
      </c>
      <c r="F976" s="18" t="s">
        <v>2363</v>
      </c>
      <c r="G976" s="18" t="s">
        <v>29</v>
      </c>
      <c r="H976" s="18" t="s">
        <v>30</v>
      </c>
      <c r="I976" s="18">
        <v>7</v>
      </c>
      <c r="J976" s="19">
        <v>7884</v>
      </c>
      <c r="K976" s="19">
        <v>5046</v>
      </c>
      <c r="L976" s="20">
        <v>0.36</v>
      </c>
      <c r="M976" s="19">
        <v>4147</v>
      </c>
      <c r="N976" s="19">
        <f>(tbl_raw[[#This Row],[Selling_Price]]-tbl_raw[[#This Row],[Cost_Price]])*tbl_raw[[#This Row],[Units_Sold]]</f>
        <v>6293</v>
      </c>
      <c r="O976" s="20">
        <f>IFERROR((tbl_raw[[#This Row],[Selling_Price]]-tbl_raw[[#This Row],[Cost_Price]]) / tbl_raw[[#This Row],[Selling_Price]],0)</f>
        <v>0.17816091954022989</v>
      </c>
      <c r="P976" s="19">
        <v>68</v>
      </c>
      <c r="Q976" s="19">
        <f>tbl_raw[[#This Row],[Gross_Profit]]-(tbl_raw[[#This Row],[Shipping_Cost]]*tbl_raw[[#This Row],[Units_Sold]])</f>
        <v>5817</v>
      </c>
      <c r="R976" s="20">
        <f>IFERROR(tbl_raw[[#This Row],[Net_Profit]]/(tbl_raw[[#This Row],[Selling_Price]]*tbl_raw[[#This Row],[Units_Sold]]),0)</f>
        <v>0.16468489892984542</v>
      </c>
      <c r="S976" s="18" t="s">
        <v>58</v>
      </c>
      <c r="T976" s="18" t="s">
        <v>32</v>
      </c>
      <c r="U976" s="18">
        <f>IF(tbl_raw[[#This Row],[Order_Status]]="Returned",1,0)</f>
        <v>0</v>
      </c>
      <c r="V976" s="18">
        <f>IF(tbl_raw[[#This Row],[Payment_Method]]="COD",1,0)</f>
        <v>0</v>
      </c>
      <c r="W976" s="21">
        <f>MIN(1,(tbl_raw[[#This Row],[Discount_Pct]]*1.4)+(tbl_raw[[#This Row],[COD_Flag]]*0.35))</f>
        <v>0.504</v>
      </c>
    </row>
    <row r="977" spans="1:23" ht="22.8" x14ac:dyDescent="0.3">
      <c r="A977" s="22" t="s">
        <v>2364</v>
      </c>
      <c r="B977" s="23" t="s">
        <v>1744</v>
      </c>
      <c r="C977" s="23" t="s">
        <v>52</v>
      </c>
      <c r="D977" s="23" t="s">
        <v>78</v>
      </c>
      <c r="E977" s="23" t="s">
        <v>534</v>
      </c>
      <c r="F977" s="23" t="s">
        <v>2365</v>
      </c>
      <c r="G977" s="23" t="s">
        <v>120</v>
      </c>
      <c r="H977" s="23" t="s">
        <v>39</v>
      </c>
      <c r="I977" s="23">
        <v>12</v>
      </c>
      <c r="J977" s="24">
        <v>3011</v>
      </c>
      <c r="K977" s="24">
        <v>2589</v>
      </c>
      <c r="L977" s="25">
        <v>0.14000000000000001</v>
      </c>
      <c r="M977" s="24">
        <v>1273</v>
      </c>
      <c r="N977" s="24">
        <f>(tbl_raw[[#This Row],[Selling_Price]]-tbl_raw[[#This Row],[Cost_Price]])*tbl_raw[[#This Row],[Units_Sold]]</f>
        <v>15792</v>
      </c>
      <c r="O977" s="25">
        <f>IFERROR((tbl_raw[[#This Row],[Selling_Price]]-tbl_raw[[#This Row],[Cost_Price]]) / tbl_raw[[#This Row],[Selling_Price]],0)</f>
        <v>0.5083043646195442</v>
      </c>
      <c r="P977" s="24">
        <v>172</v>
      </c>
      <c r="Q977" s="24">
        <f>tbl_raw[[#This Row],[Gross_Profit]]-(tbl_raw[[#This Row],[Shipping_Cost]]*tbl_raw[[#This Row],[Units_Sold]])</f>
        <v>13728</v>
      </c>
      <c r="R977" s="25">
        <f>IFERROR(tbl_raw[[#This Row],[Net_Profit]]/(tbl_raw[[#This Row],[Selling_Price]]*tbl_raw[[#This Row],[Units_Sold]]),0)</f>
        <v>0.44186944766319042</v>
      </c>
      <c r="S977" s="23" t="s">
        <v>107</v>
      </c>
      <c r="T977" s="23" t="s">
        <v>32</v>
      </c>
      <c r="U977" s="23">
        <f>IF(tbl_raw[[#This Row],[Order_Status]]="Returned",1,0)</f>
        <v>0</v>
      </c>
      <c r="V977" s="23">
        <f>IF(tbl_raw[[#This Row],[Payment_Method]]="COD",1,0)</f>
        <v>0</v>
      </c>
      <c r="W977" s="26">
        <f>MIN(1,(tbl_raw[[#This Row],[Discount_Pct]]*1.4)+(tbl_raw[[#This Row],[COD_Flag]]*0.35))</f>
        <v>0.19600000000000001</v>
      </c>
    </row>
    <row r="978" spans="1:23" ht="22.8" x14ac:dyDescent="0.3">
      <c r="A978" s="17" t="s">
        <v>2366</v>
      </c>
      <c r="B978" s="18" t="s">
        <v>152</v>
      </c>
      <c r="C978" s="18" t="s">
        <v>25</v>
      </c>
      <c r="D978" s="18" t="s">
        <v>78</v>
      </c>
      <c r="E978" s="18" t="s">
        <v>534</v>
      </c>
      <c r="F978" s="18" t="s">
        <v>2367</v>
      </c>
      <c r="G978" s="18" t="s">
        <v>143</v>
      </c>
      <c r="H978" s="18" t="s">
        <v>30</v>
      </c>
      <c r="I978" s="18">
        <v>11</v>
      </c>
      <c r="J978" s="19">
        <v>554</v>
      </c>
      <c r="K978" s="19">
        <v>343</v>
      </c>
      <c r="L978" s="20">
        <v>0.38</v>
      </c>
      <c r="M978" s="19">
        <v>256</v>
      </c>
      <c r="N978" s="19">
        <f>(tbl_raw[[#This Row],[Selling_Price]]-tbl_raw[[#This Row],[Cost_Price]])*tbl_raw[[#This Row],[Units_Sold]]</f>
        <v>957</v>
      </c>
      <c r="O978" s="20">
        <f>IFERROR((tbl_raw[[#This Row],[Selling_Price]]-tbl_raw[[#This Row],[Cost_Price]]) / tbl_raw[[#This Row],[Selling_Price]],0)</f>
        <v>0.25364431486880468</v>
      </c>
      <c r="P978" s="19">
        <v>31</v>
      </c>
      <c r="Q978" s="19">
        <f>tbl_raw[[#This Row],[Gross_Profit]]-(tbl_raw[[#This Row],[Shipping_Cost]]*tbl_raw[[#This Row],[Units_Sold]])</f>
        <v>616</v>
      </c>
      <c r="R978" s="20">
        <f>IFERROR(tbl_raw[[#This Row],[Net_Profit]]/(tbl_raw[[#This Row],[Selling_Price]]*tbl_raw[[#This Row],[Units_Sold]]),0)</f>
        <v>0.16326530612244897</v>
      </c>
      <c r="S978" s="18" t="s">
        <v>65</v>
      </c>
      <c r="T978" s="18" t="s">
        <v>32</v>
      </c>
      <c r="U978" s="18">
        <f>IF(tbl_raw[[#This Row],[Order_Status]]="Returned",1,0)</f>
        <v>0</v>
      </c>
      <c r="V978" s="18">
        <f>IF(tbl_raw[[#This Row],[Payment_Method]]="COD",1,0)</f>
        <v>0</v>
      </c>
      <c r="W978" s="21">
        <f>MIN(1,(tbl_raw[[#This Row],[Discount_Pct]]*1.4)+(tbl_raw[[#This Row],[COD_Flag]]*0.35))</f>
        <v>0.53199999999999992</v>
      </c>
    </row>
    <row r="979" spans="1:23" ht="22.8" x14ac:dyDescent="0.3">
      <c r="A979" s="22" t="s">
        <v>2368</v>
      </c>
      <c r="B979" s="23" t="s">
        <v>402</v>
      </c>
      <c r="C979" s="23" t="s">
        <v>132</v>
      </c>
      <c r="D979" s="23" t="s">
        <v>94</v>
      </c>
      <c r="E979" s="23" t="s">
        <v>180</v>
      </c>
      <c r="F979" s="23" t="s">
        <v>2369</v>
      </c>
      <c r="G979" s="23" t="s">
        <v>102</v>
      </c>
      <c r="H979" s="23" t="s">
        <v>39</v>
      </c>
      <c r="I979" s="23">
        <v>14</v>
      </c>
      <c r="J979" s="24">
        <v>6621</v>
      </c>
      <c r="K979" s="24">
        <v>5363</v>
      </c>
      <c r="L979" s="25">
        <v>0.19</v>
      </c>
      <c r="M979" s="24">
        <v>3053</v>
      </c>
      <c r="N979" s="24">
        <f>(tbl_raw[[#This Row],[Selling_Price]]-tbl_raw[[#This Row],[Cost_Price]])*tbl_raw[[#This Row],[Units_Sold]]</f>
        <v>32340</v>
      </c>
      <c r="O979" s="25">
        <f>IFERROR((tbl_raw[[#This Row],[Selling_Price]]-tbl_raw[[#This Row],[Cost_Price]]) / tbl_raw[[#This Row],[Selling_Price]],0)</f>
        <v>0.43072906955062468</v>
      </c>
      <c r="P979" s="24">
        <v>108</v>
      </c>
      <c r="Q979" s="24">
        <f>tbl_raw[[#This Row],[Gross_Profit]]-(tbl_raw[[#This Row],[Shipping_Cost]]*tbl_raw[[#This Row],[Units_Sold]])</f>
        <v>30828</v>
      </c>
      <c r="R979" s="25">
        <f>IFERROR(tbl_raw[[#This Row],[Net_Profit]]/(tbl_raw[[#This Row],[Selling_Price]]*tbl_raw[[#This Row],[Units_Sold]]),0)</f>
        <v>0.41059108707812791</v>
      </c>
      <c r="S979" s="23" t="s">
        <v>40</v>
      </c>
      <c r="T979" s="23" t="s">
        <v>59</v>
      </c>
      <c r="U979" s="23">
        <f>IF(tbl_raw[[#This Row],[Order_Status]]="Returned",1,0)</f>
        <v>0</v>
      </c>
      <c r="V979" s="23">
        <f>IF(tbl_raw[[#This Row],[Payment_Method]]="COD",1,0)</f>
        <v>1</v>
      </c>
      <c r="W979" s="26">
        <f>MIN(1,(tbl_raw[[#This Row],[Discount_Pct]]*1.4)+(tbl_raw[[#This Row],[COD_Flag]]*0.35))</f>
        <v>0.61599999999999988</v>
      </c>
    </row>
    <row r="980" spans="1:23" ht="22.8" x14ac:dyDescent="0.3">
      <c r="A980" s="17" t="s">
        <v>2370</v>
      </c>
      <c r="B980" s="18" t="s">
        <v>646</v>
      </c>
      <c r="C980" s="18" t="s">
        <v>43</v>
      </c>
      <c r="D980" s="18" t="s">
        <v>175</v>
      </c>
      <c r="E980" s="18" t="s">
        <v>225</v>
      </c>
      <c r="F980" s="18" t="s">
        <v>2371</v>
      </c>
      <c r="G980" s="18" t="s">
        <v>75</v>
      </c>
      <c r="H980" s="18" t="s">
        <v>48</v>
      </c>
      <c r="I980" s="18">
        <v>7</v>
      </c>
      <c r="J980" s="19">
        <v>2587</v>
      </c>
      <c r="K980" s="19">
        <v>1863</v>
      </c>
      <c r="L980" s="20">
        <v>0.28000000000000003</v>
      </c>
      <c r="M980" s="19">
        <v>1858</v>
      </c>
      <c r="N980" s="19">
        <f>(tbl_raw[[#This Row],[Selling_Price]]-tbl_raw[[#This Row],[Cost_Price]])*tbl_raw[[#This Row],[Units_Sold]]</f>
        <v>35</v>
      </c>
      <c r="O980" s="20">
        <f>IFERROR((tbl_raw[[#This Row],[Selling_Price]]-tbl_raw[[#This Row],[Cost_Price]]) / tbl_raw[[#This Row],[Selling_Price]],0)</f>
        <v>2.6838432635534087E-3</v>
      </c>
      <c r="P980" s="19">
        <v>70</v>
      </c>
      <c r="Q980" s="19">
        <f>tbl_raw[[#This Row],[Gross_Profit]]-(tbl_raw[[#This Row],[Shipping_Cost]]*tbl_raw[[#This Row],[Units_Sold]])</f>
        <v>-455</v>
      </c>
      <c r="R980" s="20">
        <f>IFERROR(tbl_raw[[#This Row],[Net_Profit]]/(tbl_raw[[#This Row],[Selling_Price]]*tbl_raw[[#This Row],[Units_Sold]]),0)</f>
        <v>-3.4889962426194313E-2</v>
      </c>
      <c r="S980" s="18" t="s">
        <v>107</v>
      </c>
      <c r="T980" s="18" t="s">
        <v>32</v>
      </c>
      <c r="U980" s="18">
        <f>IF(tbl_raw[[#This Row],[Order_Status]]="Returned",1,0)</f>
        <v>0</v>
      </c>
      <c r="V980" s="18">
        <f>IF(tbl_raw[[#This Row],[Payment_Method]]="COD",1,0)</f>
        <v>0</v>
      </c>
      <c r="W980" s="21">
        <f>MIN(1,(tbl_raw[[#This Row],[Discount_Pct]]*1.4)+(tbl_raw[[#This Row],[COD_Flag]]*0.35))</f>
        <v>0.39200000000000002</v>
      </c>
    </row>
    <row r="981" spans="1:23" ht="22.8" x14ac:dyDescent="0.3">
      <c r="A981" s="22" t="s">
        <v>2372</v>
      </c>
      <c r="B981" s="23" t="s">
        <v>1301</v>
      </c>
      <c r="C981" s="23" t="s">
        <v>132</v>
      </c>
      <c r="D981" s="23" t="s">
        <v>26</v>
      </c>
      <c r="E981" s="23" t="s">
        <v>100</v>
      </c>
      <c r="F981" s="23" t="s">
        <v>2373</v>
      </c>
      <c r="G981" s="23" t="s">
        <v>139</v>
      </c>
      <c r="H981" s="23" t="s">
        <v>48</v>
      </c>
      <c r="I981" s="23">
        <v>18</v>
      </c>
      <c r="J981" s="24">
        <v>3141</v>
      </c>
      <c r="K981" s="24">
        <v>2293</v>
      </c>
      <c r="L981" s="25">
        <v>0.27</v>
      </c>
      <c r="M981" s="24">
        <v>1834</v>
      </c>
      <c r="N981" s="24">
        <f>(tbl_raw[[#This Row],[Selling_Price]]-tbl_raw[[#This Row],[Cost_Price]])*tbl_raw[[#This Row],[Units_Sold]]</f>
        <v>8262</v>
      </c>
      <c r="O981" s="25">
        <f>IFERROR((tbl_raw[[#This Row],[Selling_Price]]-tbl_raw[[#This Row],[Cost_Price]]) / tbl_raw[[#This Row],[Selling_Price]],0)</f>
        <v>0.20017444395987788</v>
      </c>
      <c r="P981" s="24">
        <v>54</v>
      </c>
      <c r="Q981" s="24">
        <f>tbl_raw[[#This Row],[Gross_Profit]]-(tbl_raw[[#This Row],[Shipping_Cost]]*tbl_raw[[#This Row],[Units_Sold]])</f>
        <v>7290</v>
      </c>
      <c r="R981" s="25">
        <f>IFERROR(tbl_raw[[#This Row],[Net_Profit]]/(tbl_raw[[#This Row],[Selling_Price]]*tbl_raw[[#This Row],[Units_Sold]]),0)</f>
        <v>0.17662450937636284</v>
      </c>
      <c r="S981" s="23" t="s">
        <v>58</v>
      </c>
      <c r="T981" s="23" t="s">
        <v>32</v>
      </c>
      <c r="U981" s="23">
        <f>IF(tbl_raw[[#This Row],[Order_Status]]="Returned",1,0)</f>
        <v>0</v>
      </c>
      <c r="V981" s="23">
        <f>IF(tbl_raw[[#This Row],[Payment_Method]]="COD",1,0)</f>
        <v>0</v>
      </c>
      <c r="W981" s="26">
        <f>MIN(1,(tbl_raw[[#This Row],[Discount_Pct]]*1.4)+(tbl_raw[[#This Row],[COD_Flag]]*0.35))</f>
        <v>0.378</v>
      </c>
    </row>
    <row r="982" spans="1:23" ht="22.8" x14ac:dyDescent="0.3">
      <c r="A982" s="17" t="s">
        <v>2374</v>
      </c>
      <c r="B982" s="18" t="s">
        <v>51</v>
      </c>
      <c r="C982" s="18" t="s">
        <v>52</v>
      </c>
      <c r="D982" s="18" t="s">
        <v>175</v>
      </c>
      <c r="E982" s="18" t="s">
        <v>149</v>
      </c>
      <c r="F982" s="18" t="s">
        <v>2375</v>
      </c>
      <c r="G982" s="18" t="s">
        <v>47</v>
      </c>
      <c r="H982" s="18" t="s">
        <v>48</v>
      </c>
      <c r="I982" s="18">
        <v>18</v>
      </c>
      <c r="J982" s="19">
        <v>3635</v>
      </c>
      <c r="K982" s="19">
        <v>2217</v>
      </c>
      <c r="L982" s="20">
        <v>0.39</v>
      </c>
      <c r="M982" s="19">
        <v>2484</v>
      </c>
      <c r="N982" s="19">
        <f>(tbl_raw[[#This Row],[Selling_Price]]-tbl_raw[[#This Row],[Cost_Price]])*tbl_raw[[#This Row],[Units_Sold]]</f>
        <v>-4806</v>
      </c>
      <c r="O982" s="20">
        <f>IFERROR((tbl_raw[[#This Row],[Selling_Price]]-tbl_raw[[#This Row],[Cost_Price]]) / tbl_raw[[#This Row],[Selling_Price]],0)</f>
        <v>-0.12043301759133965</v>
      </c>
      <c r="P982" s="19">
        <v>30</v>
      </c>
      <c r="Q982" s="19">
        <f>tbl_raw[[#This Row],[Gross_Profit]]-(tbl_raw[[#This Row],[Shipping_Cost]]*tbl_raw[[#This Row],[Units_Sold]])</f>
        <v>-5346</v>
      </c>
      <c r="R982" s="20">
        <f>IFERROR(tbl_raw[[#This Row],[Net_Profit]]/(tbl_raw[[#This Row],[Selling_Price]]*tbl_raw[[#This Row],[Units_Sold]]),0)</f>
        <v>-0.13396481732070364</v>
      </c>
      <c r="S982" s="18" t="s">
        <v>31</v>
      </c>
      <c r="T982" s="18" t="s">
        <v>49</v>
      </c>
      <c r="U982" s="18">
        <f>IF(tbl_raw[[#This Row],[Order_Status]]="Returned",1,0)</f>
        <v>0</v>
      </c>
      <c r="V982" s="18">
        <f>IF(tbl_raw[[#This Row],[Payment_Method]]="COD",1,0)</f>
        <v>0</v>
      </c>
      <c r="W982" s="21">
        <f>MIN(1,(tbl_raw[[#This Row],[Discount_Pct]]*1.4)+(tbl_raw[[#This Row],[COD_Flag]]*0.35))</f>
        <v>0.54599999999999993</v>
      </c>
    </row>
    <row r="983" spans="1:23" ht="22.8" x14ac:dyDescent="0.3">
      <c r="A983" s="22" t="s">
        <v>2376</v>
      </c>
      <c r="B983" s="23" t="s">
        <v>1324</v>
      </c>
      <c r="C983" s="23" t="s">
        <v>43</v>
      </c>
      <c r="D983" s="23" t="s">
        <v>44</v>
      </c>
      <c r="E983" s="23" t="s">
        <v>338</v>
      </c>
      <c r="F983" s="23" t="s">
        <v>2377</v>
      </c>
      <c r="G983" s="23" t="s">
        <v>120</v>
      </c>
      <c r="H983" s="23" t="s">
        <v>39</v>
      </c>
      <c r="I983" s="23">
        <v>16</v>
      </c>
      <c r="J983" s="24">
        <v>4044</v>
      </c>
      <c r="K983" s="24">
        <v>2548</v>
      </c>
      <c r="L983" s="25">
        <v>0.37</v>
      </c>
      <c r="M983" s="24">
        <v>2426</v>
      </c>
      <c r="N983" s="24">
        <f>(tbl_raw[[#This Row],[Selling_Price]]-tbl_raw[[#This Row],[Cost_Price]])*tbl_raw[[#This Row],[Units_Sold]]</f>
        <v>1952</v>
      </c>
      <c r="O983" s="25">
        <f>IFERROR((tbl_raw[[#This Row],[Selling_Price]]-tbl_raw[[#This Row],[Cost_Price]]) / tbl_raw[[#This Row],[Selling_Price]],0)</f>
        <v>4.7880690737833596E-2</v>
      </c>
      <c r="P983" s="24">
        <v>49</v>
      </c>
      <c r="Q983" s="24">
        <f>tbl_raw[[#This Row],[Gross_Profit]]-(tbl_raw[[#This Row],[Shipping_Cost]]*tbl_raw[[#This Row],[Units_Sold]])</f>
        <v>1168</v>
      </c>
      <c r="R983" s="25">
        <f>IFERROR(tbl_raw[[#This Row],[Net_Profit]]/(tbl_raw[[#This Row],[Selling_Price]]*tbl_raw[[#This Row],[Units_Sold]]),0)</f>
        <v>2.8649921507064365E-2</v>
      </c>
      <c r="S983" s="23" t="s">
        <v>65</v>
      </c>
      <c r="T983" s="23" t="s">
        <v>49</v>
      </c>
      <c r="U983" s="23">
        <f>IF(tbl_raw[[#This Row],[Order_Status]]="Returned",1,0)</f>
        <v>0</v>
      </c>
      <c r="V983" s="23">
        <f>IF(tbl_raw[[#This Row],[Payment_Method]]="COD",1,0)</f>
        <v>0</v>
      </c>
      <c r="W983" s="26">
        <f>MIN(1,(tbl_raw[[#This Row],[Discount_Pct]]*1.4)+(tbl_raw[[#This Row],[COD_Flag]]*0.35))</f>
        <v>0.51800000000000002</v>
      </c>
    </row>
    <row r="984" spans="1:23" ht="22.8" x14ac:dyDescent="0.3">
      <c r="A984" s="17" t="s">
        <v>2378</v>
      </c>
      <c r="B984" s="18" t="s">
        <v>935</v>
      </c>
      <c r="C984" s="18" t="s">
        <v>35</v>
      </c>
      <c r="D984" s="18" t="s">
        <v>175</v>
      </c>
      <c r="E984" s="18" t="s">
        <v>354</v>
      </c>
      <c r="F984" s="18" t="s">
        <v>2379</v>
      </c>
      <c r="G984" s="18" t="s">
        <v>47</v>
      </c>
      <c r="H984" s="18" t="s">
        <v>48</v>
      </c>
      <c r="I984" s="18">
        <v>10</v>
      </c>
      <c r="J984" s="19">
        <v>7118</v>
      </c>
      <c r="K984" s="19">
        <v>6762</v>
      </c>
      <c r="L984" s="20">
        <v>0.05</v>
      </c>
      <c r="M984" s="19">
        <v>3411</v>
      </c>
      <c r="N984" s="19">
        <f>(tbl_raw[[#This Row],[Selling_Price]]-tbl_raw[[#This Row],[Cost_Price]])*tbl_raw[[#This Row],[Units_Sold]]</f>
        <v>33510</v>
      </c>
      <c r="O984" s="20">
        <f>IFERROR((tbl_raw[[#This Row],[Selling_Price]]-tbl_raw[[#This Row],[Cost_Price]]) / tbl_raw[[#This Row],[Selling_Price]],0)</f>
        <v>0.49556344276841169</v>
      </c>
      <c r="P984" s="19">
        <v>58</v>
      </c>
      <c r="Q984" s="19">
        <f>tbl_raw[[#This Row],[Gross_Profit]]-(tbl_raw[[#This Row],[Shipping_Cost]]*tbl_raw[[#This Row],[Units_Sold]])</f>
        <v>32930</v>
      </c>
      <c r="R984" s="20">
        <f>IFERROR(tbl_raw[[#This Row],[Net_Profit]]/(tbl_raw[[#This Row],[Selling_Price]]*tbl_raw[[#This Row],[Units_Sold]]),0)</f>
        <v>0.486986098787341</v>
      </c>
      <c r="S984" s="18" t="s">
        <v>107</v>
      </c>
      <c r="T984" s="18" t="s">
        <v>49</v>
      </c>
      <c r="U984" s="18">
        <f>IF(tbl_raw[[#This Row],[Order_Status]]="Returned",1,0)</f>
        <v>0</v>
      </c>
      <c r="V984" s="18">
        <f>IF(tbl_raw[[#This Row],[Payment_Method]]="COD",1,0)</f>
        <v>0</v>
      </c>
      <c r="W984" s="21">
        <f>MIN(1,(tbl_raw[[#This Row],[Discount_Pct]]*1.4)+(tbl_raw[[#This Row],[COD_Flag]]*0.35))</f>
        <v>6.9999999999999993E-2</v>
      </c>
    </row>
    <row r="985" spans="1:23" ht="22.8" x14ac:dyDescent="0.3">
      <c r="A985" s="22" t="s">
        <v>2380</v>
      </c>
      <c r="B985" s="23" t="s">
        <v>842</v>
      </c>
      <c r="C985" s="23" t="s">
        <v>25</v>
      </c>
      <c r="D985" s="23" t="s">
        <v>53</v>
      </c>
      <c r="E985" s="23" t="s">
        <v>145</v>
      </c>
      <c r="F985" s="23" t="s">
        <v>1631</v>
      </c>
      <c r="G985" s="23" t="s">
        <v>47</v>
      </c>
      <c r="H985" s="23" t="s">
        <v>48</v>
      </c>
      <c r="I985" s="23">
        <v>12</v>
      </c>
      <c r="J985" s="24">
        <v>5357</v>
      </c>
      <c r="K985" s="24">
        <v>3964</v>
      </c>
      <c r="L985" s="25">
        <v>0.26</v>
      </c>
      <c r="M985" s="24">
        <v>3895</v>
      </c>
      <c r="N985" s="24">
        <f>(tbl_raw[[#This Row],[Selling_Price]]-tbl_raw[[#This Row],[Cost_Price]])*tbl_raw[[#This Row],[Units_Sold]]</f>
        <v>828</v>
      </c>
      <c r="O985" s="25">
        <f>IFERROR((tbl_raw[[#This Row],[Selling_Price]]-tbl_raw[[#This Row],[Cost_Price]]) / tbl_raw[[#This Row],[Selling_Price]],0)</f>
        <v>1.7406659939455095E-2</v>
      </c>
      <c r="P985" s="24">
        <v>35</v>
      </c>
      <c r="Q985" s="24">
        <f>tbl_raw[[#This Row],[Gross_Profit]]-(tbl_raw[[#This Row],[Shipping_Cost]]*tbl_raw[[#This Row],[Units_Sold]])</f>
        <v>408</v>
      </c>
      <c r="R985" s="25">
        <f>IFERROR(tbl_raw[[#This Row],[Net_Profit]]/(tbl_raw[[#This Row],[Selling_Price]]*tbl_raw[[#This Row],[Units_Sold]]),0)</f>
        <v>8.5771947527749741E-3</v>
      </c>
      <c r="S985" s="23" t="s">
        <v>31</v>
      </c>
      <c r="T985" s="23" t="s">
        <v>86</v>
      </c>
      <c r="U985" s="23">
        <f>IF(tbl_raw[[#This Row],[Order_Status]]="Returned",1,0)</f>
        <v>1</v>
      </c>
      <c r="V985" s="23">
        <f>IF(tbl_raw[[#This Row],[Payment_Method]]="COD",1,0)</f>
        <v>0</v>
      </c>
      <c r="W985" s="26">
        <f>MIN(1,(tbl_raw[[#This Row],[Discount_Pct]]*1.4)+(tbl_raw[[#This Row],[COD_Flag]]*0.35))</f>
        <v>0.36399999999999999</v>
      </c>
    </row>
    <row r="986" spans="1:23" ht="22.8" x14ac:dyDescent="0.3">
      <c r="A986" s="17" t="s">
        <v>2381</v>
      </c>
      <c r="B986" s="18" t="s">
        <v>1130</v>
      </c>
      <c r="C986" s="18" t="s">
        <v>43</v>
      </c>
      <c r="D986" s="18" t="s">
        <v>164</v>
      </c>
      <c r="E986" s="18" t="s">
        <v>265</v>
      </c>
      <c r="F986" s="18" t="s">
        <v>2382</v>
      </c>
      <c r="G986" s="18" t="s">
        <v>29</v>
      </c>
      <c r="H986" s="18" t="s">
        <v>30</v>
      </c>
      <c r="I986" s="18">
        <v>6</v>
      </c>
      <c r="J986" s="19">
        <v>3295</v>
      </c>
      <c r="K986" s="19">
        <v>3262</v>
      </c>
      <c r="L986" s="20">
        <v>0.01</v>
      </c>
      <c r="M986" s="19">
        <v>1872</v>
      </c>
      <c r="N986" s="19">
        <f>(tbl_raw[[#This Row],[Selling_Price]]-tbl_raw[[#This Row],[Cost_Price]])*tbl_raw[[#This Row],[Units_Sold]]</f>
        <v>8340</v>
      </c>
      <c r="O986" s="20">
        <f>IFERROR((tbl_raw[[#This Row],[Selling_Price]]-tbl_raw[[#This Row],[Cost_Price]]) / tbl_raw[[#This Row],[Selling_Price]],0)</f>
        <v>0.42611894543225015</v>
      </c>
      <c r="P986" s="19">
        <v>159</v>
      </c>
      <c r="Q986" s="19">
        <f>tbl_raw[[#This Row],[Gross_Profit]]-(tbl_raw[[#This Row],[Shipping_Cost]]*tbl_raw[[#This Row],[Units_Sold]])</f>
        <v>7386</v>
      </c>
      <c r="R986" s="20">
        <f>IFERROR(tbl_raw[[#This Row],[Net_Profit]]/(tbl_raw[[#This Row],[Selling_Price]]*tbl_raw[[#This Row],[Units_Sold]]),0)</f>
        <v>0.37737584304107907</v>
      </c>
      <c r="S986" s="18" t="s">
        <v>40</v>
      </c>
      <c r="T986" s="18" t="s">
        <v>59</v>
      </c>
      <c r="U986" s="18">
        <f>IF(tbl_raw[[#This Row],[Order_Status]]="Returned",1,0)</f>
        <v>0</v>
      </c>
      <c r="V986" s="18">
        <f>IF(tbl_raw[[#This Row],[Payment_Method]]="COD",1,0)</f>
        <v>1</v>
      </c>
      <c r="W986" s="21">
        <f>MIN(1,(tbl_raw[[#This Row],[Discount_Pct]]*1.4)+(tbl_raw[[#This Row],[COD_Flag]]*0.35))</f>
        <v>0.36399999999999999</v>
      </c>
    </row>
    <row r="987" spans="1:23" ht="22.8" x14ac:dyDescent="0.3">
      <c r="A987" s="22" t="s">
        <v>2383</v>
      </c>
      <c r="B987" s="23" t="s">
        <v>210</v>
      </c>
      <c r="C987" s="23" t="s">
        <v>199</v>
      </c>
      <c r="D987" s="23" t="s">
        <v>62</v>
      </c>
      <c r="E987" s="23" t="s">
        <v>203</v>
      </c>
      <c r="F987" s="23" t="s">
        <v>2384</v>
      </c>
      <c r="G987" s="23" t="s">
        <v>102</v>
      </c>
      <c r="H987" s="23" t="s">
        <v>39</v>
      </c>
      <c r="I987" s="23">
        <v>9</v>
      </c>
      <c r="J987" s="24">
        <v>4458</v>
      </c>
      <c r="K987" s="24">
        <v>4235</v>
      </c>
      <c r="L987" s="25">
        <v>0.05</v>
      </c>
      <c r="M987" s="24">
        <v>2219</v>
      </c>
      <c r="N987" s="24">
        <f>(tbl_raw[[#This Row],[Selling_Price]]-tbl_raw[[#This Row],[Cost_Price]])*tbl_raw[[#This Row],[Units_Sold]]</f>
        <v>18144</v>
      </c>
      <c r="O987" s="25">
        <f>IFERROR((tbl_raw[[#This Row],[Selling_Price]]-tbl_raw[[#This Row],[Cost_Price]]) / tbl_raw[[#This Row],[Selling_Price]],0)</f>
        <v>0.47603305785123967</v>
      </c>
      <c r="P987" s="24">
        <v>145</v>
      </c>
      <c r="Q987" s="24">
        <f>tbl_raw[[#This Row],[Gross_Profit]]-(tbl_raw[[#This Row],[Shipping_Cost]]*tbl_raw[[#This Row],[Units_Sold]])</f>
        <v>16839</v>
      </c>
      <c r="R987" s="25">
        <f>IFERROR(tbl_raw[[#This Row],[Net_Profit]]/(tbl_raw[[#This Row],[Selling_Price]]*tbl_raw[[#This Row],[Units_Sold]]),0)</f>
        <v>0.44179456906729636</v>
      </c>
      <c r="S987" s="23" t="s">
        <v>107</v>
      </c>
      <c r="T987" s="23" t="s">
        <v>49</v>
      </c>
      <c r="U987" s="23">
        <f>IF(tbl_raw[[#This Row],[Order_Status]]="Returned",1,0)</f>
        <v>0</v>
      </c>
      <c r="V987" s="23">
        <f>IF(tbl_raw[[#This Row],[Payment_Method]]="COD",1,0)</f>
        <v>0</v>
      </c>
      <c r="W987" s="26">
        <f>MIN(1,(tbl_raw[[#This Row],[Discount_Pct]]*1.4)+(tbl_raw[[#This Row],[COD_Flag]]*0.35))</f>
        <v>6.9999999999999993E-2</v>
      </c>
    </row>
    <row r="988" spans="1:23" ht="22.8" x14ac:dyDescent="0.3">
      <c r="A988" s="17" t="s">
        <v>2385</v>
      </c>
      <c r="B988" s="18" t="s">
        <v>372</v>
      </c>
      <c r="C988" s="18" t="s">
        <v>99</v>
      </c>
      <c r="D988" s="18" t="s">
        <v>62</v>
      </c>
      <c r="E988" s="18" t="s">
        <v>133</v>
      </c>
      <c r="F988" s="18" t="s">
        <v>2386</v>
      </c>
      <c r="G988" s="18" t="s">
        <v>120</v>
      </c>
      <c r="H988" s="18" t="s">
        <v>39</v>
      </c>
      <c r="I988" s="18">
        <v>11</v>
      </c>
      <c r="J988" s="19">
        <v>6154</v>
      </c>
      <c r="K988" s="19">
        <v>5416</v>
      </c>
      <c r="L988" s="20">
        <v>0.12</v>
      </c>
      <c r="M988" s="19">
        <v>4146</v>
      </c>
      <c r="N988" s="19">
        <f>(tbl_raw[[#This Row],[Selling_Price]]-tbl_raw[[#This Row],[Cost_Price]])*tbl_raw[[#This Row],[Units_Sold]]</f>
        <v>13970</v>
      </c>
      <c r="O988" s="20">
        <f>IFERROR((tbl_raw[[#This Row],[Selling_Price]]-tbl_raw[[#This Row],[Cost_Price]]) / tbl_raw[[#This Row],[Selling_Price]],0)</f>
        <v>0.2344903988183161</v>
      </c>
      <c r="P988" s="19">
        <v>94</v>
      </c>
      <c r="Q988" s="19">
        <f>tbl_raw[[#This Row],[Gross_Profit]]-(tbl_raw[[#This Row],[Shipping_Cost]]*tbl_raw[[#This Row],[Units_Sold]])</f>
        <v>12936</v>
      </c>
      <c r="R988" s="20">
        <f>IFERROR(tbl_raw[[#This Row],[Net_Profit]]/(tbl_raw[[#This Row],[Selling_Price]]*tbl_raw[[#This Row],[Units_Sold]]),0)</f>
        <v>0.2171344165435746</v>
      </c>
      <c r="S988" s="18" t="s">
        <v>58</v>
      </c>
      <c r="T988" s="18" t="s">
        <v>32</v>
      </c>
      <c r="U988" s="18">
        <f>IF(tbl_raw[[#This Row],[Order_Status]]="Returned",1,0)</f>
        <v>0</v>
      </c>
      <c r="V988" s="18">
        <f>IF(tbl_raw[[#This Row],[Payment_Method]]="COD",1,0)</f>
        <v>0</v>
      </c>
      <c r="W988" s="21">
        <f>MIN(1,(tbl_raw[[#This Row],[Discount_Pct]]*1.4)+(tbl_raw[[#This Row],[COD_Flag]]*0.35))</f>
        <v>0.16799999999999998</v>
      </c>
    </row>
    <row r="989" spans="1:23" ht="22.8" x14ac:dyDescent="0.3">
      <c r="A989" s="22" t="s">
        <v>2387</v>
      </c>
      <c r="B989" s="23" t="s">
        <v>2388</v>
      </c>
      <c r="C989" s="23" t="s">
        <v>35</v>
      </c>
      <c r="D989" s="23" t="s">
        <v>175</v>
      </c>
      <c r="E989" s="23" t="s">
        <v>354</v>
      </c>
      <c r="F989" s="23" t="s">
        <v>2389</v>
      </c>
      <c r="G989" s="23" t="s">
        <v>143</v>
      </c>
      <c r="H989" s="23" t="s">
        <v>30</v>
      </c>
      <c r="I989" s="23">
        <v>5</v>
      </c>
      <c r="J989" s="24">
        <v>7012</v>
      </c>
      <c r="K989" s="24">
        <v>6030</v>
      </c>
      <c r="L989" s="25">
        <v>0.14000000000000001</v>
      </c>
      <c r="M989" s="24">
        <v>3875</v>
      </c>
      <c r="N989" s="24">
        <f>(tbl_raw[[#This Row],[Selling_Price]]-tbl_raw[[#This Row],[Cost_Price]])*tbl_raw[[#This Row],[Units_Sold]]</f>
        <v>10775</v>
      </c>
      <c r="O989" s="25">
        <f>IFERROR((tbl_raw[[#This Row],[Selling_Price]]-tbl_raw[[#This Row],[Cost_Price]]) / tbl_raw[[#This Row],[Selling_Price]],0)</f>
        <v>0.357379767827529</v>
      </c>
      <c r="P989" s="24">
        <v>178</v>
      </c>
      <c r="Q989" s="24">
        <f>tbl_raw[[#This Row],[Gross_Profit]]-(tbl_raw[[#This Row],[Shipping_Cost]]*tbl_raw[[#This Row],[Units_Sold]])</f>
        <v>9885</v>
      </c>
      <c r="R989" s="25">
        <f>IFERROR(tbl_raw[[#This Row],[Net_Profit]]/(tbl_raw[[#This Row],[Selling_Price]]*tbl_raw[[#This Row],[Units_Sold]]),0)</f>
        <v>0.32786069651741295</v>
      </c>
      <c r="S989" s="23" t="s">
        <v>58</v>
      </c>
      <c r="T989" s="23" t="s">
        <v>49</v>
      </c>
      <c r="U989" s="23">
        <f>IF(tbl_raw[[#This Row],[Order_Status]]="Returned",1,0)</f>
        <v>0</v>
      </c>
      <c r="V989" s="23">
        <f>IF(tbl_raw[[#This Row],[Payment_Method]]="COD",1,0)</f>
        <v>0</v>
      </c>
      <c r="W989" s="26">
        <f>MIN(1,(tbl_raw[[#This Row],[Discount_Pct]]*1.4)+(tbl_raw[[#This Row],[COD_Flag]]*0.35))</f>
        <v>0.19600000000000001</v>
      </c>
    </row>
    <row r="990" spans="1:23" ht="22.8" x14ac:dyDescent="0.3">
      <c r="A990" s="17" t="s">
        <v>2390</v>
      </c>
      <c r="B990" s="18" t="s">
        <v>1392</v>
      </c>
      <c r="C990" s="18" t="s">
        <v>43</v>
      </c>
      <c r="D990" s="18" t="s">
        <v>94</v>
      </c>
      <c r="E990" s="18" t="s">
        <v>95</v>
      </c>
      <c r="F990" s="18" t="s">
        <v>2391</v>
      </c>
      <c r="G990" s="18" t="s">
        <v>29</v>
      </c>
      <c r="H990" s="18" t="s">
        <v>30</v>
      </c>
      <c r="I990" s="18">
        <v>1</v>
      </c>
      <c r="J990" s="19">
        <v>1750</v>
      </c>
      <c r="K990" s="19">
        <v>1155</v>
      </c>
      <c r="L990" s="20">
        <v>0.34</v>
      </c>
      <c r="M990" s="19">
        <v>1022</v>
      </c>
      <c r="N990" s="19">
        <f>(tbl_raw[[#This Row],[Selling_Price]]-tbl_raw[[#This Row],[Cost_Price]])*tbl_raw[[#This Row],[Units_Sold]]</f>
        <v>133</v>
      </c>
      <c r="O990" s="20">
        <f>IFERROR((tbl_raw[[#This Row],[Selling_Price]]-tbl_raw[[#This Row],[Cost_Price]]) / tbl_raw[[#This Row],[Selling_Price]],0)</f>
        <v>0.11515151515151516</v>
      </c>
      <c r="P990" s="19">
        <v>147</v>
      </c>
      <c r="Q990" s="19">
        <f>tbl_raw[[#This Row],[Gross_Profit]]-(tbl_raw[[#This Row],[Shipping_Cost]]*tbl_raw[[#This Row],[Units_Sold]])</f>
        <v>-14</v>
      </c>
      <c r="R990" s="20">
        <f>IFERROR(tbl_raw[[#This Row],[Net_Profit]]/(tbl_raw[[#This Row],[Selling_Price]]*tbl_raw[[#This Row],[Units_Sold]]),0)</f>
        <v>-1.2121212121212121E-2</v>
      </c>
      <c r="S990" s="18" t="s">
        <v>65</v>
      </c>
      <c r="T990" s="18" t="s">
        <v>32</v>
      </c>
      <c r="U990" s="18">
        <f>IF(tbl_raw[[#This Row],[Order_Status]]="Returned",1,0)</f>
        <v>0</v>
      </c>
      <c r="V990" s="18">
        <f>IF(tbl_raw[[#This Row],[Payment_Method]]="COD",1,0)</f>
        <v>0</v>
      </c>
      <c r="W990" s="21">
        <f>MIN(1,(tbl_raw[[#This Row],[Discount_Pct]]*1.4)+(tbl_raw[[#This Row],[COD_Flag]]*0.35))</f>
        <v>0.47599999999999998</v>
      </c>
    </row>
    <row r="991" spans="1:23" ht="22.8" x14ac:dyDescent="0.3">
      <c r="A991" s="22" t="s">
        <v>2392</v>
      </c>
      <c r="B991" s="23" t="s">
        <v>762</v>
      </c>
      <c r="C991" s="23" t="s">
        <v>105</v>
      </c>
      <c r="D991" s="23" t="s">
        <v>94</v>
      </c>
      <c r="E991" s="23" t="s">
        <v>137</v>
      </c>
      <c r="F991" s="23" t="s">
        <v>2393</v>
      </c>
      <c r="G991" s="23" t="s">
        <v>56</v>
      </c>
      <c r="H991" s="23" t="s">
        <v>57</v>
      </c>
      <c r="I991" s="23">
        <v>6</v>
      </c>
      <c r="J991" s="24">
        <v>981</v>
      </c>
      <c r="K991" s="24">
        <v>912</v>
      </c>
      <c r="L991" s="25">
        <v>7.0000000000000007E-2</v>
      </c>
      <c r="M991" s="24">
        <v>610</v>
      </c>
      <c r="N991" s="24">
        <f>(tbl_raw[[#This Row],[Selling_Price]]-tbl_raw[[#This Row],[Cost_Price]])*tbl_raw[[#This Row],[Units_Sold]]</f>
        <v>1812</v>
      </c>
      <c r="O991" s="25">
        <f>IFERROR((tbl_raw[[#This Row],[Selling_Price]]-tbl_raw[[#This Row],[Cost_Price]]) / tbl_raw[[#This Row],[Selling_Price]],0)</f>
        <v>0.33114035087719296</v>
      </c>
      <c r="P991" s="24">
        <v>123</v>
      </c>
      <c r="Q991" s="24">
        <f>tbl_raw[[#This Row],[Gross_Profit]]-(tbl_raw[[#This Row],[Shipping_Cost]]*tbl_raw[[#This Row],[Units_Sold]])</f>
        <v>1074</v>
      </c>
      <c r="R991" s="25">
        <f>IFERROR(tbl_raw[[#This Row],[Net_Profit]]/(tbl_raw[[#This Row],[Selling_Price]]*tbl_raw[[#This Row],[Units_Sold]]),0)</f>
        <v>0.1962719298245614</v>
      </c>
      <c r="S991" s="23" t="s">
        <v>40</v>
      </c>
      <c r="T991" s="23" t="s">
        <v>49</v>
      </c>
      <c r="U991" s="23">
        <f>IF(tbl_raw[[#This Row],[Order_Status]]="Returned",1,0)</f>
        <v>0</v>
      </c>
      <c r="V991" s="23">
        <f>IF(tbl_raw[[#This Row],[Payment_Method]]="COD",1,0)</f>
        <v>1</v>
      </c>
      <c r="W991" s="26">
        <f>MIN(1,(tbl_raw[[#This Row],[Discount_Pct]]*1.4)+(tbl_raw[[#This Row],[COD_Flag]]*0.35))</f>
        <v>0.44799999999999995</v>
      </c>
    </row>
    <row r="992" spans="1:23" ht="22.8" x14ac:dyDescent="0.3">
      <c r="A992" s="17" t="s">
        <v>2394</v>
      </c>
      <c r="B992" s="18" t="s">
        <v>779</v>
      </c>
      <c r="C992" s="18" t="s">
        <v>52</v>
      </c>
      <c r="D992" s="18" t="s">
        <v>94</v>
      </c>
      <c r="E992" s="18" t="s">
        <v>180</v>
      </c>
      <c r="F992" s="18" t="s">
        <v>2395</v>
      </c>
      <c r="G992" s="18" t="s">
        <v>47</v>
      </c>
      <c r="H992" s="18" t="s">
        <v>48</v>
      </c>
      <c r="I992" s="18">
        <v>10</v>
      </c>
      <c r="J992" s="19">
        <v>3240</v>
      </c>
      <c r="K992" s="19">
        <v>2495</v>
      </c>
      <c r="L992" s="20">
        <v>0.23</v>
      </c>
      <c r="M992" s="19">
        <v>1774</v>
      </c>
      <c r="N992" s="19">
        <f>(tbl_raw[[#This Row],[Selling_Price]]-tbl_raw[[#This Row],[Cost_Price]])*tbl_raw[[#This Row],[Units_Sold]]</f>
        <v>7210</v>
      </c>
      <c r="O992" s="20">
        <f>IFERROR((tbl_raw[[#This Row],[Selling_Price]]-tbl_raw[[#This Row],[Cost_Price]]) / tbl_raw[[#This Row],[Selling_Price]],0)</f>
        <v>0.28897795591182363</v>
      </c>
      <c r="P992" s="19">
        <v>101</v>
      </c>
      <c r="Q992" s="19">
        <f>tbl_raw[[#This Row],[Gross_Profit]]-(tbl_raw[[#This Row],[Shipping_Cost]]*tbl_raw[[#This Row],[Units_Sold]])</f>
        <v>6200</v>
      </c>
      <c r="R992" s="20">
        <f>IFERROR(tbl_raw[[#This Row],[Net_Profit]]/(tbl_raw[[#This Row],[Selling_Price]]*tbl_raw[[#This Row],[Units_Sold]]),0)</f>
        <v>0.24849699398797595</v>
      </c>
      <c r="S992" s="18" t="s">
        <v>107</v>
      </c>
      <c r="T992" s="18" t="s">
        <v>49</v>
      </c>
      <c r="U992" s="18">
        <f>IF(tbl_raw[[#This Row],[Order_Status]]="Returned",1,0)</f>
        <v>0</v>
      </c>
      <c r="V992" s="18">
        <f>IF(tbl_raw[[#This Row],[Payment_Method]]="COD",1,0)</f>
        <v>0</v>
      </c>
      <c r="W992" s="21">
        <f>MIN(1,(tbl_raw[[#This Row],[Discount_Pct]]*1.4)+(tbl_raw[[#This Row],[COD_Flag]]*0.35))</f>
        <v>0.32200000000000001</v>
      </c>
    </row>
    <row r="993" spans="1:23" ht="22.8" x14ac:dyDescent="0.3">
      <c r="A993" s="22" t="s">
        <v>2396</v>
      </c>
      <c r="B993" s="23" t="s">
        <v>1125</v>
      </c>
      <c r="C993" s="23" t="s">
        <v>132</v>
      </c>
      <c r="D993" s="23" t="s">
        <v>53</v>
      </c>
      <c r="E993" s="23" t="s">
        <v>54</v>
      </c>
      <c r="F993" s="23" t="s">
        <v>2397</v>
      </c>
      <c r="G993" s="23" t="s">
        <v>143</v>
      </c>
      <c r="H993" s="23" t="s">
        <v>30</v>
      </c>
      <c r="I993" s="23">
        <v>7</v>
      </c>
      <c r="J993" s="24">
        <v>7400</v>
      </c>
      <c r="K993" s="24">
        <v>5328</v>
      </c>
      <c r="L993" s="25">
        <v>0.28000000000000003</v>
      </c>
      <c r="M993" s="24">
        <v>5445</v>
      </c>
      <c r="N993" s="24">
        <f>(tbl_raw[[#This Row],[Selling_Price]]-tbl_raw[[#This Row],[Cost_Price]])*tbl_raw[[#This Row],[Units_Sold]]</f>
        <v>-819</v>
      </c>
      <c r="O993" s="25">
        <f>IFERROR((tbl_raw[[#This Row],[Selling_Price]]-tbl_raw[[#This Row],[Cost_Price]]) / tbl_raw[[#This Row],[Selling_Price]],0)</f>
        <v>-2.1959459459459461E-2</v>
      </c>
      <c r="P993" s="24">
        <v>39</v>
      </c>
      <c r="Q993" s="24">
        <f>tbl_raw[[#This Row],[Gross_Profit]]-(tbl_raw[[#This Row],[Shipping_Cost]]*tbl_raw[[#This Row],[Units_Sold]])</f>
        <v>-1092</v>
      </c>
      <c r="R993" s="25">
        <f>IFERROR(tbl_raw[[#This Row],[Net_Profit]]/(tbl_raw[[#This Row],[Selling_Price]]*tbl_raw[[#This Row],[Units_Sold]]),0)</f>
        <v>-2.9279279279279279E-2</v>
      </c>
      <c r="S993" s="23" t="s">
        <v>31</v>
      </c>
      <c r="T993" s="23" t="s">
        <v>32</v>
      </c>
      <c r="U993" s="23">
        <f>IF(tbl_raw[[#This Row],[Order_Status]]="Returned",1,0)</f>
        <v>0</v>
      </c>
      <c r="V993" s="23">
        <f>IF(tbl_raw[[#This Row],[Payment_Method]]="COD",1,0)</f>
        <v>0</v>
      </c>
      <c r="W993" s="26">
        <f>MIN(1,(tbl_raw[[#This Row],[Discount_Pct]]*1.4)+(tbl_raw[[#This Row],[COD_Flag]]*0.35))</f>
        <v>0.39200000000000002</v>
      </c>
    </row>
    <row r="994" spans="1:23" ht="22.8" x14ac:dyDescent="0.3">
      <c r="A994" s="17" t="s">
        <v>2398</v>
      </c>
      <c r="B994" s="18" t="s">
        <v>2230</v>
      </c>
      <c r="C994" s="18" t="s">
        <v>43</v>
      </c>
      <c r="D994" s="18" t="s">
        <v>94</v>
      </c>
      <c r="E994" s="18" t="s">
        <v>310</v>
      </c>
      <c r="F994" s="18" t="s">
        <v>2119</v>
      </c>
      <c r="G994" s="18" t="s">
        <v>81</v>
      </c>
      <c r="H994" s="18" t="s">
        <v>30</v>
      </c>
      <c r="I994" s="18">
        <v>14</v>
      </c>
      <c r="J994" s="19">
        <v>3250</v>
      </c>
      <c r="K994" s="19">
        <v>2958</v>
      </c>
      <c r="L994" s="20">
        <v>0.09</v>
      </c>
      <c r="M994" s="19">
        <v>2249</v>
      </c>
      <c r="N994" s="19">
        <f>(tbl_raw[[#This Row],[Selling_Price]]-tbl_raw[[#This Row],[Cost_Price]])*tbl_raw[[#This Row],[Units_Sold]]</f>
        <v>9926</v>
      </c>
      <c r="O994" s="20">
        <f>IFERROR((tbl_raw[[#This Row],[Selling_Price]]-tbl_raw[[#This Row],[Cost_Price]]) / tbl_raw[[#This Row],[Selling_Price]],0)</f>
        <v>0.23968897903989181</v>
      </c>
      <c r="P994" s="19">
        <v>41</v>
      </c>
      <c r="Q994" s="19">
        <f>tbl_raw[[#This Row],[Gross_Profit]]-(tbl_raw[[#This Row],[Shipping_Cost]]*tbl_raw[[#This Row],[Units_Sold]])</f>
        <v>9352</v>
      </c>
      <c r="R994" s="20">
        <f>IFERROR(tbl_raw[[#This Row],[Net_Profit]]/(tbl_raw[[#This Row],[Selling_Price]]*tbl_raw[[#This Row],[Units_Sold]]),0)</f>
        <v>0.22582826233941852</v>
      </c>
      <c r="S994" s="18" t="s">
        <v>107</v>
      </c>
      <c r="T994" s="18" t="s">
        <v>32</v>
      </c>
      <c r="U994" s="18">
        <f>IF(tbl_raw[[#This Row],[Order_Status]]="Returned",1,0)</f>
        <v>0</v>
      </c>
      <c r="V994" s="18">
        <f>IF(tbl_raw[[#This Row],[Payment_Method]]="COD",1,0)</f>
        <v>0</v>
      </c>
      <c r="W994" s="21">
        <f>MIN(1,(tbl_raw[[#This Row],[Discount_Pct]]*1.4)+(tbl_raw[[#This Row],[COD_Flag]]*0.35))</f>
        <v>0.126</v>
      </c>
    </row>
    <row r="995" spans="1:23" ht="22.8" x14ac:dyDescent="0.3">
      <c r="A995" s="22" t="s">
        <v>2399</v>
      </c>
      <c r="B995" s="23" t="s">
        <v>1645</v>
      </c>
      <c r="C995" s="23" t="s">
        <v>156</v>
      </c>
      <c r="D995" s="23" t="s">
        <v>164</v>
      </c>
      <c r="E995" s="23" t="s">
        <v>165</v>
      </c>
      <c r="F995" s="23" t="s">
        <v>2400</v>
      </c>
      <c r="G995" s="23" t="s">
        <v>81</v>
      </c>
      <c r="H995" s="23" t="s">
        <v>30</v>
      </c>
      <c r="I995" s="23">
        <v>9</v>
      </c>
      <c r="J995" s="24">
        <v>6133</v>
      </c>
      <c r="K995" s="24">
        <v>6133</v>
      </c>
      <c r="L995" s="25">
        <v>0</v>
      </c>
      <c r="M995" s="24">
        <v>2705</v>
      </c>
      <c r="N995" s="24">
        <f>(tbl_raw[[#This Row],[Selling_Price]]-tbl_raw[[#This Row],[Cost_Price]])*tbl_raw[[#This Row],[Units_Sold]]</f>
        <v>30852</v>
      </c>
      <c r="O995" s="25">
        <f>IFERROR((tbl_raw[[#This Row],[Selling_Price]]-tbl_raw[[#This Row],[Cost_Price]]) / tbl_raw[[#This Row],[Selling_Price]],0)</f>
        <v>0.55894342083808901</v>
      </c>
      <c r="P995" s="24">
        <v>77</v>
      </c>
      <c r="Q995" s="24">
        <f>tbl_raw[[#This Row],[Gross_Profit]]-(tbl_raw[[#This Row],[Shipping_Cost]]*tbl_raw[[#This Row],[Units_Sold]])</f>
        <v>30159</v>
      </c>
      <c r="R995" s="25">
        <f>IFERROR(tbl_raw[[#This Row],[Net_Profit]]/(tbl_raw[[#This Row],[Selling_Price]]*tbl_raw[[#This Row],[Units_Sold]]),0)</f>
        <v>0.54638839067340617</v>
      </c>
      <c r="S995" s="23" t="s">
        <v>58</v>
      </c>
      <c r="T995" s="23" t="s">
        <v>32</v>
      </c>
      <c r="U995" s="23">
        <f>IF(tbl_raw[[#This Row],[Order_Status]]="Returned",1,0)</f>
        <v>0</v>
      </c>
      <c r="V995" s="23">
        <f>IF(tbl_raw[[#This Row],[Payment_Method]]="COD",1,0)</f>
        <v>0</v>
      </c>
      <c r="W995" s="26">
        <f>MIN(1,(tbl_raw[[#This Row],[Discount_Pct]]*1.4)+(tbl_raw[[#This Row],[COD_Flag]]*0.35))</f>
        <v>0</v>
      </c>
    </row>
    <row r="996" spans="1:23" ht="22.8" x14ac:dyDescent="0.3">
      <c r="A996" s="17" t="s">
        <v>2401</v>
      </c>
      <c r="B996" s="18" t="s">
        <v>935</v>
      </c>
      <c r="C996" s="18" t="s">
        <v>35</v>
      </c>
      <c r="D996" s="18" t="s">
        <v>62</v>
      </c>
      <c r="E996" s="18" t="s">
        <v>63</v>
      </c>
      <c r="F996" s="18" t="s">
        <v>1441</v>
      </c>
      <c r="G996" s="18" t="s">
        <v>120</v>
      </c>
      <c r="H996" s="18" t="s">
        <v>39</v>
      </c>
      <c r="I996" s="18">
        <v>18</v>
      </c>
      <c r="J996" s="19">
        <v>5995</v>
      </c>
      <c r="K996" s="19">
        <v>4796</v>
      </c>
      <c r="L996" s="20">
        <v>0.2</v>
      </c>
      <c r="M996" s="19">
        <v>2546</v>
      </c>
      <c r="N996" s="19">
        <f>(tbl_raw[[#This Row],[Selling_Price]]-tbl_raw[[#This Row],[Cost_Price]])*tbl_raw[[#This Row],[Units_Sold]]</f>
        <v>40500</v>
      </c>
      <c r="O996" s="20">
        <f>IFERROR((tbl_raw[[#This Row],[Selling_Price]]-tbl_raw[[#This Row],[Cost_Price]]) / tbl_raw[[#This Row],[Selling_Price]],0)</f>
        <v>0.46914095079232693</v>
      </c>
      <c r="P996" s="19">
        <v>177</v>
      </c>
      <c r="Q996" s="19">
        <f>tbl_raw[[#This Row],[Gross_Profit]]-(tbl_raw[[#This Row],[Shipping_Cost]]*tbl_raw[[#This Row],[Units_Sold]])</f>
        <v>37314</v>
      </c>
      <c r="R996" s="20">
        <f>IFERROR(tbl_raw[[#This Row],[Net_Profit]]/(tbl_raw[[#This Row],[Selling_Price]]*tbl_raw[[#This Row],[Units_Sold]]),0)</f>
        <v>0.43223519599666388</v>
      </c>
      <c r="S996" s="18" t="s">
        <v>107</v>
      </c>
      <c r="T996" s="18" t="s">
        <v>49</v>
      </c>
      <c r="U996" s="18">
        <f>IF(tbl_raw[[#This Row],[Order_Status]]="Returned",1,0)</f>
        <v>0</v>
      </c>
      <c r="V996" s="18">
        <f>IF(tbl_raw[[#This Row],[Payment_Method]]="COD",1,0)</f>
        <v>0</v>
      </c>
      <c r="W996" s="21">
        <f>MIN(1,(tbl_raw[[#This Row],[Discount_Pct]]*1.4)+(tbl_raw[[#This Row],[COD_Flag]]*0.35))</f>
        <v>0.27999999999999997</v>
      </c>
    </row>
    <row r="997" spans="1:23" ht="22.8" x14ac:dyDescent="0.3">
      <c r="A997" s="22" t="s">
        <v>2402</v>
      </c>
      <c r="B997" s="23" t="s">
        <v>811</v>
      </c>
      <c r="C997" s="23" t="s">
        <v>132</v>
      </c>
      <c r="D997" s="23" t="s">
        <v>53</v>
      </c>
      <c r="E997" s="23" t="s">
        <v>149</v>
      </c>
      <c r="F997" s="23" t="s">
        <v>2403</v>
      </c>
      <c r="G997" s="23" t="s">
        <v>75</v>
      </c>
      <c r="H997" s="23" t="s">
        <v>48</v>
      </c>
      <c r="I997" s="23">
        <v>14</v>
      </c>
      <c r="J997" s="24">
        <v>4763</v>
      </c>
      <c r="K997" s="24">
        <v>2905</v>
      </c>
      <c r="L997" s="25">
        <v>0.39</v>
      </c>
      <c r="M997" s="24">
        <v>3058</v>
      </c>
      <c r="N997" s="24">
        <f>(tbl_raw[[#This Row],[Selling_Price]]-tbl_raw[[#This Row],[Cost_Price]])*tbl_raw[[#This Row],[Units_Sold]]</f>
        <v>-2142</v>
      </c>
      <c r="O997" s="25">
        <f>IFERROR((tbl_raw[[#This Row],[Selling_Price]]-tbl_raw[[#This Row],[Cost_Price]]) / tbl_raw[[#This Row],[Selling_Price]],0)</f>
        <v>-5.2667814113597243E-2</v>
      </c>
      <c r="P997" s="24">
        <v>149</v>
      </c>
      <c r="Q997" s="24">
        <f>tbl_raw[[#This Row],[Gross_Profit]]-(tbl_raw[[#This Row],[Shipping_Cost]]*tbl_raw[[#This Row],[Units_Sold]])</f>
        <v>-4228</v>
      </c>
      <c r="R997" s="25">
        <f>IFERROR(tbl_raw[[#This Row],[Net_Profit]]/(tbl_raw[[#This Row],[Selling_Price]]*tbl_raw[[#This Row],[Units_Sold]]),0)</f>
        <v>-0.10395869191049914</v>
      </c>
      <c r="S997" s="23" t="s">
        <v>107</v>
      </c>
      <c r="T997" s="23" t="s">
        <v>32</v>
      </c>
      <c r="U997" s="23">
        <f>IF(tbl_raw[[#This Row],[Order_Status]]="Returned",1,0)</f>
        <v>0</v>
      </c>
      <c r="V997" s="23">
        <f>IF(tbl_raw[[#This Row],[Payment_Method]]="COD",1,0)</f>
        <v>0</v>
      </c>
      <c r="W997" s="26">
        <f>MIN(1,(tbl_raw[[#This Row],[Discount_Pct]]*1.4)+(tbl_raw[[#This Row],[COD_Flag]]*0.35))</f>
        <v>0.54599999999999993</v>
      </c>
    </row>
    <row r="998" spans="1:23" ht="22.8" x14ac:dyDescent="0.3">
      <c r="A998" s="17" t="s">
        <v>2404</v>
      </c>
      <c r="B998" s="18" t="s">
        <v>704</v>
      </c>
      <c r="C998" s="18" t="s">
        <v>156</v>
      </c>
      <c r="D998" s="18" t="s">
        <v>44</v>
      </c>
      <c r="E998" s="18" t="s">
        <v>73</v>
      </c>
      <c r="F998" s="18" t="s">
        <v>2405</v>
      </c>
      <c r="G998" s="18" t="s">
        <v>75</v>
      </c>
      <c r="H998" s="18" t="s">
        <v>48</v>
      </c>
      <c r="I998" s="18">
        <v>14</v>
      </c>
      <c r="J998" s="19">
        <v>3489</v>
      </c>
      <c r="K998" s="19">
        <v>2477</v>
      </c>
      <c r="L998" s="20">
        <v>0.28999999999999998</v>
      </c>
      <c r="M998" s="19">
        <v>2452</v>
      </c>
      <c r="N998" s="19">
        <f>(tbl_raw[[#This Row],[Selling_Price]]-tbl_raw[[#This Row],[Cost_Price]])*tbl_raw[[#This Row],[Units_Sold]]</f>
        <v>350</v>
      </c>
      <c r="O998" s="20">
        <f>IFERROR((tbl_raw[[#This Row],[Selling_Price]]-tbl_raw[[#This Row],[Cost_Price]]) / tbl_raw[[#This Row],[Selling_Price]],0)</f>
        <v>1.0092854259184497E-2</v>
      </c>
      <c r="P998" s="19">
        <v>72</v>
      </c>
      <c r="Q998" s="19">
        <f>tbl_raw[[#This Row],[Gross_Profit]]-(tbl_raw[[#This Row],[Shipping_Cost]]*tbl_raw[[#This Row],[Units_Sold]])</f>
        <v>-658</v>
      </c>
      <c r="R998" s="20">
        <f>IFERROR(tbl_raw[[#This Row],[Net_Profit]]/(tbl_raw[[#This Row],[Selling_Price]]*tbl_raw[[#This Row],[Units_Sold]]),0)</f>
        <v>-1.8974566007266856E-2</v>
      </c>
      <c r="S998" s="18" t="s">
        <v>107</v>
      </c>
      <c r="T998" s="18" t="s">
        <v>32</v>
      </c>
      <c r="U998" s="18">
        <f>IF(tbl_raw[[#This Row],[Order_Status]]="Returned",1,0)</f>
        <v>0</v>
      </c>
      <c r="V998" s="18">
        <f>IF(tbl_raw[[#This Row],[Payment_Method]]="COD",1,0)</f>
        <v>0</v>
      </c>
      <c r="W998" s="21">
        <f>MIN(1,(tbl_raw[[#This Row],[Discount_Pct]]*1.4)+(tbl_raw[[#This Row],[COD_Flag]]*0.35))</f>
        <v>0.40599999999999997</v>
      </c>
    </row>
    <row r="999" spans="1:23" ht="22.8" x14ac:dyDescent="0.3">
      <c r="A999" s="22" t="s">
        <v>2406</v>
      </c>
      <c r="B999" s="23" t="s">
        <v>2407</v>
      </c>
      <c r="C999" s="23" t="s">
        <v>89</v>
      </c>
      <c r="D999" s="23" t="s">
        <v>53</v>
      </c>
      <c r="E999" s="23" t="s">
        <v>160</v>
      </c>
      <c r="F999" s="23" t="s">
        <v>2408</v>
      </c>
      <c r="G999" s="23" t="s">
        <v>139</v>
      </c>
      <c r="H999" s="23" t="s">
        <v>48</v>
      </c>
      <c r="I999" s="23">
        <v>4</v>
      </c>
      <c r="J999" s="24">
        <v>5762</v>
      </c>
      <c r="K999" s="24">
        <v>4494</v>
      </c>
      <c r="L999" s="25">
        <v>0.22</v>
      </c>
      <c r="M999" s="24">
        <v>3486</v>
      </c>
      <c r="N999" s="24">
        <f>(tbl_raw[[#This Row],[Selling_Price]]-tbl_raw[[#This Row],[Cost_Price]])*tbl_raw[[#This Row],[Units_Sold]]</f>
        <v>4032</v>
      </c>
      <c r="O999" s="25">
        <f>IFERROR((tbl_raw[[#This Row],[Selling_Price]]-tbl_raw[[#This Row],[Cost_Price]]) / tbl_raw[[#This Row],[Selling_Price]],0)</f>
        <v>0.22429906542056074</v>
      </c>
      <c r="P999" s="24">
        <v>63</v>
      </c>
      <c r="Q999" s="24">
        <f>tbl_raw[[#This Row],[Gross_Profit]]-(tbl_raw[[#This Row],[Shipping_Cost]]*tbl_raw[[#This Row],[Units_Sold]])</f>
        <v>3780</v>
      </c>
      <c r="R999" s="25">
        <f>IFERROR(tbl_raw[[#This Row],[Net_Profit]]/(tbl_raw[[#This Row],[Selling_Price]]*tbl_raw[[#This Row],[Units_Sold]]),0)</f>
        <v>0.2102803738317757</v>
      </c>
      <c r="S999" s="23" t="s">
        <v>31</v>
      </c>
      <c r="T999" s="23" t="s">
        <v>32</v>
      </c>
      <c r="U999" s="23">
        <f>IF(tbl_raw[[#This Row],[Order_Status]]="Returned",1,0)</f>
        <v>0</v>
      </c>
      <c r="V999" s="23">
        <f>IF(tbl_raw[[#This Row],[Payment_Method]]="COD",1,0)</f>
        <v>0</v>
      </c>
      <c r="W999" s="26">
        <f>MIN(1,(tbl_raw[[#This Row],[Discount_Pct]]*1.4)+(tbl_raw[[#This Row],[COD_Flag]]*0.35))</f>
        <v>0.308</v>
      </c>
    </row>
    <row r="1000" spans="1:23" ht="22.8" x14ac:dyDescent="0.3">
      <c r="A1000" s="17" t="s">
        <v>2409</v>
      </c>
      <c r="B1000" s="18" t="s">
        <v>527</v>
      </c>
      <c r="C1000" s="18" t="s">
        <v>156</v>
      </c>
      <c r="D1000" s="18" t="s">
        <v>78</v>
      </c>
      <c r="E1000" s="18" t="s">
        <v>84</v>
      </c>
      <c r="F1000" s="18" t="s">
        <v>2410</v>
      </c>
      <c r="G1000" s="18" t="s">
        <v>47</v>
      </c>
      <c r="H1000" s="18" t="s">
        <v>48</v>
      </c>
      <c r="I1000" s="18">
        <v>2</v>
      </c>
      <c r="J1000" s="19">
        <v>4893</v>
      </c>
      <c r="K1000" s="19">
        <v>3572</v>
      </c>
      <c r="L1000" s="20">
        <v>0.27</v>
      </c>
      <c r="M1000" s="19">
        <v>3316</v>
      </c>
      <c r="N1000" s="19">
        <f>(tbl_raw[[#This Row],[Selling_Price]]-tbl_raw[[#This Row],[Cost_Price]])*tbl_raw[[#This Row],[Units_Sold]]</f>
        <v>512</v>
      </c>
      <c r="O1000" s="20">
        <f>IFERROR((tbl_raw[[#This Row],[Selling_Price]]-tbl_raw[[#This Row],[Cost_Price]]) / tbl_raw[[#This Row],[Selling_Price]],0)</f>
        <v>7.1668533034714446E-2</v>
      </c>
      <c r="P1000" s="19">
        <v>173</v>
      </c>
      <c r="Q1000" s="19">
        <f>tbl_raw[[#This Row],[Gross_Profit]]-(tbl_raw[[#This Row],[Shipping_Cost]]*tbl_raw[[#This Row],[Units_Sold]])</f>
        <v>166</v>
      </c>
      <c r="R1000" s="20">
        <f>IFERROR(tbl_raw[[#This Row],[Net_Profit]]/(tbl_raw[[#This Row],[Selling_Price]]*tbl_raw[[#This Row],[Units_Sold]]),0)</f>
        <v>2.3236282194848825E-2</v>
      </c>
      <c r="S1000" s="18" t="s">
        <v>65</v>
      </c>
      <c r="T1000" s="18" t="s">
        <v>49</v>
      </c>
      <c r="U1000" s="18">
        <f>IF(tbl_raw[[#This Row],[Order_Status]]="Returned",1,0)</f>
        <v>0</v>
      </c>
      <c r="V1000" s="18">
        <f>IF(tbl_raw[[#This Row],[Payment_Method]]="COD",1,0)</f>
        <v>0</v>
      </c>
      <c r="W1000" s="21">
        <f>MIN(1,(tbl_raw[[#This Row],[Discount_Pct]]*1.4)+(tbl_raw[[#This Row],[COD_Flag]]*0.35))</f>
        <v>0.378</v>
      </c>
    </row>
    <row r="1001" spans="1:23" ht="22.8" x14ac:dyDescent="0.3">
      <c r="A1001" s="27" t="s">
        <v>2411</v>
      </c>
      <c r="B1001" s="28" t="s">
        <v>1462</v>
      </c>
      <c r="C1001" s="28" t="s">
        <v>35</v>
      </c>
      <c r="D1001" s="28" t="s">
        <v>78</v>
      </c>
      <c r="E1001" s="28" t="s">
        <v>534</v>
      </c>
      <c r="F1001" s="28" t="s">
        <v>2412</v>
      </c>
      <c r="G1001" s="28" t="s">
        <v>139</v>
      </c>
      <c r="H1001" s="28" t="s">
        <v>48</v>
      </c>
      <c r="I1001" s="28">
        <v>12</v>
      </c>
      <c r="J1001" s="29">
        <v>5247</v>
      </c>
      <c r="K1001" s="29">
        <v>4198</v>
      </c>
      <c r="L1001" s="30">
        <v>0.2</v>
      </c>
      <c r="M1001" s="29">
        <v>2945</v>
      </c>
      <c r="N1001" s="24">
        <f>(tbl_raw[[#This Row],[Selling_Price]]-tbl_raw[[#This Row],[Cost_Price]])*tbl_raw[[#This Row],[Units_Sold]]</f>
        <v>15036</v>
      </c>
      <c r="O1001" s="25">
        <f>IFERROR((tbl_raw[[#This Row],[Selling_Price]]-tbl_raw[[#This Row],[Cost_Price]]) / tbl_raw[[#This Row],[Selling_Price]],0)</f>
        <v>0.29847546450690804</v>
      </c>
      <c r="P1001" s="29">
        <v>160</v>
      </c>
      <c r="Q1001" s="24">
        <f>tbl_raw[[#This Row],[Gross_Profit]]-(tbl_raw[[#This Row],[Shipping_Cost]]*tbl_raw[[#This Row],[Units_Sold]])</f>
        <v>13116</v>
      </c>
      <c r="R1001" s="25">
        <f>IFERROR(tbl_raw[[#This Row],[Net_Profit]]/(tbl_raw[[#This Row],[Selling_Price]]*tbl_raw[[#This Row],[Units_Sold]]),0)</f>
        <v>0.26036207717960935</v>
      </c>
      <c r="S1001" s="28" t="s">
        <v>58</v>
      </c>
      <c r="T1001" s="28" t="s">
        <v>86</v>
      </c>
      <c r="U1001" s="23">
        <f>IF(tbl_raw[[#This Row],[Order_Status]]="Returned",1,0)</f>
        <v>1</v>
      </c>
      <c r="V1001" s="23">
        <f>IF(tbl_raw[[#This Row],[Payment_Method]]="COD",1,0)</f>
        <v>0</v>
      </c>
      <c r="W1001" s="26">
        <f>MIN(1,(tbl_raw[[#This Row],[Discount_Pct]]*1.4)+(tbl_raw[[#This Row],[COD_Flag]]*0.35))</f>
        <v>0.27999999999999997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18A1B-707A-40B0-9BE7-08091F1F0D9E}">
  <sheetPr codeName="Sheet4">
    <tabColor theme="5" tint="0.39997558519241921"/>
  </sheetPr>
  <dimension ref="A1:S34"/>
  <sheetViews>
    <sheetView workbookViewId="0">
      <selection activeCell="F26" sqref="F26"/>
    </sheetView>
  </sheetViews>
  <sheetFormatPr defaultRowHeight="13.8" x14ac:dyDescent="0.25"/>
  <cols>
    <col min="1" max="1" width="21.77734375" style="2" bestFit="1" customWidth="1"/>
    <col min="2" max="2" width="16.6640625" style="2" bestFit="1" customWidth="1"/>
    <col min="3" max="3" width="11.33203125" style="2" customWidth="1"/>
    <col min="4" max="4" width="13.33203125" style="2" bestFit="1" customWidth="1"/>
    <col min="5" max="5" width="7.6640625" style="2" customWidth="1"/>
    <col min="6" max="6" width="11.109375" style="2" customWidth="1"/>
    <col min="7" max="7" width="15.44140625" style="2" bestFit="1" customWidth="1"/>
    <col min="8" max="8" width="11.77734375" style="2" customWidth="1"/>
    <col min="9" max="9" width="13.6640625" style="2" customWidth="1"/>
    <col min="10" max="10" width="13" style="2" customWidth="1"/>
    <col min="11" max="11" width="14.109375" style="2" bestFit="1" customWidth="1"/>
    <col min="12" max="12" width="14.44140625" style="2" bestFit="1" customWidth="1"/>
    <col min="13" max="13" width="11.33203125" style="2" customWidth="1"/>
    <col min="14" max="14" width="8.88671875" style="2"/>
    <col min="15" max="15" width="10.6640625" style="2" bestFit="1" customWidth="1"/>
    <col min="16" max="17" width="14.44140625" style="2" bestFit="1" customWidth="1"/>
    <col min="18" max="18" width="8.77734375" style="2" bestFit="1" customWidth="1"/>
    <col min="19" max="19" width="12.6640625" style="2" bestFit="1" customWidth="1"/>
    <col min="20" max="16384" width="8.88671875" style="2"/>
  </cols>
  <sheetData>
    <row r="1" spans="1:19" ht="15.6" customHeight="1" x14ac:dyDescent="0.25">
      <c r="A1" s="147" t="s">
        <v>2413</v>
      </c>
      <c r="B1" s="147"/>
      <c r="C1" s="147"/>
      <c r="D1" s="147"/>
      <c r="G1" s="147" t="s">
        <v>2439</v>
      </c>
      <c r="H1" s="147"/>
      <c r="I1" s="147"/>
      <c r="J1" s="147"/>
      <c r="K1" s="147"/>
      <c r="L1" s="147"/>
      <c r="O1" s="148" t="s">
        <v>2442</v>
      </c>
      <c r="P1" s="148"/>
      <c r="Q1" s="148"/>
      <c r="R1" s="148"/>
      <c r="S1" s="148"/>
    </row>
    <row r="2" spans="1:19" ht="19.2" customHeight="1" x14ac:dyDescent="0.25">
      <c r="A2" s="11" t="s">
        <v>2414</v>
      </c>
      <c r="B2" s="11" t="s">
        <v>2431</v>
      </c>
      <c r="C2" s="11" t="s">
        <v>2432</v>
      </c>
      <c r="D2" s="11" t="s">
        <v>2433</v>
      </c>
      <c r="G2" s="11" t="s">
        <v>3</v>
      </c>
      <c r="H2" s="11" t="s">
        <v>2434</v>
      </c>
      <c r="I2" s="11" t="s">
        <v>2435</v>
      </c>
      <c r="J2" s="11" t="s">
        <v>2436</v>
      </c>
      <c r="K2" s="11" t="s">
        <v>2437</v>
      </c>
      <c r="L2" s="11" t="s">
        <v>2438</v>
      </c>
      <c r="O2" s="9" t="s">
        <v>6</v>
      </c>
      <c r="P2" s="9" t="s">
        <v>2434</v>
      </c>
      <c r="Q2" s="9" t="s">
        <v>2436</v>
      </c>
      <c r="R2" s="9" t="s">
        <v>2440</v>
      </c>
      <c r="S2" s="9" t="s">
        <v>2441</v>
      </c>
    </row>
    <row r="3" spans="1:19" x14ac:dyDescent="0.25">
      <c r="A3" s="49" t="s">
        <v>2415</v>
      </c>
      <c r="B3" s="54">
        <f>SUMPRODUCT(tbl_raw[Selling_Price],tbl_raw[Units_Sold])</f>
        <v>32210041</v>
      </c>
      <c r="C3" s="55" t="str">
        <f>IF(B3&gt;=30000000,"Good","Warning")</f>
        <v>Good</v>
      </c>
      <c r="D3" s="56" t="s">
        <v>2526</v>
      </c>
      <c r="G3" s="51" t="s">
        <v>26</v>
      </c>
      <c r="H3" s="58" cm="1">
        <f t="array" ref="H3">SUMPRODUCT((tbl_raw[Category]=G3)*tbl_raw[Selling_Price]*tbl_raw[Units_Sold])</f>
        <v>4014123</v>
      </c>
      <c r="I3" s="58">
        <f>SUMIFS(tbl_raw[Gross_Profit],tbl_raw[Category],G3)</f>
        <v>989838</v>
      </c>
      <c r="J3" s="58">
        <f>SUMIFS(tbl_raw[Net_Profit],tbl_raw[Category],G3)</f>
        <v>854705</v>
      </c>
      <c r="K3" s="56">
        <f>COUNTIFS(tbl_raw[Category],G3,tbl_raw[Order_Status],"Returned")</f>
        <v>13</v>
      </c>
      <c r="L3" s="59">
        <f>AVERAGEIFS(tbl_raw[Discount_Pct],tbl_raw[Category],G3)</f>
        <v>0.23479338842975203</v>
      </c>
      <c r="O3" s="51" t="s">
        <v>139</v>
      </c>
      <c r="P3" s="58" cm="1">
        <f t="array" ref="P3">SUMPRODUCT((tbl_raw[City]=O3)*tbl_raw[Selling_Price]*tbl_raw[Units_Sold])</f>
        <v>2995571</v>
      </c>
      <c r="Q3" s="58">
        <f>SUMIFS(tbl_raw[Net_Profit],tbl_raw[City],O3)</f>
        <v>744206</v>
      </c>
      <c r="R3" s="56">
        <f>COUNTIFS(tbl_raw[City],O3,tbl_raw[Order_Status],"Returned")</f>
        <v>15</v>
      </c>
      <c r="S3" s="59">
        <f>IFERROR(R3/COUNTIF(tbl_raw[City],O3),0)</f>
        <v>0.16304347826086957</v>
      </c>
    </row>
    <row r="4" spans="1:19" x14ac:dyDescent="0.25">
      <c r="A4" s="51" t="s">
        <v>2416</v>
      </c>
      <c r="B4" s="56">
        <f>COUNTA(tbl_raw[Order_ID])</f>
        <v>1000</v>
      </c>
      <c r="C4" s="55" t="str">
        <f>IF(B4&gt;=900,"Good","Warning")</f>
        <v>Good</v>
      </c>
      <c r="D4" s="56" t="s">
        <v>2527</v>
      </c>
      <c r="G4" s="51" t="s">
        <v>175</v>
      </c>
      <c r="H4" s="58" cm="1">
        <f t="array" ref="H4">SUMPRODUCT((tbl_raw[Category]=G4)*tbl_raw[Selling_Price]*tbl_raw[Units_Sold])</f>
        <v>3960417</v>
      </c>
      <c r="I4" s="58">
        <f>SUMIFS(tbl_raw[Gross_Profit],tbl_raw[Category],G4)</f>
        <v>943286</v>
      </c>
      <c r="J4" s="58">
        <f>SUMIFS(tbl_raw[Net_Profit],tbl_raw[Category],G4)</f>
        <v>803721</v>
      </c>
      <c r="K4" s="56">
        <f>COUNTIFS(tbl_raw[Category],G4,tbl_raw[Order_Status],"Returned")</f>
        <v>13</v>
      </c>
      <c r="L4" s="59">
        <f>AVERAGEIFS(tbl_raw[Discount_Pct],tbl_raw[Category],G4)</f>
        <v>0.22699248120300758</v>
      </c>
      <c r="O4" s="51" t="s">
        <v>120</v>
      </c>
      <c r="P4" s="58" cm="1">
        <f t="array" ref="P4">SUMPRODUCT((tbl_raw[City]=O4)*tbl_raw[Selling_Price]*tbl_raw[Units_Sold])</f>
        <v>4090574</v>
      </c>
      <c r="Q4" s="58">
        <f>SUMIFS(tbl_raw[Net_Profit],tbl_raw[City],O4)</f>
        <v>1083274</v>
      </c>
      <c r="R4" s="56">
        <f>COUNTIFS(tbl_raw[City],O4,tbl_raw[Order_Status],"Returned")</f>
        <v>10</v>
      </c>
      <c r="S4" s="59">
        <f>IFERROR(R4/COUNTIF(tbl_raw[City],O4),0)</f>
        <v>9.0090090090090086E-2</v>
      </c>
    </row>
    <row r="5" spans="1:19" x14ac:dyDescent="0.25">
      <c r="A5" s="51" t="s">
        <v>2417</v>
      </c>
      <c r="B5" s="56">
        <f>SUM(tbl_raw[Units_Sold])</f>
        <v>10505</v>
      </c>
      <c r="C5" s="55" t="str">
        <f>IF(B5&gt;=10000,"Good","Warning")</f>
        <v>Good</v>
      </c>
      <c r="D5" s="56" t="s">
        <v>2528</v>
      </c>
      <c r="G5" s="51" t="s">
        <v>164</v>
      </c>
      <c r="H5" s="58" cm="1">
        <f t="array" ref="H5">SUMPRODUCT((tbl_raw[Category]=G5)*tbl_raw[Selling_Price]*tbl_raw[Units_Sold])</f>
        <v>3666638</v>
      </c>
      <c r="I5" s="58">
        <f>SUMIFS(tbl_raw[Gross_Profit],tbl_raw[Category],G5)</f>
        <v>913583</v>
      </c>
      <c r="J5" s="58">
        <f>SUMIFS(tbl_raw[Net_Profit],tbl_raw[Category],G5)</f>
        <v>800858</v>
      </c>
      <c r="K5" s="56">
        <f>COUNTIFS(tbl_raw[Category],G5,tbl_raw[Order_Status],"Returned")</f>
        <v>9</v>
      </c>
      <c r="L5" s="59">
        <f>AVERAGEIFS(tbl_raw[Discount_Pct],tbl_raw[Category],G5)</f>
        <v>0.220754716981132</v>
      </c>
      <c r="O5" s="51" t="s">
        <v>81</v>
      </c>
      <c r="P5" s="58" cm="1">
        <f t="array" ref="P5">SUMPRODUCT((tbl_raw[City]=O5)*tbl_raw[Selling_Price]*tbl_raw[Units_Sold])</f>
        <v>3402916</v>
      </c>
      <c r="Q5" s="58">
        <f>SUMIFS(tbl_raw[Net_Profit],tbl_raw[City],O5)</f>
        <v>749114</v>
      </c>
      <c r="R5" s="56">
        <f>COUNTIFS(tbl_raw[City],O5,tbl_raw[Order_Status],"Returned")</f>
        <v>11</v>
      </c>
      <c r="S5" s="59">
        <f>IFERROR(R5/COUNTIF(tbl_raw[City],O5),0)</f>
        <v>0.10784313725490197</v>
      </c>
    </row>
    <row r="6" spans="1:19" x14ac:dyDescent="0.25">
      <c r="A6" s="49" t="s">
        <v>2418</v>
      </c>
      <c r="B6" s="54">
        <f>SUM(tbl_raw[Gross_Profit])</f>
        <v>7963908</v>
      </c>
      <c r="C6" s="55" t="str">
        <f>IF(B6&gt;=7000000,"Good","Warning")</f>
        <v>Good</v>
      </c>
      <c r="D6" s="56" t="s">
        <v>2529</v>
      </c>
      <c r="G6" s="51" t="s">
        <v>94</v>
      </c>
      <c r="H6" s="58" cm="1">
        <f t="array" ref="H6">SUMPRODUCT((tbl_raw[Category]=G6)*tbl_raw[Selling_Price]*tbl_raw[Units_Sold])</f>
        <v>3874973</v>
      </c>
      <c r="I6" s="58">
        <f>SUMIFS(tbl_raw[Gross_Profit],tbl_raw[Category],G6)</f>
        <v>857471</v>
      </c>
      <c r="J6" s="58">
        <f>SUMIFS(tbl_raw[Net_Profit],tbl_raw[Category],G6)</f>
        <v>715765</v>
      </c>
      <c r="K6" s="56">
        <f>COUNTIFS(tbl_raw[Category],G6,tbl_raw[Order_Status],"Returned")</f>
        <v>15</v>
      </c>
      <c r="L6" s="59">
        <f>AVERAGEIFS(tbl_raw[Discount_Pct],tbl_raw[Category],G6)</f>
        <v>0.24695312500000008</v>
      </c>
      <c r="O6" s="51" t="s">
        <v>29</v>
      </c>
      <c r="P6" s="58" cm="1">
        <f t="array" ref="P6">SUMPRODUCT((tbl_raw[City]=O6)*tbl_raw[Selling_Price]*tbl_raw[Units_Sold])</f>
        <v>2296839</v>
      </c>
      <c r="Q6" s="58">
        <f>SUMIFS(tbl_raw[Net_Profit],tbl_raw[City],O6)</f>
        <v>397744</v>
      </c>
      <c r="R6" s="56">
        <f>COUNTIFS(tbl_raw[City],O6,tbl_raw[Order_Status],"Returned")</f>
        <v>4</v>
      </c>
      <c r="S6" s="59">
        <f>IFERROR(R6/COUNTIF(tbl_raw[City],O6),0)</f>
        <v>4.7619047619047616E-2</v>
      </c>
    </row>
    <row r="7" spans="1:19" x14ac:dyDescent="0.25">
      <c r="A7" s="49" t="s">
        <v>2419</v>
      </c>
      <c r="B7" s="54">
        <f>SUM(tbl_raw[Net_Profit])</f>
        <v>6860574</v>
      </c>
      <c r="C7" s="55" t="str">
        <f>IF(B7&gt;=6000000,"Good","Warning")</f>
        <v>Good</v>
      </c>
      <c r="D7" s="56" t="s">
        <v>2530</v>
      </c>
      <c r="G7" s="51" t="s">
        <v>53</v>
      </c>
      <c r="H7" s="58" cm="1">
        <f t="array" ref="H7">SUMPRODUCT((tbl_raw[Category]=G7)*tbl_raw[Selling_Price]*tbl_raw[Units_Sold])</f>
        <v>4013419</v>
      </c>
      <c r="I7" s="58">
        <f>SUMIFS(tbl_raw[Gross_Profit],tbl_raw[Category],G7)</f>
        <v>975262</v>
      </c>
      <c r="J7" s="58">
        <f>SUMIFS(tbl_raw[Net_Profit],tbl_raw[Category],G7)</f>
        <v>835690</v>
      </c>
      <c r="K7" s="56">
        <f>COUNTIFS(tbl_raw[Category],G7,tbl_raw[Order_Status],"Returned")</f>
        <v>18</v>
      </c>
      <c r="L7" s="59">
        <f>AVERAGEIFS(tbl_raw[Discount_Pct],tbl_raw[Category],G7)</f>
        <v>0.23574803149606291</v>
      </c>
      <c r="O7" s="51" t="s">
        <v>143</v>
      </c>
      <c r="P7" s="58" cm="1">
        <f t="array" ref="P7">SUMPRODUCT((tbl_raw[City]=O7)*tbl_raw[Selling_Price]*tbl_raw[Units_Sold])</f>
        <v>3394454</v>
      </c>
      <c r="Q7" s="58">
        <f>SUMIFS(tbl_raw[Net_Profit],tbl_raw[City],O7)</f>
        <v>731696</v>
      </c>
      <c r="R7" s="56">
        <f>COUNTIFS(tbl_raw[City],O7,tbl_raw[Order_Status],"Returned")</f>
        <v>12</v>
      </c>
      <c r="S7" s="59">
        <f>IFERROR(R7/COUNTIF(tbl_raw[City],O7),0)</f>
        <v>0.11650485436893204</v>
      </c>
    </row>
    <row r="8" spans="1:19" x14ac:dyDescent="0.25">
      <c r="A8" s="52" t="s">
        <v>2420</v>
      </c>
      <c r="B8" s="57">
        <f>AVERAGE(tbl_raw[Discount_Pct])</f>
        <v>0.22966</v>
      </c>
      <c r="C8" s="55" t="str">
        <f>IF(B8&lt;=20%,"Good","Warning")</f>
        <v>Warning</v>
      </c>
      <c r="D8" s="56" t="s">
        <v>2531</v>
      </c>
      <c r="G8" s="51" t="s">
        <v>44</v>
      </c>
      <c r="H8" s="58" cm="1">
        <f t="array" ref="H8">SUMPRODUCT((tbl_raw[Category]=G8)*tbl_raw[Selling_Price]*tbl_raw[Units_Sold])</f>
        <v>4048130</v>
      </c>
      <c r="I8" s="58">
        <f>SUMIFS(tbl_raw[Gross_Profit],tbl_raw[Category],G8)</f>
        <v>1105463</v>
      </c>
      <c r="J8" s="58">
        <f>SUMIFS(tbl_raw[Net_Profit],tbl_raw[Category],G8)</f>
        <v>973350</v>
      </c>
      <c r="K8" s="56">
        <f>COUNTIFS(tbl_raw[Category],G8,tbl_raw[Order_Status],"Returned")</f>
        <v>13</v>
      </c>
      <c r="L8" s="59">
        <f>AVERAGEIFS(tbl_raw[Discount_Pct],tbl_raw[Category],G8)</f>
        <v>0.22666666666666671</v>
      </c>
      <c r="O8" s="51" t="s">
        <v>56</v>
      </c>
      <c r="P8" s="58" cm="1">
        <f t="array" ref="P8">SUMPRODUCT((tbl_raw[City]=O8)*tbl_raw[Selling_Price]*tbl_raw[Units_Sold])</f>
        <v>3167057</v>
      </c>
      <c r="Q8" s="58">
        <f>SUMIFS(tbl_raw[Net_Profit],tbl_raw[City],O8)</f>
        <v>648292</v>
      </c>
      <c r="R8" s="56">
        <f>COUNTIFS(tbl_raw[City],O8,tbl_raw[Order_Status],"Returned")</f>
        <v>13</v>
      </c>
      <c r="S8" s="59">
        <f>IFERROR(R8/COUNTIF(tbl_raw[City],O8),0)</f>
        <v>0.12871287128712872</v>
      </c>
    </row>
    <row r="9" spans="1:19" x14ac:dyDescent="0.25">
      <c r="A9" s="52" t="s">
        <v>2421</v>
      </c>
      <c r="B9" s="57">
        <f>COUNTIF(tbl_raw[Order_Status],"Returned")/COUNTA(tbl_raw[Order_ID])</f>
        <v>0.108</v>
      </c>
      <c r="C9" s="55" t="str">
        <f>IF(B9&lt;=10%,"Good","Warning")</f>
        <v>Warning</v>
      </c>
      <c r="D9" s="56" t="s">
        <v>2532</v>
      </c>
      <c r="G9" s="51" t="s">
        <v>78</v>
      </c>
      <c r="H9" s="58" cm="1">
        <f t="array" ref="H9">SUMPRODUCT((tbl_raw[Category]=G9)*tbl_raw[Selling_Price]*tbl_raw[Units_Sold])</f>
        <v>5155914</v>
      </c>
      <c r="I9" s="58">
        <f>SUMIFS(tbl_raw[Gross_Profit],tbl_raw[Category],G9)</f>
        <v>1281517</v>
      </c>
      <c r="J9" s="58">
        <f>SUMIFS(tbl_raw[Net_Profit],tbl_raw[Category],G9)</f>
        <v>1097501</v>
      </c>
      <c r="K9" s="56">
        <f>COUNTIFS(tbl_raw[Category],G9,tbl_raw[Order_Status],"Returned")</f>
        <v>13</v>
      </c>
      <c r="L9" s="59">
        <f>AVERAGEIFS(tbl_raw[Discount_Pct],tbl_raw[Category],G9)</f>
        <v>0.22573248407643315</v>
      </c>
      <c r="O9" s="51" t="s">
        <v>47</v>
      </c>
      <c r="P9" s="58" cm="1">
        <f t="array" ref="P9">SUMPRODUCT((tbl_raw[City]=O9)*tbl_raw[Selling_Price]*tbl_raw[Units_Sold])</f>
        <v>3249460</v>
      </c>
      <c r="Q9" s="58">
        <f>SUMIFS(tbl_raw[Net_Profit],tbl_raw[City],O9)</f>
        <v>694907</v>
      </c>
      <c r="R9" s="56">
        <f>COUNTIFS(tbl_raw[City],O9,tbl_raw[Order_Status],"Returned")</f>
        <v>11</v>
      </c>
      <c r="S9" s="59">
        <f>IFERROR(R9/COUNTIF(tbl_raw[City],O9),0)</f>
        <v>0.1111111111111111</v>
      </c>
    </row>
    <row r="10" spans="1:19" x14ac:dyDescent="0.25">
      <c r="A10" s="52" t="s">
        <v>2422</v>
      </c>
      <c r="B10" s="57">
        <f>COUNTIF(tbl_raw[Payment_Method],"COD")/COUNTA(tbl_raw[Order_ID])</f>
        <v>0.20200000000000001</v>
      </c>
      <c r="C10" s="55" t="str">
        <f>IF(B10&lt;=25%,"Good","Warning")</f>
        <v>Good</v>
      </c>
      <c r="D10" s="56" t="s">
        <v>2533</v>
      </c>
      <c r="G10" s="51" t="s">
        <v>62</v>
      </c>
      <c r="H10" s="58" cm="1">
        <f t="array" ref="H10">SUMPRODUCT((tbl_raw[Category]=G10)*tbl_raw[Selling_Price]*tbl_raw[Units_Sold])</f>
        <v>3476427</v>
      </c>
      <c r="I10" s="58">
        <f>SUMIFS(tbl_raw[Gross_Profit],tbl_raw[Category],G10)</f>
        <v>897488</v>
      </c>
      <c r="J10" s="58">
        <f>SUMIFS(tbl_raw[Net_Profit],tbl_raw[Category],G10)</f>
        <v>778984</v>
      </c>
      <c r="K10" s="56">
        <f>COUNTIFS(tbl_raw[Category],G10,tbl_raw[Order_Status],"Returned")</f>
        <v>14</v>
      </c>
      <c r="L10" s="59">
        <f>AVERAGEIFS(tbl_raw[Discount_Pct],tbl_raw[Category],G10)</f>
        <v>0.21756756756756757</v>
      </c>
      <c r="O10" s="51" t="s">
        <v>75</v>
      </c>
      <c r="P10" s="58" cm="1">
        <f t="array" ref="P10">SUMPRODUCT((tbl_raw[City]=O10)*tbl_raw[Selling_Price]*tbl_raw[Units_Sold])</f>
        <v>3857116</v>
      </c>
      <c r="Q10" s="58">
        <f>SUMIFS(tbl_raw[Net_Profit],tbl_raw[City],O10)</f>
        <v>667169</v>
      </c>
      <c r="R10" s="56">
        <f>COUNTIFS(tbl_raw[City],O10,tbl_raw[Order_Status],"Returned")</f>
        <v>7</v>
      </c>
      <c r="S10" s="59">
        <f>IFERROR(R10/COUNTIF(tbl_raw[City],O10),0)</f>
        <v>5.737704918032787E-2</v>
      </c>
    </row>
    <row r="11" spans="1:19" x14ac:dyDescent="0.25">
      <c r="A11" s="49" t="s">
        <v>2423</v>
      </c>
      <c r="B11" s="54">
        <f>AVERAGE(tbl_raw[Shipping_Cost])</f>
        <v>105.459</v>
      </c>
      <c r="C11" s="55" t="str">
        <f>IF(B11&lt;=120,"Good","Warning")</f>
        <v>Good</v>
      </c>
      <c r="D11" s="56" t="s">
        <v>2534</v>
      </c>
      <c r="O11" s="51" t="s">
        <v>38</v>
      </c>
      <c r="P11" s="58" cm="1">
        <f t="array" ref="P11">SUMPRODUCT((tbl_raw[City]=O11)*tbl_raw[Selling_Price]*tbl_raw[Units_Sold])</f>
        <v>2411204</v>
      </c>
      <c r="Q11" s="58">
        <f>SUMIFS(tbl_raw[Net_Profit],tbl_raw[City],O11)</f>
        <v>455661</v>
      </c>
      <c r="R11" s="56">
        <f>COUNTIFS(tbl_raw[City],O11,tbl_raw[Order_Status],"Returned")</f>
        <v>7</v>
      </c>
      <c r="S11" s="59">
        <f>IFERROR(R11/COUNTIF(tbl_raw[City],O11),0)</f>
        <v>7.6923076923076927E-2</v>
      </c>
    </row>
    <row r="12" spans="1:19" x14ac:dyDescent="0.25">
      <c r="A12" s="51" t="s">
        <v>2424</v>
      </c>
      <c r="B12" s="57">
        <f>AVERAGE(tbl_raw[Net_Margin_Pct])</f>
        <v>0.16875654630042347</v>
      </c>
      <c r="C12" s="55" t="str">
        <f>IF(B12&gt;=15%,"Good","Warning")</f>
        <v>Good</v>
      </c>
      <c r="D12" s="56" t="s">
        <v>2535</v>
      </c>
      <c r="O12" s="51" t="s">
        <v>102</v>
      </c>
      <c r="P12" s="58" cm="1">
        <f t="array" ref="P12">SUMPRODUCT((tbl_raw[City]=O12)*tbl_raw[Selling_Price]*tbl_raw[Units_Sold])</f>
        <v>3344850</v>
      </c>
      <c r="Q12" s="58">
        <f>SUMIFS(tbl_raw[Net_Profit],tbl_raw[City],O12)</f>
        <v>688511</v>
      </c>
      <c r="R12" s="56">
        <f>COUNTIFS(tbl_raw[City],O12,tbl_raw[Order_Status],"Returned")</f>
        <v>18</v>
      </c>
      <c r="S12" s="59">
        <f>IFERROR(R12/COUNTIF(tbl_raw[City],O12),0)</f>
        <v>0.18947368421052632</v>
      </c>
    </row>
    <row r="13" spans="1:19" x14ac:dyDescent="0.25">
      <c r="A13" s="51" t="s">
        <v>2425</v>
      </c>
      <c r="B13" s="54">
        <f>SUMPRODUCT(tbl_raw[Shipping_Cost],tbl_raw[Units_Sold])</f>
        <v>1103334</v>
      </c>
      <c r="C13" s="55" t="str">
        <f>IF(B13&lt;=1200000,"Good","Warning")</f>
        <v>Good</v>
      </c>
      <c r="D13" s="56" t="s">
        <v>2536</v>
      </c>
    </row>
    <row r="14" spans="1:19" x14ac:dyDescent="0.25">
      <c r="A14" s="49" t="s">
        <v>2426</v>
      </c>
      <c r="B14" s="56">
        <f>COUNTIF(tbl_raw[Order_Status],"Cancelled")</f>
        <v>60</v>
      </c>
      <c r="C14" s="55" t="str">
        <f>IF(B14&lt;=70,"Good","Warning")</f>
        <v>Good</v>
      </c>
      <c r="D14" s="56" t="s">
        <v>2537</v>
      </c>
    </row>
    <row r="15" spans="1:19" x14ac:dyDescent="0.25">
      <c r="A15" s="49" t="s">
        <v>2427</v>
      </c>
      <c r="B15" s="54" cm="1">
        <f t="array" ref="B15">SUMPRODUCT(tbl_raw[MRP]-tbl_raw[Selling_Price],tbl_raw[Units_Sold])</f>
        <v>9998258</v>
      </c>
      <c r="C15" s="55" t="str">
        <f>IF(B15&lt;=9000000,"Good","Warning")</f>
        <v>Warning</v>
      </c>
      <c r="D15" s="56" t="s">
        <v>2538</v>
      </c>
    </row>
    <row r="16" spans="1:19" x14ac:dyDescent="0.25">
      <c r="A16" s="52" t="s">
        <v>2428</v>
      </c>
      <c r="B16" s="54">
        <f>ABS(SUMIFS(tbl_raw[Net_Profit],tbl_raw[Order_Status],"Returned"))</f>
        <v>813216</v>
      </c>
      <c r="C16" s="55" t="str">
        <f>IF(B16&lt;=700000,"Good","Warning")</f>
        <v>Warning</v>
      </c>
      <c r="D16" s="56" t="s">
        <v>2539</v>
      </c>
    </row>
    <row r="17" spans="1:14" x14ac:dyDescent="0.25">
      <c r="A17" s="52" t="s">
        <v>2429</v>
      </c>
      <c r="B17" s="54">
        <f>SUMPRODUCT(tbl_raw[MRP],tbl_raw[Units_Sold])</f>
        <v>42208299</v>
      </c>
      <c r="C17" s="55" t="str">
        <f>"Reference"</f>
        <v>Reference</v>
      </c>
      <c r="D17" s="56" t="s">
        <v>2540</v>
      </c>
    </row>
    <row r="18" spans="1:14" x14ac:dyDescent="0.25">
      <c r="A18" s="52" t="s">
        <v>2430</v>
      </c>
      <c r="B18" s="54">
        <f>SUMPRODUCT(tbl_raw[Selling_Price],tbl_raw[Units_Sold])/COUNTA(tbl_raw[Order_ID])</f>
        <v>32210.041000000001</v>
      </c>
      <c r="C18" s="55" t="str">
        <f>IF(B18&gt;=30000,"Good","Warning")</f>
        <v>Good</v>
      </c>
      <c r="D18" s="56" t="s">
        <v>2541</v>
      </c>
    </row>
    <row r="21" spans="1:14" ht="15.6" customHeight="1" x14ac:dyDescent="0.25">
      <c r="A21" s="148" t="s">
        <v>2447</v>
      </c>
      <c r="B21" s="148"/>
      <c r="C21" s="148"/>
      <c r="D21" s="148"/>
      <c r="E21" s="148"/>
      <c r="F21" s="148"/>
      <c r="I21" s="148" t="s">
        <v>2446</v>
      </c>
      <c r="J21" s="148"/>
      <c r="K21" s="148"/>
      <c r="L21" s="148"/>
      <c r="M21" s="148"/>
      <c r="N21" s="1"/>
    </row>
    <row r="22" spans="1:14" ht="27.6" x14ac:dyDescent="0.25">
      <c r="A22" s="12" t="s">
        <v>2</v>
      </c>
      <c r="B22" s="12" t="s">
        <v>2434</v>
      </c>
      <c r="C22" s="12" t="s">
        <v>2440</v>
      </c>
      <c r="D22" s="12" t="s">
        <v>2436</v>
      </c>
      <c r="E22" s="12" t="s">
        <v>2443</v>
      </c>
      <c r="F22" s="12" t="s">
        <v>2444</v>
      </c>
      <c r="I22" s="13" t="s">
        <v>2445</v>
      </c>
      <c r="J22" s="13" t="s">
        <v>2443</v>
      </c>
      <c r="K22" s="13" t="s">
        <v>2440</v>
      </c>
      <c r="L22" s="13" t="s">
        <v>2436</v>
      </c>
      <c r="M22" s="13" t="s">
        <v>2441</v>
      </c>
    </row>
    <row r="23" spans="1:14" x14ac:dyDescent="0.25">
      <c r="A23" s="51" t="s">
        <v>132</v>
      </c>
      <c r="B23" s="58" cm="1">
        <f t="array" ref="B23">SUMPRODUCT((tbl_raw[Month]=A23)*tbl_raw[Selling_Price]*tbl_raw[Units_Sold])</f>
        <v>2854631</v>
      </c>
      <c r="C23" s="56">
        <f>COUNTIFS(tbl_raw[Month],A23,tbl_raw[Order_Status],"Returned")</f>
        <v>8</v>
      </c>
      <c r="D23" s="58">
        <f>SUMIFS(tbl_raw[Net_Profit],tbl_raw[Month],A23)</f>
        <v>693104</v>
      </c>
      <c r="E23" s="56">
        <f>COUNTIF(tbl_raw[Month],A23)</f>
        <v>84</v>
      </c>
      <c r="F23" s="59">
        <f>AVERAGEIFS(tbl_raw[Discount_Pct],tbl_raw[Month],A23)</f>
        <v>0.20476190476190492</v>
      </c>
      <c r="I23" s="51" t="s">
        <v>58</v>
      </c>
      <c r="J23" s="56">
        <f>COUNTIF(tbl_raw[Payment_Method],I23)</f>
        <v>173</v>
      </c>
      <c r="K23" s="56">
        <f>COUNTIFS(tbl_raw[Payment_Method],I23,tbl_raw[Order_Status],"Returned")</f>
        <v>18</v>
      </c>
      <c r="L23" s="58">
        <f>SUMIFS(tbl_raw[Net_Profit],tbl_raw[Payment_Method],I23)</f>
        <v>1196353</v>
      </c>
      <c r="M23" s="59">
        <f>IFERROR(K23/J23,0)</f>
        <v>0.10404624277456648</v>
      </c>
    </row>
    <row r="24" spans="1:14" x14ac:dyDescent="0.25">
      <c r="A24" s="51" t="s">
        <v>72</v>
      </c>
      <c r="B24" s="58" cm="1">
        <f t="array" ref="B24">SUMPRODUCT((tbl_raw[Month]=A24)*tbl_raw[Selling_Price]*tbl_raw[Units_Sold])</f>
        <v>1953202</v>
      </c>
      <c r="C24" s="56">
        <f>COUNTIFS(tbl_raw[Month],A24,tbl_raw[Order_Status],"Returned")</f>
        <v>11</v>
      </c>
      <c r="D24" s="58">
        <f>SUMIFS(tbl_raw[Net_Profit],tbl_raw[Month],A24)</f>
        <v>449021</v>
      </c>
      <c r="E24" s="56">
        <f>COUNTIF(tbl_raw[Month],A24)</f>
        <v>73</v>
      </c>
      <c r="F24" s="59">
        <f>AVERAGEIFS(tbl_raw[Discount_Pct],tbl_raw[Month],A24)</f>
        <v>0.23561643835616441</v>
      </c>
      <c r="I24" s="51" t="s">
        <v>40</v>
      </c>
      <c r="J24" s="56">
        <f>COUNTIF(tbl_raw[Payment_Method],I24)</f>
        <v>202</v>
      </c>
      <c r="K24" s="56">
        <f>COUNTIFS(tbl_raw[Payment_Method],I24,tbl_raw[Order_Status],"Returned")</f>
        <v>32</v>
      </c>
      <c r="L24" s="58">
        <f>SUMIFS(tbl_raw[Net_Profit],tbl_raw[Payment_Method],I24)</f>
        <v>1538579</v>
      </c>
      <c r="M24" s="59">
        <f t="shared" ref="M24:M27" si="0">IFERROR(K24/J24,0)</f>
        <v>0.15841584158415842</v>
      </c>
    </row>
    <row r="25" spans="1:14" x14ac:dyDescent="0.25">
      <c r="A25" s="51" t="s">
        <v>43</v>
      </c>
      <c r="B25" s="58" cm="1">
        <f t="array" ref="B25">SUMPRODUCT((tbl_raw[Month]=A25)*tbl_raw[Selling_Price]*tbl_raw[Units_Sold])</f>
        <v>3172955</v>
      </c>
      <c r="C25" s="56">
        <f>COUNTIFS(tbl_raw[Month],A25,tbl_raw[Order_Status],"Returned")</f>
        <v>13</v>
      </c>
      <c r="D25" s="58">
        <f>SUMIFS(tbl_raw[Net_Profit],tbl_raw[Month],A25)</f>
        <v>769343</v>
      </c>
      <c r="E25" s="56">
        <f>COUNTIF(tbl_raw[Month],A25)</f>
        <v>100</v>
      </c>
      <c r="F25" s="59">
        <f>AVERAGEIFS(tbl_raw[Discount_Pct],tbl_raw[Month],A25)</f>
        <v>0.21549999999999994</v>
      </c>
      <c r="I25" s="51" t="s">
        <v>107</v>
      </c>
      <c r="J25" s="56">
        <f>COUNTIF(tbl_raw[Payment_Method],I25)</f>
        <v>218</v>
      </c>
      <c r="K25" s="56">
        <f>COUNTIFS(tbl_raw[Payment_Method],I25,tbl_raw[Order_Status],"Returned")</f>
        <v>22</v>
      </c>
      <c r="L25" s="58">
        <f>SUMIFS(tbl_raw[Net_Profit],tbl_raw[Payment_Method],I25)</f>
        <v>1699904</v>
      </c>
      <c r="M25" s="59">
        <f t="shared" si="0"/>
        <v>0.10091743119266056</v>
      </c>
    </row>
    <row r="26" spans="1:14" x14ac:dyDescent="0.25">
      <c r="A26" s="51" t="s">
        <v>35</v>
      </c>
      <c r="B26" s="58" cm="1">
        <f t="array" ref="B26">SUMPRODUCT((tbl_raw[Month]=A26)*tbl_raw[Selling_Price]*tbl_raw[Units_Sold])</f>
        <v>2974551</v>
      </c>
      <c r="C26" s="56">
        <f>COUNTIFS(tbl_raw[Month],A26,tbl_raw[Order_Status],"Returned")</f>
        <v>9</v>
      </c>
      <c r="D26" s="58">
        <f>SUMIFS(tbl_raw[Net_Profit],tbl_raw[Month],A26)</f>
        <v>631758</v>
      </c>
      <c r="E26" s="56">
        <f>COUNTIF(tbl_raw[Month],A26)</f>
        <v>91</v>
      </c>
      <c r="F26" s="59">
        <f>AVERAGEIFS(tbl_raw[Discount_Pct],tbl_raw[Month],A26)</f>
        <v>0.24736263736263733</v>
      </c>
      <c r="I26" s="51" t="s">
        <v>31</v>
      </c>
      <c r="J26" s="56">
        <f>COUNTIF(tbl_raw[Payment_Method],I26)</f>
        <v>217</v>
      </c>
      <c r="K26" s="56">
        <f>COUNTIFS(tbl_raw[Payment_Method],I26,tbl_raw[Order_Status],"Returned")</f>
        <v>18</v>
      </c>
      <c r="L26" s="58">
        <f>SUMIFS(tbl_raw[Net_Profit],tbl_raw[Payment_Method],I26)</f>
        <v>1272849</v>
      </c>
      <c r="M26" s="59">
        <f t="shared" si="0"/>
        <v>8.294930875576037E-2</v>
      </c>
    </row>
    <row r="27" spans="1:14" x14ac:dyDescent="0.25">
      <c r="A27" s="51" t="s">
        <v>99</v>
      </c>
      <c r="B27" s="58" cm="1">
        <f t="array" ref="B27">SUMPRODUCT((tbl_raw[Month]=A27)*tbl_raw[Selling_Price]*tbl_raw[Units_Sold])</f>
        <v>3216991</v>
      </c>
      <c r="C27" s="56">
        <f>COUNTIFS(tbl_raw[Month],A27,tbl_raw[Order_Status],"Returned")</f>
        <v>6</v>
      </c>
      <c r="D27" s="58">
        <f>SUMIFS(tbl_raw[Net_Profit],tbl_raw[Month],A27)</f>
        <v>692284</v>
      </c>
      <c r="E27" s="56">
        <f>COUNTIF(tbl_raw[Month],A27)</f>
        <v>87</v>
      </c>
      <c r="F27" s="59">
        <f>AVERAGEIFS(tbl_raw[Discount_Pct],tbl_raw[Month],A27)</f>
        <v>0.23563218390804588</v>
      </c>
      <c r="I27" s="51" t="s">
        <v>65</v>
      </c>
      <c r="J27" s="56">
        <f>COUNTIF(tbl_raw[Payment_Method],I27)</f>
        <v>190</v>
      </c>
      <c r="K27" s="56">
        <f>COUNTIFS(tbl_raw[Payment_Method],I27,tbl_raw[Order_Status],"Returned")</f>
        <v>18</v>
      </c>
      <c r="L27" s="58">
        <f>SUMIFS(tbl_raw[Net_Profit],tbl_raw[Payment_Method],I27)</f>
        <v>1152889</v>
      </c>
      <c r="M27" s="59">
        <f t="shared" si="0"/>
        <v>9.4736842105263161E-2</v>
      </c>
    </row>
    <row r="28" spans="1:14" x14ac:dyDescent="0.25">
      <c r="A28" s="51" t="s">
        <v>89</v>
      </c>
      <c r="B28" s="58" cm="1">
        <f t="array" ref="B28">SUMPRODUCT((tbl_raw[Month]=A28)*tbl_raw[Selling_Price]*tbl_raw[Units_Sold])</f>
        <v>2556349</v>
      </c>
      <c r="C28" s="56">
        <f>COUNTIFS(tbl_raw[Month],A28,tbl_raw[Order_Status],"Returned")</f>
        <v>7</v>
      </c>
      <c r="D28" s="58">
        <f>SUMIFS(tbl_raw[Net_Profit],tbl_raw[Month],A28)</f>
        <v>537585</v>
      </c>
      <c r="E28" s="56">
        <f>COUNTIF(tbl_raw[Month],A28)</f>
        <v>81</v>
      </c>
      <c r="F28" s="59">
        <f>AVERAGEIFS(tbl_raw[Discount_Pct],tbl_raw[Month],A28)</f>
        <v>0.22259259259259256</v>
      </c>
    </row>
    <row r="29" spans="1:14" x14ac:dyDescent="0.25">
      <c r="A29" s="51" t="s">
        <v>52</v>
      </c>
      <c r="B29" s="58" cm="1">
        <f t="array" ref="B29">SUMPRODUCT((tbl_raw[Month]=A29)*tbl_raw[Selling_Price]*tbl_raw[Units_Sold])</f>
        <v>2876319</v>
      </c>
      <c r="C29" s="56">
        <f>COUNTIFS(tbl_raw[Month],A29,tbl_raw[Order_Status],"Returned")</f>
        <v>6</v>
      </c>
      <c r="D29" s="58">
        <f>SUMIFS(tbl_raw[Net_Profit],tbl_raw[Month],A29)</f>
        <v>554834</v>
      </c>
      <c r="E29" s="56">
        <f>COUNTIF(tbl_raw[Month],A29)</f>
        <v>81</v>
      </c>
      <c r="F29" s="59">
        <f>AVERAGEIFS(tbl_raw[Discount_Pct],tbl_raw[Month],A29)</f>
        <v>0.22395061728395066</v>
      </c>
    </row>
    <row r="30" spans="1:14" x14ac:dyDescent="0.25">
      <c r="A30" s="51" t="s">
        <v>117</v>
      </c>
      <c r="B30" s="58" cm="1">
        <f t="array" ref="B30">SUMPRODUCT((tbl_raw[Month]=A30)*tbl_raw[Selling_Price]*tbl_raw[Units_Sold])</f>
        <v>2253122</v>
      </c>
      <c r="C30" s="56">
        <f>COUNTIFS(tbl_raw[Month],A30,tbl_raw[Order_Status],"Returned")</f>
        <v>6</v>
      </c>
      <c r="D30" s="58">
        <f>SUMIFS(tbl_raw[Net_Profit],tbl_raw[Month],A30)</f>
        <v>571500</v>
      </c>
      <c r="E30" s="56">
        <f>COUNTIF(tbl_raw[Month],A30)</f>
        <v>74</v>
      </c>
      <c r="F30" s="59">
        <f>AVERAGEIFS(tbl_raw[Discount_Pct],tbl_raw[Month],A30)</f>
        <v>0.20743243243243245</v>
      </c>
    </row>
    <row r="31" spans="1:14" x14ac:dyDescent="0.25">
      <c r="A31" s="51" t="s">
        <v>105</v>
      </c>
      <c r="B31" s="58" cm="1">
        <f t="array" ref="B31">SUMPRODUCT((tbl_raw[Month]=A31)*tbl_raw[Selling_Price]*tbl_raw[Units_Sold])</f>
        <v>2080309</v>
      </c>
      <c r="C31" s="56">
        <f>COUNTIFS(tbl_raw[Month],A31,tbl_raw[Order_Status],"Returned")</f>
        <v>11</v>
      </c>
      <c r="D31" s="58">
        <f>SUMIFS(tbl_raw[Net_Profit],tbl_raw[Month],A31)</f>
        <v>438209</v>
      </c>
      <c r="E31" s="56">
        <f>COUNTIF(tbl_raw[Month],A31)</f>
        <v>75</v>
      </c>
      <c r="F31" s="59">
        <f>AVERAGEIFS(tbl_raw[Discount_Pct],tbl_raw[Month],A31)</f>
        <v>0.2358666666666667</v>
      </c>
    </row>
    <row r="32" spans="1:14" x14ac:dyDescent="0.25">
      <c r="A32" s="51" t="s">
        <v>199</v>
      </c>
      <c r="B32" s="58" cm="1">
        <f t="array" ref="B32">SUMPRODUCT((tbl_raw[Month]=A32)*tbl_raw[Selling_Price]*tbl_raw[Units_Sold])</f>
        <v>3001215</v>
      </c>
      <c r="C32" s="56">
        <f>COUNTIFS(tbl_raw[Month],A32,tbl_raw[Order_Status],"Returned")</f>
        <v>13</v>
      </c>
      <c r="D32" s="58">
        <f>SUMIFS(tbl_raw[Net_Profit],tbl_raw[Month],A32)</f>
        <v>483879</v>
      </c>
      <c r="E32" s="56">
        <f>COUNTIF(tbl_raw[Month],A32)</f>
        <v>93</v>
      </c>
      <c r="F32" s="59">
        <f>AVERAGEIFS(tbl_raw[Discount_Pct],tbl_raw[Month],A32)</f>
        <v>0.24483870967741941</v>
      </c>
    </row>
    <row r="33" spans="1:6" x14ac:dyDescent="0.25">
      <c r="A33" s="51" t="s">
        <v>25</v>
      </c>
      <c r="B33" s="58" cm="1">
        <f t="array" ref="B33">SUMPRODUCT((tbl_raw[Month]=A33)*tbl_raw[Selling_Price]*tbl_raw[Units_Sold])</f>
        <v>2665811</v>
      </c>
      <c r="C33" s="56">
        <f>COUNTIFS(tbl_raw[Month],A33,tbl_raw[Order_Status],"Returned")</f>
        <v>12</v>
      </c>
      <c r="D33" s="58">
        <f>SUMIFS(tbl_raw[Net_Profit],tbl_raw[Month],A33)</f>
        <v>505579</v>
      </c>
      <c r="E33" s="56">
        <f>COUNTIF(tbl_raw[Month],A33)</f>
        <v>88</v>
      </c>
      <c r="F33" s="59">
        <f>AVERAGEIFS(tbl_raw[Discount_Pct],tbl_raw[Month],A33)</f>
        <v>0.23318181818181821</v>
      </c>
    </row>
    <row r="34" spans="1:6" x14ac:dyDescent="0.25">
      <c r="A34" s="51" t="s">
        <v>156</v>
      </c>
      <c r="B34" s="58" cm="1">
        <f t="array" ref="B34">SUMPRODUCT((tbl_raw[Month]=A34)*tbl_raw[Selling_Price]*tbl_raw[Units_Sold])</f>
        <v>2604586</v>
      </c>
      <c r="C34" s="56">
        <f>COUNTIFS(tbl_raw[Month],A34,tbl_raw[Order_Status],"Returned")</f>
        <v>6</v>
      </c>
      <c r="D34" s="58">
        <f>SUMIFS(tbl_raw[Net_Profit],tbl_raw[Month],A34)</f>
        <v>533478</v>
      </c>
      <c r="E34" s="56">
        <f>COUNTIF(tbl_raw[Month],A34)</f>
        <v>73</v>
      </c>
      <c r="F34" s="59">
        <f>AVERAGEIFS(tbl_raw[Discount_Pct],tbl_raw[Month],A34)</f>
        <v>0.24931506849315063</v>
      </c>
    </row>
  </sheetData>
  <mergeCells count="5">
    <mergeCell ref="A1:D1"/>
    <mergeCell ref="G1:L1"/>
    <mergeCell ref="O1:S1"/>
    <mergeCell ref="A21:F21"/>
    <mergeCell ref="I21:M21"/>
  </mergeCells>
  <conditionalFormatting sqref="C3:C18">
    <cfRule type="cellIs" dxfId="13" priority="1" operator="equal">
      <formula>"Warning"</formula>
    </cfRule>
    <cfRule type="cellIs" dxfId="12" priority="2" operator="equal">
      <formula>"good"</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AA577-D7DA-4A90-8FB9-199931A0B953}">
  <sheetPr codeName="Sheet5">
    <tabColor theme="5" tint="0.39997558519241921"/>
  </sheetPr>
  <dimension ref="A1:J29"/>
  <sheetViews>
    <sheetView zoomScale="99" zoomScaleNormal="99" workbookViewId="0">
      <selection activeCell="D15" sqref="D15"/>
    </sheetView>
  </sheetViews>
  <sheetFormatPr defaultRowHeight="13.8" x14ac:dyDescent="0.25"/>
  <cols>
    <col min="1" max="1" width="30.109375" style="5" customWidth="1"/>
    <col min="2" max="2" width="18.77734375" style="5" customWidth="1"/>
    <col min="3" max="3" width="18.6640625" style="5" customWidth="1"/>
    <col min="4" max="4" width="32.88671875" style="5" bestFit="1" customWidth="1"/>
    <col min="5" max="5" width="13.44140625" style="5" customWidth="1"/>
    <col min="6" max="6" width="8.88671875" style="5"/>
    <col min="7" max="8" width="20.44140625" style="5" customWidth="1"/>
    <col min="9" max="16384" width="8.88671875" style="5"/>
  </cols>
  <sheetData>
    <row r="1" spans="1:10" x14ac:dyDescent="0.25">
      <c r="A1" s="99" t="s">
        <v>2448</v>
      </c>
      <c r="B1" s="99"/>
      <c r="C1" s="99"/>
      <c r="D1" s="99"/>
      <c r="E1" s="99"/>
      <c r="F1" s="99"/>
      <c r="G1" s="99"/>
      <c r="H1" s="99"/>
      <c r="I1" s="99"/>
      <c r="J1" s="99"/>
    </row>
    <row r="2" spans="1:10" x14ac:dyDescent="0.25">
      <c r="A2" s="99"/>
      <c r="B2" s="99"/>
      <c r="C2" s="99"/>
      <c r="D2" s="99"/>
      <c r="E2" s="99"/>
      <c r="F2" s="99"/>
      <c r="G2" s="99"/>
      <c r="H2" s="99"/>
      <c r="I2" s="99"/>
      <c r="J2" s="99"/>
    </row>
    <row r="3" spans="1:10" ht="17.399999999999999" x14ac:dyDescent="0.3">
      <c r="A3" s="100" t="s">
        <v>2449</v>
      </c>
      <c r="B3" s="100"/>
      <c r="C3" s="100"/>
      <c r="D3" s="100"/>
      <c r="E3" s="100"/>
      <c r="F3" s="100"/>
      <c r="G3" s="100"/>
      <c r="H3" s="100"/>
      <c r="I3" s="100"/>
      <c r="J3" s="100"/>
    </row>
    <row r="5" spans="1:10" ht="28.2" customHeight="1" x14ac:dyDescent="0.3">
      <c r="A5" s="101" t="s">
        <v>2542</v>
      </c>
      <c r="B5" s="101"/>
      <c r="C5" s="101"/>
      <c r="D5" s="101"/>
      <c r="G5" s="102" t="s">
        <v>2464</v>
      </c>
      <c r="H5" s="102"/>
    </row>
    <row r="6" spans="1:10" s="35" customFormat="1" ht="5.4" customHeight="1" x14ac:dyDescent="0.3">
      <c r="A6" s="34"/>
      <c r="B6" s="34"/>
      <c r="C6" s="34"/>
      <c r="D6" s="34"/>
      <c r="G6" s="36"/>
      <c r="H6" s="36"/>
    </row>
    <row r="7" spans="1:10" ht="18.600000000000001" customHeight="1" thickBot="1" x14ac:dyDescent="0.3">
      <c r="A7" s="37" t="s">
        <v>2450</v>
      </c>
      <c r="B7" s="37" t="s">
        <v>2451</v>
      </c>
      <c r="C7" s="37" t="s">
        <v>2452</v>
      </c>
      <c r="D7" s="37" t="s">
        <v>2453</v>
      </c>
      <c r="G7" s="37" t="s">
        <v>2414</v>
      </c>
      <c r="H7" s="37" t="s">
        <v>2481</v>
      </c>
    </row>
    <row r="8" spans="1:10" ht="26.4" x14ac:dyDescent="0.25">
      <c r="A8" s="40" t="s">
        <v>2454</v>
      </c>
      <c r="B8" s="14">
        <v>0.05</v>
      </c>
      <c r="C8" s="41">
        <f>B8</f>
        <v>0.05</v>
      </c>
      <c r="D8" s="40" t="s">
        <v>2459</v>
      </c>
      <c r="G8" s="40" t="s">
        <v>2465</v>
      </c>
      <c r="H8" s="42">
        <f>Calculations!B3/12</f>
        <v>2684170.0833333335</v>
      </c>
    </row>
    <row r="9" spans="1:10" x14ac:dyDescent="0.25">
      <c r="A9" s="40" t="s">
        <v>2455</v>
      </c>
      <c r="B9" s="15">
        <v>0.08</v>
      </c>
      <c r="C9" s="41">
        <f t="shared" ref="C9:C12" si="0">B9</f>
        <v>0.08</v>
      </c>
      <c r="D9" s="40" t="s">
        <v>2460</v>
      </c>
      <c r="G9" s="40" t="s">
        <v>2466</v>
      </c>
      <c r="H9" s="43">
        <f>Calculations!B7/12</f>
        <v>571714.5</v>
      </c>
    </row>
    <row r="10" spans="1:10" x14ac:dyDescent="0.25">
      <c r="A10" s="40" t="s">
        <v>2456</v>
      </c>
      <c r="B10" s="15">
        <v>0.1</v>
      </c>
      <c r="C10" s="41">
        <f t="shared" si="0"/>
        <v>0.1</v>
      </c>
      <c r="D10" s="40" t="s">
        <v>2461</v>
      </c>
      <c r="G10" s="40" t="s">
        <v>2420</v>
      </c>
      <c r="H10" s="44">
        <f>Calculations!B8</f>
        <v>0.22966</v>
      </c>
    </row>
    <row r="11" spans="1:10" x14ac:dyDescent="0.25">
      <c r="A11" s="40" t="s">
        <v>2457</v>
      </c>
      <c r="B11" s="15">
        <v>0.05</v>
      </c>
      <c r="C11" s="41">
        <f t="shared" si="0"/>
        <v>0.05</v>
      </c>
      <c r="D11" s="40" t="s">
        <v>2462</v>
      </c>
      <c r="G11" s="40" t="s">
        <v>2467</v>
      </c>
      <c r="H11" s="44">
        <f>Calculations!B9</f>
        <v>0.108</v>
      </c>
    </row>
    <row r="12" spans="1:10" ht="14.4" thickBot="1" x14ac:dyDescent="0.3">
      <c r="A12" s="40" t="s">
        <v>2458</v>
      </c>
      <c r="B12" s="16">
        <v>0.2</v>
      </c>
      <c r="C12" s="41">
        <f t="shared" si="0"/>
        <v>0.2</v>
      </c>
      <c r="D12" s="40" t="s">
        <v>2463</v>
      </c>
      <c r="G12" s="40" t="s">
        <v>2468</v>
      </c>
      <c r="H12" s="45">
        <f>Calculations!B13/12</f>
        <v>91944.5</v>
      </c>
    </row>
    <row r="13" spans="1:10" x14ac:dyDescent="0.25">
      <c r="G13" s="40" t="s">
        <v>2469</v>
      </c>
      <c r="H13" s="44">
        <f>Calculations!B10</f>
        <v>0.20200000000000001</v>
      </c>
    </row>
    <row r="14" spans="1:10" x14ac:dyDescent="0.25">
      <c r="G14" s="40" t="s">
        <v>2470</v>
      </c>
      <c r="H14" s="43">
        <f>Calculations!B4/12</f>
        <v>83.333333333333329</v>
      </c>
    </row>
    <row r="15" spans="1:10" x14ac:dyDescent="0.25">
      <c r="G15" s="40" t="s">
        <v>2471</v>
      </c>
      <c r="H15" s="42">
        <f>Calculations!B18</f>
        <v>32210.041000000001</v>
      </c>
    </row>
    <row r="16" spans="1:10" x14ac:dyDescent="0.25">
      <c r="G16" s="40" t="s">
        <v>2472</v>
      </c>
      <c r="H16" s="45">
        <f>Calculations!B16</f>
        <v>813216</v>
      </c>
    </row>
    <row r="17" spans="1:8" x14ac:dyDescent="0.25">
      <c r="G17" s="40" t="s">
        <v>2473</v>
      </c>
      <c r="H17" s="45">
        <f>Calculations!B15</f>
        <v>9998258</v>
      </c>
    </row>
    <row r="19" spans="1:8" ht="17.399999999999999" x14ac:dyDescent="0.3">
      <c r="A19" s="100" t="s">
        <v>2474</v>
      </c>
      <c r="B19" s="100"/>
      <c r="C19" s="100"/>
      <c r="D19" s="100"/>
      <c r="E19" s="100"/>
    </row>
    <row r="20" spans="1:8" s="35" customFormat="1" ht="11.4" customHeight="1" x14ac:dyDescent="0.3">
      <c r="A20" s="38"/>
      <c r="B20" s="38"/>
      <c r="C20" s="38"/>
      <c r="D20" s="38"/>
      <c r="E20" s="38"/>
    </row>
    <row r="21" spans="1:8" ht="27.6" x14ac:dyDescent="0.25">
      <c r="A21" s="37" t="s">
        <v>2475</v>
      </c>
      <c r="B21" s="37" t="s">
        <v>2476</v>
      </c>
      <c r="C21" s="37" t="s">
        <v>2477</v>
      </c>
      <c r="D21" s="37" t="s">
        <v>2478</v>
      </c>
      <c r="E21" s="37" t="s">
        <v>2479</v>
      </c>
    </row>
    <row r="22" spans="1:8" ht="39.6" x14ac:dyDescent="0.25">
      <c r="A22" s="40" t="s">
        <v>2480</v>
      </c>
      <c r="B22" s="60" t="s">
        <v>2486</v>
      </c>
      <c r="C22" s="46">
        <f>$B$8*($H$17/12)</f>
        <v>41659.408333333333</v>
      </c>
      <c r="D22" s="46">
        <f>C22*12</f>
        <v>499912.9</v>
      </c>
      <c r="E22" s="45" t="s">
        <v>2487</v>
      </c>
    </row>
    <row r="23" spans="1:8" ht="39.6" x14ac:dyDescent="0.25">
      <c r="A23" s="40" t="s">
        <v>2482</v>
      </c>
      <c r="B23" s="60" t="s">
        <v>2488</v>
      </c>
      <c r="C23" s="46">
        <f>MAX(0,($H$11-$B$9)/$H$11)*($H$16/12)</f>
        <v>17569.481481481482</v>
      </c>
      <c r="D23" s="46">
        <f>C23*12</f>
        <v>210833.77777777778</v>
      </c>
      <c r="E23" s="45" t="s">
        <v>2489</v>
      </c>
    </row>
    <row r="24" spans="1:8" ht="39.6" x14ac:dyDescent="0.25">
      <c r="A24" s="40" t="s">
        <v>2483</v>
      </c>
      <c r="B24" s="60" t="s">
        <v>2490</v>
      </c>
      <c r="C24" s="46">
        <f>$B$10*$H$12</f>
        <v>9194.4500000000007</v>
      </c>
      <c r="D24" s="46">
        <f t="shared" ref="D24:D25" si="1">C24*12</f>
        <v>110333.40000000001</v>
      </c>
      <c r="E24" s="45" t="s">
        <v>2487</v>
      </c>
    </row>
    <row r="25" spans="1:8" ht="39.6" x14ac:dyDescent="0.25">
      <c r="A25" s="40" t="s">
        <v>2484</v>
      </c>
      <c r="B25" s="60" t="s">
        <v>2491</v>
      </c>
      <c r="C25" s="46">
        <f>$B$11*$H$8*8%</f>
        <v>10736.680333333336</v>
      </c>
      <c r="D25" s="46">
        <f t="shared" si="1"/>
        <v>128840.16400000002</v>
      </c>
      <c r="E25" s="45" t="s">
        <v>2493</v>
      </c>
    </row>
    <row r="26" spans="1:8" ht="52.8" x14ac:dyDescent="0.25">
      <c r="A26" s="40" t="s">
        <v>2485</v>
      </c>
      <c r="B26" s="60" t="s">
        <v>2492</v>
      </c>
      <c r="C26" s="46">
        <f>$B$12*$H$13*$H$14*18%*$H$15*10%</f>
        <v>1951.9284846000003</v>
      </c>
      <c r="D26" s="46">
        <f>C26*12</f>
        <v>23423.141815200004</v>
      </c>
      <c r="E26" s="45" t="s">
        <v>2489</v>
      </c>
    </row>
    <row r="27" spans="1:8" ht="18" customHeight="1" x14ac:dyDescent="0.25">
      <c r="A27" s="98" t="s">
        <v>2494</v>
      </c>
      <c r="B27" s="98"/>
      <c r="C27" s="39">
        <f>SUM(C22:C26)</f>
        <v>81111.948632748143</v>
      </c>
      <c r="D27" s="39">
        <f>C27*12</f>
        <v>973343.38359297765</v>
      </c>
      <c r="E27" s="47"/>
    </row>
    <row r="29" spans="1:8" x14ac:dyDescent="0.25">
      <c r="A29" s="2"/>
      <c r="B29" s="2"/>
      <c r="C29" s="2"/>
      <c r="D29" s="2"/>
      <c r="E29" s="2"/>
      <c r="F29" s="2"/>
    </row>
  </sheetData>
  <mergeCells count="6">
    <mergeCell ref="A27:B27"/>
    <mergeCell ref="A1:J2"/>
    <mergeCell ref="A3:J3"/>
    <mergeCell ref="A5:D5"/>
    <mergeCell ref="G5:H5"/>
    <mergeCell ref="A19:E1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0D667-D48C-4529-9991-1736BF072946}">
  <sheetPr codeName="Sheet6">
    <tabColor theme="5" tint="0.39997558519241921"/>
  </sheetPr>
  <dimension ref="A1:L38"/>
  <sheetViews>
    <sheetView workbookViewId="0">
      <selection activeCell="M13" sqref="M13"/>
    </sheetView>
  </sheetViews>
  <sheetFormatPr defaultRowHeight="13.8" x14ac:dyDescent="0.25"/>
  <cols>
    <col min="1" max="1" width="11.21875" style="2" customWidth="1"/>
    <col min="2" max="2" width="10.33203125" style="2" customWidth="1"/>
    <col min="3" max="3" width="14.21875" style="2" bestFit="1" customWidth="1"/>
    <col min="4" max="4" width="10.6640625" style="2" bestFit="1" customWidth="1"/>
    <col min="5" max="5" width="12.6640625" style="2" customWidth="1"/>
    <col min="6" max="6" width="12" style="2" customWidth="1"/>
    <col min="7" max="7" width="12.21875" style="2" bestFit="1" customWidth="1"/>
    <col min="8" max="8" width="14.5546875" style="2" customWidth="1"/>
    <col min="9" max="9" width="8.88671875" style="2" bestFit="1" customWidth="1"/>
    <col min="10" max="10" width="12.77734375" style="4" customWidth="1"/>
    <col min="11" max="16384" width="8.88671875" style="2"/>
  </cols>
  <sheetData>
    <row r="1" spans="1:12" ht="27" customHeight="1" x14ac:dyDescent="0.25">
      <c r="A1" s="149" t="s">
        <v>2495</v>
      </c>
      <c r="B1" s="149"/>
      <c r="C1" s="149"/>
      <c r="D1" s="149"/>
      <c r="E1" s="149"/>
      <c r="F1" s="149"/>
      <c r="G1" s="149"/>
      <c r="H1" s="149"/>
      <c r="I1" s="149"/>
      <c r="J1" s="149"/>
    </row>
    <row r="2" spans="1:12" ht="14.4" customHeight="1" x14ac:dyDescent="0.25">
      <c r="A2" s="79"/>
      <c r="B2" s="79"/>
      <c r="C2" s="79"/>
      <c r="D2" s="79"/>
      <c r="E2" s="79"/>
      <c r="F2" s="79"/>
      <c r="G2" s="79"/>
      <c r="H2" s="79"/>
      <c r="I2" s="79"/>
    </row>
    <row r="3" spans="1:12" x14ac:dyDescent="0.25">
      <c r="A3" s="150" t="s">
        <v>2496</v>
      </c>
      <c r="B3" s="150"/>
      <c r="C3" s="150"/>
      <c r="D3" s="151" t="s">
        <v>2497</v>
      </c>
      <c r="E3" s="151"/>
      <c r="F3" s="151"/>
      <c r="G3" s="150" t="s">
        <v>2498</v>
      </c>
      <c r="H3" s="150"/>
      <c r="I3" s="150"/>
      <c r="J3" s="152" t="s">
        <v>2499</v>
      </c>
      <c r="K3" s="152"/>
      <c r="L3" s="152"/>
    </row>
    <row r="4" spans="1:12" x14ac:dyDescent="0.25">
      <c r="A4" s="150"/>
      <c r="B4" s="150"/>
      <c r="C4" s="150"/>
      <c r="D4" s="151"/>
      <c r="E4" s="151"/>
      <c r="F4" s="151"/>
      <c r="G4" s="150"/>
      <c r="H4" s="150"/>
      <c r="I4" s="150"/>
      <c r="J4" s="152"/>
      <c r="K4" s="152"/>
      <c r="L4" s="152"/>
    </row>
    <row r="5" spans="1:12" ht="22.2" customHeight="1" x14ac:dyDescent="0.3">
      <c r="A5" s="153">
        <f>COUNTIF(tbl_raw[Return_Risk_Score],"&gt;0.7")</f>
        <v>97</v>
      </c>
      <c r="B5" s="153"/>
      <c r="C5" s="153"/>
      <c r="D5" s="153" t="str">
        <f>COUNTIFS(tbl_raw[COD_Flag],1,tbl_raw[Return_Risk_Score],"&gt;0.6")&amp;" / "&amp;COUNTIF(tbl_raw[COD_Flag],1)</f>
        <v>133 / 202</v>
      </c>
      <c r="E5" s="153"/>
      <c r="F5" s="153"/>
      <c r="G5" s="154">
        <f>ABS(SUMIFS(tbl_raw[Net_Profit],tbl_raw[Order_Status],"Returned"))</f>
        <v>813216</v>
      </c>
      <c r="H5" s="154"/>
      <c r="I5" s="154"/>
      <c r="J5" s="155">
        <f>AVERAGE(tbl_raw[Return_Risk_Score])</f>
        <v>0.3922239999999993</v>
      </c>
      <c r="K5" s="155"/>
      <c r="L5" s="155"/>
    </row>
    <row r="7" spans="1:12" ht="21" customHeight="1" x14ac:dyDescent="0.25">
      <c r="A7" s="106" t="s">
        <v>2504</v>
      </c>
      <c r="B7" s="106"/>
      <c r="C7" s="106"/>
      <c r="D7" s="106"/>
      <c r="E7" s="106"/>
      <c r="F7" s="106"/>
      <c r="G7" s="106"/>
      <c r="H7" s="106"/>
      <c r="I7" s="106"/>
      <c r="J7" s="106"/>
    </row>
    <row r="8" spans="1:12" ht="16.2" customHeight="1" x14ac:dyDescent="0.25">
      <c r="A8" s="11" t="s">
        <v>0</v>
      </c>
      <c r="B8" s="11" t="s">
        <v>2</v>
      </c>
      <c r="C8" s="11" t="s">
        <v>3</v>
      </c>
      <c r="D8" s="11" t="s">
        <v>6</v>
      </c>
      <c r="E8" s="11" t="s">
        <v>2500</v>
      </c>
      <c r="F8" s="11" t="s">
        <v>2501</v>
      </c>
      <c r="G8" s="11" t="s">
        <v>16</v>
      </c>
      <c r="H8" s="11" t="s">
        <v>2502</v>
      </c>
      <c r="I8" s="11" t="s">
        <v>2432</v>
      </c>
      <c r="J8" s="48" t="s">
        <v>2503</v>
      </c>
    </row>
    <row r="9" spans="1:12" x14ac:dyDescent="0.25">
      <c r="A9" s="86" t="str" cm="1">
        <f t="array" ref="A9:J38">_xlfn.TAKE(_xlfn.SORTBY(_xlfn.CHOOSECOLS(tbl_raw[],1,3,4,7,11,12,17,19,20,23),tbl_raw[Return_Risk_Score],-1),30)</f>
        <v>ORD-10205</v>
      </c>
      <c r="B9" s="87" t="str">
        <v>May</v>
      </c>
      <c r="C9" s="86" t="str">
        <v>Books</v>
      </c>
      <c r="D9" s="86" t="str">
        <v>Mumbai</v>
      </c>
      <c r="E9" s="88">
        <v>2454</v>
      </c>
      <c r="F9" s="89">
        <v>0.45</v>
      </c>
      <c r="G9" s="90">
        <v>5310</v>
      </c>
      <c r="H9" s="87" t="str">
        <v>COD</v>
      </c>
      <c r="I9" s="87" t="str">
        <v>Pending</v>
      </c>
      <c r="J9" s="91">
        <v>0.98</v>
      </c>
    </row>
    <row r="10" spans="1:12" x14ac:dyDescent="0.25">
      <c r="A10" s="86" t="str">
        <v>ORD-10569</v>
      </c>
      <c r="B10" s="87" t="str">
        <v>Aug</v>
      </c>
      <c r="C10" s="86" t="str">
        <v>Toys</v>
      </c>
      <c r="D10" s="86" t="str">
        <v>Hyderabad</v>
      </c>
      <c r="E10" s="88">
        <v>2499</v>
      </c>
      <c r="F10" s="89">
        <v>0.45</v>
      </c>
      <c r="G10" s="90">
        <v>294</v>
      </c>
      <c r="H10" s="87" t="str">
        <v>COD</v>
      </c>
      <c r="I10" s="87" t="str">
        <v>Pending</v>
      </c>
      <c r="J10" s="91">
        <v>0.98</v>
      </c>
    </row>
    <row r="11" spans="1:12" x14ac:dyDescent="0.25">
      <c r="A11" s="86" t="str">
        <v>ORD-10031</v>
      </c>
      <c r="B11" s="87" t="str">
        <v>May</v>
      </c>
      <c r="C11" s="86" t="str">
        <v>Fashion</v>
      </c>
      <c r="D11" s="86" t="str">
        <v>Kolkata</v>
      </c>
      <c r="E11" s="88">
        <v>2018</v>
      </c>
      <c r="F11" s="89">
        <v>0.44</v>
      </c>
      <c r="G11" s="90">
        <v>2926</v>
      </c>
      <c r="H11" s="87" t="str">
        <v>COD</v>
      </c>
      <c r="I11" s="87" t="str">
        <v>Returned</v>
      </c>
      <c r="J11" s="91">
        <v>0.96599999999999997</v>
      </c>
    </row>
    <row r="12" spans="1:12" x14ac:dyDescent="0.25">
      <c r="A12" s="86" t="str">
        <v>ORD-10825</v>
      </c>
      <c r="B12" s="87" t="str">
        <v>Apr</v>
      </c>
      <c r="C12" s="86" t="str">
        <v>Fashion</v>
      </c>
      <c r="D12" s="86" t="str">
        <v>Ahmedabad</v>
      </c>
      <c r="E12" s="88">
        <v>3431</v>
      </c>
      <c r="F12" s="89">
        <v>0.44</v>
      </c>
      <c r="G12" s="90">
        <v>-9834</v>
      </c>
      <c r="H12" s="87" t="str">
        <v>COD</v>
      </c>
      <c r="I12" s="87" t="str">
        <v>Pending</v>
      </c>
      <c r="J12" s="91">
        <v>0.96599999999999997</v>
      </c>
    </row>
    <row r="13" spans="1:12" x14ac:dyDescent="0.25">
      <c r="A13" s="86" t="str">
        <v>ORD-10035</v>
      </c>
      <c r="B13" s="87" t="str">
        <v>Dec</v>
      </c>
      <c r="C13" s="86" t="str">
        <v>Fashion</v>
      </c>
      <c r="D13" s="86" t="str">
        <v>Lucknow</v>
      </c>
      <c r="E13" s="88">
        <v>529</v>
      </c>
      <c r="F13" s="89">
        <v>0.43</v>
      </c>
      <c r="G13" s="90">
        <v>55</v>
      </c>
      <c r="H13" s="87" t="str">
        <v>COD</v>
      </c>
      <c r="I13" s="87" t="str">
        <v>Delivered</v>
      </c>
      <c r="J13" s="91">
        <v>0.95199999999999996</v>
      </c>
    </row>
    <row r="14" spans="1:12" x14ac:dyDescent="0.25">
      <c r="A14" s="86" t="str">
        <v>ORD-10048</v>
      </c>
      <c r="B14" s="87" t="str">
        <v>Sep</v>
      </c>
      <c r="C14" s="86" t="str">
        <v>Books</v>
      </c>
      <c r="D14" s="86" t="str">
        <v>Pune</v>
      </c>
      <c r="E14" s="88">
        <v>583</v>
      </c>
      <c r="F14" s="89">
        <v>0.43</v>
      </c>
      <c r="G14" s="90">
        <v>-3328</v>
      </c>
      <c r="H14" s="87" t="str">
        <v>COD</v>
      </c>
      <c r="I14" s="87" t="str">
        <v>Returned</v>
      </c>
      <c r="J14" s="91">
        <v>0.95199999999999996</v>
      </c>
    </row>
    <row r="15" spans="1:12" x14ac:dyDescent="0.25">
      <c r="A15" s="86" t="str">
        <v>ORD-10532</v>
      </c>
      <c r="B15" s="87" t="str">
        <v>Aug</v>
      </c>
      <c r="C15" s="86" t="str">
        <v>Sports</v>
      </c>
      <c r="D15" s="86" t="str">
        <v>Ahmedabad</v>
      </c>
      <c r="E15" s="88">
        <v>1780</v>
      </c>
      <c r="F15" s="89">
        <v>0.43</v>
      </c>
      <c r="G15" s="90">
        <v>1638</v>
      </c>
      <c r="H15" s="87" t="str">
        <v>COD</v>
      </c>
      <c r="I15" s="87" t="str">
        <v>Pending</v>
      </c>
      <c r="J15" s="91">
        <v>0.95199999999999996</v>
      </c>
    </row>
    <row r="16" spans="1:12" x14ac:dyDescent="0.25">
      <c r="A16" s="86" t="str">
        <v>ORD-10084</v>
      </c>
      <c r="B16" s="87" t="str">
        <v>Sep</v>
      </c>
      <c r="C16" s="86" t="str">
        <v>Home &amp; Kitchen</v>
      </c>
      <c r="D16" s="86" t="str">
        <v>Delhi</v>
      </c>
      <c r="E16" s="88">
        <v>2901</v>
      </c>
      <c r="F16" s="89">
        <v>0.42</v>
      </c>
      <c r="G16" s="90">
        <v>4416</v>
      </c>
      <c r="H16" s="87" t="str">
        <v>COD</v>
      </c>
      <c r="I16" s="87" t="str">
        <v>Pending</v>
      </c>
      <c r="J16" s="91">
        <v>0.93799999999999994</v>
      </c>
    </row>
    <row r="17" spans="1:10" x14ac:dyDescent="0.25">
      <c r="A17" s="86" t="str">
        <v>ORD-10152</v>
      </c>
      <c r="B17" s="87" t="str">
        <v>Dec</v>
      </c>
      <c r="C17" s="86" t="str">
        <v>Fashion</v>
      </c>
      <c r="D17" s="86" t="str">
        <v>Jaipur</v>
      </c>
      <c r="E17" s="88">
        <v>1957</v>
      </c>
      <c r="F17" s="89">
        <v>0.42</v>
      </c>
      <c r="G17" s="90">
        <v>-3192</v>
      </c>
      <c r="H17" s="87" t="str">
        <v>COD</v>
      </c>
      <c r="I17" s="87" t="str">
        <v>Delivered</v>
      </c>
      <c r="J17" s="91">
        <v>0.93799999999999994</v>
      </c>
    </row>
    <row r="18" spans="1:10" x14ac:dyDescent="0.25">
      <c r="A18" s="86" t="str">
        <v>ORD-10158</v>
      </c>
      <c r="B18" s="87" t="str">
        <v>May</v>
      </c>
      <c r="C18" s="86" t="str">
        <v>Toys</v>
      </c>
      <c r="D18" s="86" t="str">
        <v>Chennai</v>
      </c>
      <c r="E18" s="88">
        <v>3006</v>
      </c>
      <c r="F18" s="89">
        <v>0.42</v>
      </c>
      <c r="G18" s="90">
        <v>816</v>
      </c>
      <c r="H18" s="87" t="str">
        <v>COD</v>
      </c>
      <c r="I18" s="87" t="str">
        <v>Delivered</v>
      </c>
      <c r="J18" s="91">
        <v>0.93799999999999994</v>
      </c>
    </row>
    <row r="19" spans="1:10" x14ac:dyDescent="0.25">
      <c r="A19" s="86" t="str">
        <v>ORD-10438</v>
      </c>
      <c r="B19" s="87" t="str">
        <v>Apr</v>
      </c>
      <c r="C19" s="86" t="str">
        <v>Home &amp; Kitchen</v>
      </c>
      <c r="D19" s="86" t="str">
        <v>Hyderabad</v>
      </c>
      <c r="E19" s="88">
        <v>1856</v>
      </c>
      <c r="F19" s="89">
        <v>0.42</v>
      </c>
      <c r="G19" s="90">
        <v>-7524</v>
      </c>
      <c r="H19" s="87" t="str">
        <v>COD</v>
      </c>
      <c r="I19" s="87" t="str">
        <v>Delivered</v>
      </c>
      <c r="J19" s="91">
        <v>0.93799999999999994</v>
      </c>
    </row>
    <row r="20" spans="1:10" x14ac:dyDescent="0.25">
      <c r="A20" s="86" t="str">
        <v>ORD-10834</v>
      </c>
      <c r="B20" s="87" t="str">
        <v>Oct</v>
      </c>
      <c r="C20" s="86" t="str">
        <v>Electronics</v>
      </c>
      <c r="D20" s="86" t="str">
        <v>Pune</v>
      </c>
      <c r="E20" s="88">
        <v>3460</v>
      </c>
      <c r="F20" s="89">
        <v>0.42</v>
      </c>
      <c r="G20" s="90">
        <v>-17640</v>
      </c>
      <c r="H20" s="87" t="str">
        <v>COD</v>
      </c>
      <c r="I20" s="87" t="str">
        <v>Delivered</v>
      </c>
      <c r="J20" s="91">
        <v>0.93799999999999994</v>
      </c>
    </row>
    <row r="21" spans="1:10" x14ac:dyDescent="0.25">
      <c r="A21" s="86" t="str">
        <v>ORD-10236</v>
      </c>
      <c r="B21" s="87" t="str">
        <v>Apr</v>
      </c>
      <c r="C21" s="86" t="str">
        <v>Beauty</v>
      </c>
      <c r="D21" s="86" t="str">
        <v>Delhi</v>
      </c>
      <c r="E21" s="88">
        <v>2815</v>
      </c>
      <c r="F21" s="89">
        <v>0.41</v>
      </c>
      <c r="G21" s="90">
        <v>11419</v>
      </c>
      <c r="H21" s="87" t="str">
        <v>COD</v>
      </c>
      <c r="I21" s="87" t="str">
        <v>Delivered</v>
      </c>
      <c r="J21" s="91">
        <v>0.92399999999999993</v>
      </c>
    </row>
    <row r="22" spans="1:10" x14ac:dyDescent="0.25">
      <c r="A22" s="86" t="str">
        <v>ORD-10283</v>
      </c>
      <c r="B22" s="87" t="str">
        <v>Sep</v>
      </c>
      <c r="C22" s="86" t="str">
        <v>Books</v>
      </c>
      <c r="D22" s="86" t="str">
        <v>Bangalore</v>
      </c>
      <c r="E22" s="88">
        <v>2640</v>
      </c>
      <c r="F22" s="89">
        <v>0.41</v>
      </c>
      <c r="G22" s="90">
        <v>-660</v>
      </c>
      <c r="H22" s="87" t="str">
        <v>COD</v>
      </c>
      <c r="I22" s="87" t="str">
        <v>Returned</v>
      </c>
      <c r="J22" s="91">
        <v>0.92399999999999993</v>
      </c>
    </row>
    <row r="23" spans="1:10" x14ac:dyDescent="0.25">
      <c r="A23" s="86" t="str">
        <v>ORD-10299</v>
      </c>
      <c r="B23" s="87" t="str">
        <v>Jun</v>
      </c>
      <c r="C23" s="86" t="str">
        <v>Beauty</v>
      </c>
      <c r="D23" s="86" t="str">
        <v>Lucknow</v>
      </c>
      <c r="E23" s="88">
        <v>3278</v>
      </c>
      <c r="F23" s="89">
        <v>0.41</v>
      </c>
      <c r="G23" s="90">
        <v>6610</v>
      </c>
      <c r="H23" s="87" t="str">
        <v>COD</v>
      </c>
      <c r="I23" s="87" t="str">
        <v>Returned</v>
      </c>
      <c r="J23" s="91">
        <v>0.92399999999999993</v>
      </c>
    </row>
    <row r="24" spans="1:10" x14ac:dyDescent="0.25">
      <c r="A24" s="86" t="str">
        <v>ORD-10603</v>
      </c>
      <c r="B24" s="87" t="str">
        <v>Nov</v>
      </c>
      <c r="C24" s="86" t="str">
        <v>Beauty</v>
      </c>
      <c r="D24" s="86" t="str">
        <v>Kolkata</v>
      </c>
      <c r="E24" s="88">
        <v>1410</v>
      </c>
      <c r="F24" s="89">
        <v>0.41</v>
      </c>
      <c r="G24" s="90">
        <v>-396</v>
      </c>
      <c r="H24" s="87" t="str">
        <v>COD</v>
      </c>
      <c r="I24" s="87" t="str">
        <v>Returned</v>
      </c>
      <c r="J24" s="91">
        <v>0.92399999999999993</v>
      </c>
    </row>
    <row r="25" spans="1:10" x14ac:dyDescent="0.25">
      <c r="A25" s="86" t="str">
        <v>ORD-10625</v>
      </c>
      <c r="B25" s="87" t="str">
        <v>Jun</v>
      </c>
      <c r="C25" s="86" t="str">
        <v>Grocery</v>
      </c>
      <c r="D25" s="86" t="str">
        <v>Chennai</v>
      </c>
      <c r="E25" s="88">
        <v>1963</v>
      </c>
      <c r="F25" s="89">
        <v>0.41</v>
      </c>
      <c r="G25" s="90">
        <v>-1577</v>
      </c>
      <c r="H25" s="87" t="str">
        <v>COD</v>
      </c>
      <c r="I25" s="87" t="str">
        <v>Delivered</v>
      </c>
      <c r="J25" s="91">
        <v>0.92399999999999993</v>
      </c>
    </row>
    <row r="26" spans="1:10" x14ac:dyDescent="0.25">
      <c r="A26" s="86" t="str">
        <v>ORD-10636</v>
      </c>
      <c r="B26" s="87" t="str">
        <v>Feb</v>
      </c>
      <c r="C26" s="86" t="str">
        <v>Electronics</v>
      </c>
      <c r="D26" s="86" t="str">
        <v>Mumbai</v>
      </c>
      <c r="E26" s="88">
        <v>1622</v>
      </c>
      <c r="F26" s="89">
        <v>0.41</v>
      </c>
      <c r="G26" s="90">
        <v>-192</v>
      </c>
      <c r="H26" s="87" t="str">
        <v>COD</v>
      </c>
      <c r="I26" s="87" t="str">
        <v>Delivered</v>
      </c>
      <c r="J26" s="91">
        <v>0.92399999999999993</v>
      </c>
    </row>
    <row r="27" spans="1:10" x14ac:dyDescent="0.25">
      <c r="A27" s="86" t="str">
        <v>ORD-10954</v>
      </c>
      <c r="B27" s="87" t="str">
        <v>Oct</v>
      </c>
      <c r="C27" s="86" t="str">
        <v>Grocery</v>
      </c>
      <c r="D27" s="86" t="str">
        <v>Mumbai</v>
      </c>
      <c r="E27" s="88">
        <v>2096</v>
      </c>
      <c r="F27" s="89">
        <v>0.41</v>
      </c>
      <c r="G27" s="90">
        <v>-6004</v>
      </c>
      <c r="H27" s="87" t="str">
        <v>COD</v>
      </c>
      <c r="I27" s="87" t="str">
        <v>Returned</v>
      </c>
      <c r="J27" s="91">
        <v>0.92399999999999993</v>
      </c>
    </row>
    <row r="28" spans="1:10" x14ac:dyDescent="0.25">
      <c r="A28" s="86" t="str">
        <v>ORD-10382</v>
      </c>
      <c r="B28" s="87" t="str">
        <v>Jul</v>
      </c>
      <c r="C28" s="86" t="str">
        <v>Electronics</v>
      </c>
      <c r="D28" s="86" t="str">
        <v>Mumbai</v>
      </c>
      <c r="E28" s="88">
        <v>752</v>
      </c>
      <c r="F28" s="89">
        <v>0.4</v>
      </c>
      <c r="G28" s="90">
        <v>1190</v>
      </c>
      <c r="H28" s="87" t="str">
        <v>COD</v>
      </c>
      <c r="I28" s="87" t="str">
        <v>Delivered</v>
      </c>
      <c r="J28" s="91">
        <v>0.90999999999999992</v>
      </c>
    </row>
    <row r="29" spans="1:10" x14ac:dyDescent="0.25">
      <c r="A29" s="86" t="str">
        <v>ORD-10496</v>
      </c>
      <c r="B29" s="87" t="str">
        <v>Jan</v>
      </c>
      <c r="C29" s="86" t="str">
        <v>Sports</v>
      </c>
      <c r="D29" s="86" t="str">
        <v>Ahmedabad</v>
      </c>
      <c r="E29" s="88">
        <v>3180</v>
      </c>
      <c r="F29" s="89">
        <v>0.4</v>
      </c>
      <c r="G29" s="90">
        <v>728</v>
      </c>
      <c r="H29" s="87" t="str">
        <v>COD</v>
      </c>
      <c r="I29" s="87" t="str">
        <v>Cancelled</v>
      </c>
      <c r="J29" s="91">
        <v>0.90999999999999992</v>
      </c>
    </row>
    <row r="30" spans="1:10" x14ac:dyDescent="0.25">
      <c r="A30" s="86" t="str">
        <v>ORD-10956</v>
      </c>
      <c r="B30" s="87" t="str">
        <v>Jun</v>
      </c>
      <c r="C30" s="86" t="str">
        <v>Sports</v>
      </c>
      <c r="D30" s="86" t="str">
        <v>Bangalore</v>
      </c>
      <c r="E30" s="88">
        <v>151</v>
      </c>
      <c r="F30" s="89">
        <v>0.4</v>
      </c>
      <c r="G30" s="90">
        <v>-1568</v>
      </c>
      <c r="H30" s="87" t="str">
        <v>COD</v>
      </c>
      <c r="I30" s="87" t="str">
        <v>Delivered</v>
      </c>
      <c r="J30" s="91">
        <v>0.90999999999999992</v>
      </c>
    </row>
    <row r="31" spans="1:10" x14ac:dyDescent="0.25">
      <c r="A31" s="86" t="str">
        <v>ORD-10010</v>
      </c>
      <c r="B31" s="87" t="str">
        <v>Jun</v>
      </c>
      <c r="C31" s="86" t="str">
        <v>Sports</v>
      </c>
      <c r="D31" s="86" t="str">
        <v>Ahmedabad</v>
      </c>
      <c r="E31" s="88">
        <v>4660</v>
      </c>
      <c r="F31" s="89">
        <v>0.39</v>
      </c>
      <c r="G31" s="90">
        <v>795</v>
      </c>
      <c r="H31" s="87" t="str">
        <v>COD</v>
      </c>
      <c r="I31" s="87" t="str">
        <v>Delivered</v>
      </c>
      <c r="J31" s="91">
        <v>0.89599999999999991</v>
      </c>
    </row>
    <row r="32" spans="1:10" x14ac:dyDescent="0.25">
      <c r="A32" s="86" t="str">
        <v>ORD-10147</v>
      </c>
      <c r="B32" s="87" t="str">
        <v>Jul</v>
      </c>
      <c r="C32" s="86" t="str">
        <v>Toys</v>
      </c>
      <c r="D32" s="86" t="str">
        <v>Jaipur</v>
      </c>
      <c r="E32" s="88">
        <v>4502</v>
      </c>
      <c r="F32" s="89">
        <v>0.39</v>
      </c>
      <c r="G32" s="90">
        <v>-7800</v>
      </c>
      <c r="H32" s="87" t="str">
        <v>COD</v>
      </c>
      <c r="I32" s="87" t="str">
        <v>Delivered</v>
      </c>
      <c r="J32" s="91">
        <v>0.89599999999999991</v>
      </c>
    </row>
    <row r="33" spans="1:10" x14ac:dyDescent="0.25">
      <c r="A33" s="86" t="str">
        <v>ORD-10208</v>
      </c>
      <c r="B33" s="87" t="str">
        <v>Sep</v>
      </c>
      <c r="C33" s="86" t="str">
        <v>Fashion</v>
      </c>
      <c r="D33" s="86" t="str">
        <v>Pune</v>
      </c>
      <c r="E33" s="88">
        <v>4844</v>
      </c>
      <c r="F33" s="89">
        <v>0.39</v>
      </c>
      <c r="G33" s="90">
        <v>2310</v>
      </c>
      <c r="H33" s="87" t="str">
        <v>COD</v>
      </c>
      <c r="I33" s="87" t="str">
        <v>Delivered</v>
      </c>
      <c r="J33" s="91">
        <v>0.89599999999999991</v>
      </c>
    </row>
    <row r="34" spans="1:10" x14ac:dyDescent="0.25">
      <c r="A34" s="86" t="str">
        <v>ORD-10265</v>
      </c>
      <c r="B34" s="87" t="str">
        <v>Nov</v>
      </c>
      <c r="C34" s="86" t="str">
        <v>Beauty</v>
      </c>
      <c r="D34" s="86" t="str">
        <v>Lucknow</v>
      </c>
      <c r="E34" s="88">
        <v>967</v>
      </c>
      <c r="F34" s="89">
        <v>0.39</v>
      </c>
      <c r="G34" s="90">
        <v>-1125</v>
      </c>
      <c r="H34" s="87" t="str">
        <v>COD</v>
      </c>
      <c r="I34" s="87" t="str">
        <v>Delivered</v>
      </c>
      <c r="J34" s="91">
        <v>0.89599999999999991</v>
      </c>
    </row>
    <row r="35" spans="1:10" x14ac:dyDescent="0.25">
      <c r="A35" s="86" t="str">
        <v>ORD-10445</v>
      </c>
      <c r="B35" s="87" t="str">
        <v>Mar</v>
      </c>
      <c r="C35" s="86" t="str">
        <v>Fashion</v>
      </c>
      <c r="D35" s="86" t="str">
        <v>Bangalore</v>
      </c>
      <c r="E35" s="88">
        <v>1459</v>
      </c>
      <c r="F35" s="89">
        <v>0.39</v>
      </c>
      <c r="G35" s="90">
        <v>8860</v>
      </c>
      <c r="H35" s="87" t="str">
        <v>COD</v>
      </c>
      <c r="I35" s="87" t="str">
        <v>Returned</v>
      </c>
      <c r="J35" s="91">
        <v>0.89599999999999991</v>
      </c>
    </row>
    <row r="36" spans="1:10" x14ac:dyDescent="0.25">
      <c r="A36" s="86" t="str">
        <v>ORD-10461</v>
      </c>
      <c r="B36" s="87" t="str">
        <v>Dec</v>
      </c>
      <c r="C36" s="86" t="str">
        <v>Toys</v>
      </c>
      <c r="D36" s="86" t="str">
        <v>Jaipur</v>
      </c>
      <c r="E36" s="88">
        <v>4595</v>
      </c>
      <c r="F36" s="89">
        <v>0.39</v>
      </c>
      <c r="G36" s="90">
        <v>390</v>
      </c>
      <c r="H36" s="87" t="str">
        <v>COD</v>
      </c>
      <c r="I36" s="87" t="str">
        <v>Delivered</v>
      </c>
      <c r="J36" s="91">
        <v>0.89599999999999991</v>
      </c>
    </row>
    <row r="37" spans="1:10" x14ac:dyDescent="0.25">
      <c r="A37" s="86" t="str">
        <v>ORD-10670</v>
      </c>
      <c r="B37" s="87" t="str">
        <v>Jul</v>
      </c>
      <c r="C37" s="86" t="str">
        <v>Electronics</v>
      </c>
      <c r="D37" s="86" t="str">
        <v>Kolkata</v>
      </c>
      <c r="E37" s="88">
        <v>137</v>
      </c>
      <c r="F37" s="89">
        <v>0.39</v>
      </c>
      <c r="G37" s="90">
        <v>-556</v>
      </c>
      <c r="H37" s="87" t="str">
        <v>COD</v>
      </c>
      <c r="I37" s="87" t="str">
        <v>Delivered</v>
      </c>
      <c r="J37" s="91">
        <v>0.89599999999999991</v>
      </c>
    </row>
    <row r="38" spans="1:10" x14ac:dyDescent="0.25">
      <c r="A38" s="86" t="str">
        <v>ORD-10597</v>
      </c>
      <c r="B38" s="87" t="str">
        <v>Oct</v>
      </c>
      <c r="C38" s="86" t="str">
        <v>Home &amp; Kitchen</v>
      </c>
      <c r="D38" s="86" t="str">
        <v>Ahmedabad</v>
      </c>
      <c r="E38" s="88">
        <v>3015</v>
      </c>
      <c r="F38" s="89">
        <v>0.38</v>
      </c>
      <c r="G38" s="90">
        <v>3060</v>
      </c>
      <c r="H38" s="87" t="str">
        <v>COD</v>
      </c>
      <c r="I38" s="87" t="str">
        <v>Delivered</v>
      </c>
      <c r="J38" s="91">
        <v>0.8819999999999999</v>
      </c>
    </row>
  </sheetData>
  <mergeCells count="10">
    <mergeCell ref="A7:J7"/>
    <mergeCell ref="A1:J1"/>
    <mergeCell ref="A3:C4"/>
    <mergeCell ref="D3:F4"/>
    <mergeCell ref="G3:I4"/>
    <mergeCell ref="J3:L4"/>
    <mergeCell ref="A5:C5"/>
    <mergeCell ref="D5:F5"/>
    <mergeCell ref="G5:I5"/>
    <mergeCell ref="J5:L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411AF-595B-4B51-90E1-5E32F05BA6B9}">
  <sheetPr codeName="Sheet7">
    <tabColor theme="5" tint="0.39997558519241921"/>
  </sheetPr>
  <dimension ref="A1:O15"/>
  <sheetViews>
    <sheetView topLeftCell="A4" zoomScale="94" zoomScaleNormal="94" workbookViewId="0">
      <selection activeCell="N3" sqref="N3:O7"/>
    </sheetView>
  </sheetViews>
  <sheetFormatPr defaultColWidth="15.33203125" defaultRowHeight="13.8" x14ac:dyDescent="0.25"/>
  <cols>
    <col min="1" max="16384" width="15.33203125" style="2"/>
  </cols>
  <sheetData>
    <row r="1" spans="1:15" ht="23.4" customHeight="1" x14ac:dyDescent="0.25">
      <c r="A1" s="156" t="s">
        <v>2513</v>
      </c>
      <c r="B1" s="156"/>
      <c r="C1" s="156"/>
      <c r="E1" s="156" t="s">
        <v>2514</v>
      </c>
      <c r="F1" s="156"/>
      <c r="G1" s="156"/>
      <c r="I1" s="156" t="s">
        <v>2515</v>
      </c>
      <c r="J1" s="156"/>
      <c r="K1" s="156"/>
      <c r="M1" s="156" t="s">
        <v>2516</v>
      </c>
      <c r="N1" s="156"/>
      <c r="O1" s="156"/>
    </row>
    <row r="2" spans="1:15" ht="16.2" customHeight="1" x14ac:dyDescent="0.25">
      <c r="A2" s="11" t="s">
        <v>3</v>
      </c>
      <c r="B2" s="11" t="s">
        <v>2436</v>
      </c>
      <c r="C2" s="11" t="s">
        <v>2434</v>
      </c>
      <c r="E2" s="11" t="s">
        <v>2</v>
      </c>
      <c r="F2" s="11" t="s">
        <v>2436</v>
      </c>
      <c r="G2" s="11" t="s">
        <v>2440</v>
      </c>
      <c r="I2" s="11" t="s">
        <v>6</v>
      </c>
      <c r="J2" s="11" t="s">
        <v>2434</v>
      </c>
      <c r="K2" s="11" t="s">
        <v>2436</v>
      </c>
      <c r="M2" s="11" t="s">
        <v>2445</v>
      </c>
      <c r="N2" s="11" t="s">
        <v>2443</v>
      </c>
      <c r="O2" s="11" t="s">
        <v>2441</v>
      </c>
    </row>
    <row r="3" spans="1:15" s="50" customFormat="1" ht="13.2" x14ac:dyDescent="0.25">
      <c r="A3" s="51" t="str">
        <f>Calculations!G3</f>
        <v>Electronics</v>
      </c>
      <c r="B3" s="58">
        <f>Calculations!J3</f>
        <v>854705</v>
      </c>
      <c r="C3" s="58">
        <f>Calculations!H3</f>
        <v>4014123</v>
      </c>
      <c r="E3" s="52" t="str">
        <f>Calculations!A23</f>
        <v>Jan</v>
      </c>
      <c r="F3" s="56">
        <f>Calculations!D23</f>
        <v>693104</v>
      </c>
      <c r="G3" s="56">
        <f>Calculations!C23</f>
        <v>8</v>
      </c>
      <c r="I3" s="52" t="str">
        <f>Calculations!O3</f>
        <v>Mumbai</v>
      </c>
      <c r="J3" s="58">
        <f>Calculations!P3</f>
        <v>2995571</v>
      </c>
      <c r="K3" s="58">
        <f>Calculations!Q3</f>
        <v>744206</v>
      </c>
      <c r="M3" s="51" t="str">
        <f>Calculations!I23</f>
        <v>Prepaid</v>
      </c>
      <c r="N3" s="56">
        <f>Calculations!J23</f>
        <v>173</v>
      </c>
      <c r="O3" s="85">
        <f>Calculations!M23</f>
        <v>0.10404624277456648</v>
      </c>
    </row>
    <row r="4" spans="1:15" s="50" customFormat="1" ht="13.2" x14ac:dyDescent="0.25">
      <c r="A4" s="51" t="str">
        <f>Calculations!G4</f>
        <v>Fashion</v>
      </c>
      <c r="B4" s="58">
        <f>Calculations!J4</f>
        <v>803721</v>
      </c>
      <c r="C4" s="58">
        <f>Calculations!H4</f>
        <v>3960417</v>
      </c>
      <c r="E4" s="52" t="str">
        <f>Calculations!A24</f>
        <v>Feb</v>
      </c>
      <c r="F4" s="56">
        <f>Calculations!D24</f>
        <v>449021</v>
      </c>
      <c r="G4" s="56">
        <f>Calculations!C24</f>
        <v>11</v>
      </c>
      <c r="I4" s="52" t="str">
        <f>Calculations!O4</f>
        <v>Delhi</v>
      </c>
      <c r="J4" s="58">
        <f>Calculations!P4</f>
        <v>4090574</v>
      </c>
      <c r="K4" s="58">
        <f>Calculations!Q4</f>
        <v>1083274</v>
      </c>
      <c r="M4" s="51" t="str">
        <f>Calculations!I24</f>
        <v>COD</v>
      </c>
      <c r="N4" s="56">
        <f>Calculations!J24</f>
        <v>202</v>
      </c>
      <c r="O4" s="85">
        <f>Calculations!M24</f>
        <v>0.15841584158415842</v>
      </c>
    </row>
    <row r="5" spans="1:15" s="50" customFormat="1" ht="13.2" x14ac:dyDescent="0.25">
      <c r="A5" s="51" t="str">
        <f>Calculations!G5</f>
        <v>Home &amp; Kitchen</v>
      </c>
      <c r="B5" s="58">
        <f>Calculations!J5</f>
        <v>800858</v>
      </c>
      <c r="C5" s="58">
        <f>Calculations!H5</f>
        <v>3666638</v>
      </c>
      <c r="E5" s="52" t="str">
        <f>Calculations!A25</f>
        <v>Mar</v>
      </c>
      <c r="F5" s="56">
        <f>Calculations!D25</f>
        <v>769343</v>
      </c>
      <c r="G5" s="56">
        <f>Calculations!C25</f>
        <v>13</v>
      </c>
      <c r="I5" s="52" t="str">
        <f>Calculations!O5</f>
        <v>Bangalore</v>
      </c>
      <c r="J5" s="58">
        <f>Calculations!P5</f>
        <v>3402916</v>
      </c>
      <c r="K5" s="58">
        <f>Calculations!Q5</f>
        <v>749114</v>
      </c>
      <c r="M5" s="51" t="str">
        <f>Calculations!I25</f>
        <v>UPI</v>
      </c>
      <c r="N5" s="56">
        <f>Calculations!J25</f>
        <v>218</v>
      </c>
      <c r="O5" s="85">
        <f>Calculations!M25</f>
        <v>0.10091743119266056</v>
      </c>
    </row>
    <row r="6" spans="1:15" s="50" customFormat="1" ht="13.2" x14ac:dyDescent="0.25">
      <c r="A6" s="51" t="str">
        <f>Calculations!G6</f>
        <v>Beauty</v>
      </c>
      <c r="B6" s="58">
        <f>Calculations!J6</f>
        <v>715765</v>
      </c>
      <c r="C6" s="58">
        <f>Calculations!H6</f>
        <v>3874973</v>
      </c>
      <c r="E6" s="52" t="str">
        <f>Calculations!A26</f>
        <v>Apr</v>
      </c>
      <c r="F6" s="56">
        <f>Calculations!D26</f>
        <v>631758</v>
      </c>
      <c r="G6" s="56">
        <f>Calculations!C26</f>
        <v>9</v>
      </c>
      <c r="I6" s="52" t="str">
        <f>Calculations!O6</f>
        <v>Hyderabad</v>
      </c>
      <c r="J6" s="58">
        <f>Calculations!P6</f>
        <v>2296839</v>
      </c>
      <c r="K6" s="58">
        <f>Calculations!Q6</f>
        <v>397744</v>
      </c>
      <c r="M6" s="51" t="str">
        <f>Calculations!I26</f>
        <v>Credit Card</v>
      </c>
      <c r="N6" s="56">
        <f>Calculations!J26</f>
        <v>217</v>
      </c>
      <c r="O6" s="85">
        <f>Calculations!M26</f>
        <v>8.294930875576037E-2</v>
      </c>
    </row>
    <row r="7" spans="1:15" s="50" customFormat="1" ht="13.2" x14ac:dyDescent="0.25">
      <c r="A7" s="51" t="str">
        <f>Calculations!G7</f>
        <v>Sports</v>
      </c>
      <c r="B7" s="58">
        <f>Calculations!J7</f>
        <v>835690</v>
      </c>
      <c r="C7" s="58">
        <f>Calculations!H7</f>
        <v>4013419</v>
      </c>
      <c r="E7" s="52" t="str">
        <f>Calculations!A27</f>
        <v>May</v>
      </c>
      <c r="F7" s="56">
        <f>Calculations!D27</f>
        <v>692284</v>
      </c>
      <c r="G7" s="56">
        <f>Calculations!C27</f>
        <v>6</v>
      </c>
      <c r="I7" s="52" t="str">
        <f>Calculations!O7</f>
        <v>Chennai</v>
      </c>
      <c r="J7" s="58">
        <f>Calculations!P7</f>
        <v>3394454</v>
      </c>
      <c r="K7" s="58">
        <f>Calculations!Q7</f>
        <v>731696</v>
      </c>
      <c r="M7" s="51" t="str">
        <f>Calculations!I27</f>
        <v>Debit Card</v>
      </c>
      <c r="N7" s="56">
        <f>Calculations!J27</f>
        <v>190</v>
      </c>
      <c r="O7" s="85">
        <f>Calculations!M27</f>
        <v>9.4736842105263161E-2</v>
      </c>
    </row>
    <row r="8" spans="1:15" s="50" customFormat="1" ht="13.2" x14ac:dyDescent="0.25">
      <c r="A8" s="51" t="str">
        <f>Calculations!G8</f>
        <v>Books</v>
      </c>
      <c r="B8" s="58">
        <f>Calculations!J8</f>
        <v>973350</v>
      </c>
      <c r="C8" s="58">
        <f>Calculations!H8</f>
        <v>4048130</v>
      </c>
      <c r="E8" s="52" t="str">
        <f>Calculations!A28</f>
        <v>Jun</v>
      </c>
      <c r="F8" s="56">
        <f>Calculations!D28</f>
        <v>537585</v>
      </c>
      <c r="G8" s="56">
        <f>Calculations!C28</f>
        <v>7</v>
      </c>
      <c r="I8" s="52" t="str">
        <f>Calculations!O8</f>
        <v>Kolkata</v>
      </c>
      <c r="J8" s="58">
        <f>Calculations!P8</f>
        <v>3167057</v>
      </c>
      <c r="K8" s="58">
        <f>Calculations!Q8</f>
        <v>648292</v>
      </c>
      <c r="O8" s="61"/>
    </row>
    <row r="9" spans="1:15" s="50" customFormat="1" ht="13.2" x14ac:dyDescent="0.25">
      <c r="A9" s="51" t="str">
        <f>Calculations!G9</f>
        <v>Toys</v>
      </c>
      <c r="B9" s="58">
        <f>Calculations!J9</f>
        <v>1097501</v>
      </c>
      <c r="C9" s="58">
        <f>Calculations!H9</f>
        <v>5155914</v>
      </c>
      <c r="E9" s="52" t="str">
        <f>Calculations!A29</f>
        <v>Jul</v>
      </c>
      <c r="F9" s="56">
        <f>Calculations!D29</f>
        <v>554834</v>
      </c>
      <c r="G9" s="56">
        <f>Calculations!C29</f>
        <v>6</v>
      </c>
      <c r="I9" s="52" t="str">
        <f>Calculations!O9</f>
        <v>Pune</v>
      </c>
      <c r="J9" s="58">
        <f>Calculations!P9</f>
        <v>3249460</v>
      </c>
      <c r="K9" s="58">
        <f>Calculations!Q9</f>
        <v>694907</v>
      </c>
    </row>
    <row r="10" spans="1:15" s="50" customFormat="1" ht="13.2" x14ac:dyDescent="0.25">
      <c r="A10" s="51" t="str">
        <f>Calculations!G10</f>
        <v>Grocery</v>
      </c>
      <c r="B10" s="58">
        <f>Calculations!J10</f>
        <v>778984</v>
      </c>
      <c r="C10" s="58">
        <f>Calculations!H10</f>
        <v>3476427</v>
      </c>
      <c r="E10" s="52" t="str">
        <f>Calculations!A30</f>
        <v>Aug</v>
      </c>
      <c r="F10" s="56">
        <f>Calculations!D30</f>
        <v>571500</v>
      </c>
      <c r="G10" s="56">
        <f>Calculations!C30</f>
        <v>6</v>
      </c>
      <c r="I10" s="52" t="str">
        <f>Calculations!O10</f>
        <v>Ahmedabad</v>
      </c>
      <c r="J10" s="58">
        <f>Calculations!P10</f>
        <v>3857116</v>
      </c>
      <c r="K10" s="58">
        <f>Calculations!Q10</f>
        <v>667169</v>
      </c>
    </row>
    <row r="11" spans="1:15" s="50" customFormat="1" ht="13.2" x14ac:dyDescent="0.25">
      <c r="C11" s="62"/>
      <c r="E11" s="52" t="str">
        <f>Calculations!A31</f>
        <v>Sep</v>
      </c>
      <c r="F11" s="56">
        <f>Calculations!D31</f>
        <v>438209</v>
      </c>
      <c r="G11" s="56">
        <f>Calculations!C31</f>
        <v>11</v>
      </c>
      <c r="I11" s="52" t="str">
        <f>Calculations!O11</f>
        <v>Jaipur</v>
      </c>
      <c r="J11" s="58">
        <f>Calculations!P11</f>
        <v>2411204</v>
      </c>
      <c r="K11" s="58">
        <f>Calculations!Q11</f>
        <v>455661</v>
      </c>
    </row>
    <row r="12" spans="1:15" s="50" customFormat="1" ht="13.2" x14ac:dyDescent="0.25">
      <c r="C12" s="62"/>
      <c r="E12" s="52" t="str">
        <f>Calculations!A32</f>
        <v>Oct</v>
      </c>
      <c r="F12" s="56">
        <f>Calculations!D32</f>
        <v>483879</v>
      </c>
      <c r="G12" s="56">
        <f>Calculations!C32</f>
        <v>13</v>
      </c>
      <c r="I12" s="52" t="str">
        <f>Calculations!O12</f>
        <v>Lucknow</v>
      </c>
      <c r="J12" s="58">
        <f>Calculations!P12</f>
        <v>3344850</v>
      </c>
      <c r="K12" s="58">
        <f>Calculations!Q12</f>
        <v>688511</v>
      </c>
    </row>
    <row r="13" spans="1:15" s="50" customFormat="1" ht="13.2" x14ac:dyDescent="0.25">
      <c r="E13" s="52" t="str">
        <f>Calculations!A33</f>
        <v>Nov</v>
      </c>
      <c r="F13" s="56">
        <f>Calculations!D33</f>
        <v>505579</v>
      </c>
      <c r="G13" s="56">
        <f>Calculations!C33</f>
        <v>12</v>
      </c>
      <c r="I13" s="63"/>
    </row>
    <row r="14" spans="1:15" s="50" customFormat="1" ht="13.2" x14ac:dyDescent="0.25">
      <c r="E14" s="52" t="str">
        <f>Calculations!A34</f>
        <v>Dec</v>
      </c>
      <c r="F14" s="56">
        <f>Calculations!D34</f>
        <v>533478</v>
      </c>
      <c r="G14" s="56">
        <f>Calculations!C34</f>
        <v>6</v>
      </c>
    </row>
    <row r="15" spans="1:15" x14ac:dyDescent="0.25">
      <c r="E15" s="4"/>
      <c r="F15" s="84"/>
      <c r="G15" s="84"/>
    </row>
  </sheetData>
  <mergeCells count="4">
    <mergeCell ref="A1:C1"/>
    <mergeCell ref="E1:G1"/>
    <mergeCell ref="I1:K1"/>
    <mergeCell ref="M1:O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FAF5E-1F22-48A4-8B2B-E5E9BEE6B6E1}">
  <sheetPr codeName="Sheet8">
    <tabColor theme="5" tint="0.39997558519241921"/>
  </sheetPr>
  <dimension ref="A1:Q1136"/>
  <sheetViews>
    <sheetView workbookViewId="0">
      <selection activeCell="H8" sqref="H8"/>
    </sheetView>
  </sheetViews>
  <sheetFormatPr defaultRowHeight="13.8" x14ac:dyDescent="0.25"/>
  <cols>
    <col min="1" max="1" width="24.77734375" style="2" bestFit="1" customWidth="1"/>
    <col min="2" max="2" width="16.6640625" style="2" customWidth="1"/>
    <col min="3" max="3" width="8.109375" style="2" bestFit="1" customWidth="1"/>
    <col min="4" max="4" width="7.21875" style="2" bestFit="1" customWidth="1"/>
    <col min="5" max="5" width="12.21875" style="3" bestFit="1" customWidth="1"/>
    <col min="6" max="6" width="8.77734375" style="2" bestFit="1" customWidth="1"/>
    <col min="7" max="7" width="13.21875" style="3" customWidth="1"/>
    <col min="8" max="8" width="13.5546875" style="83" bestFit="1" customWidth="1"/>
    <col min="9" max="9" width="13.44140625" style="2" bestFit="1" customWidth="1"/>
    <col min="10" max="10" width="26" style="2" customWidth="1"/>
    <col min="11" max="11" width="14.21875" style="2" bestFit="1" customWidth="1"/>
    <col min="12" max="13" width="9" style="2" bestFit="1" customWidth="1"/>
    <col min="14" max="14" width="15" style="2" customWidth="1"/>
    <col min="15" max="15" width="9" style="2" bestFit="1" customWidth="1"/>
    <col min="16" max="16" width="14.109375" style="2" customWidth="1"/>
    <col min="17" max="16384" width="8.88671875" style="2"/>
  </cols>
  <sheetData>
    <row r="1" spans="1:17" ht="31.8" customHeight="1" x14ac:dyDescent="0.25">
      <c r="A1" s="157" t="s">
        <v>2613</v>
      </c>
      <c r="B1" s="157"/>
      <c r="C1" s="157"/>
      <c r="D1" s="157"/>
      <c r="E1" s="157"/>
      <c r="F1" s="157"/>
      <c r="G1" s="157"/>
      <c r="H1" s="157"/>
      <c r="I1" s="157"/>
      <c r="J1" s="157"/>
      <c r="K1" s="157"/>
      <c r="L1" s="157"/>
      <c r="M1" s="157"/>
      <c r="N1" s="157"/>
      <c r="O1" s="157"/>
      <c r="P1" s="157"/>
    </row>
    <row r="3" spans="1:17" ht="14.4" customHeight="1" x14ac:dyDescent="0.25">
      <c r="A3" s="159" t="s">
        <v>2614</v>
      </c>
      <c r="B3" s="159"/>
      <c r="C3" s="159"/>
      <c r="D3" s="159"/>
      <c r="E3" s="159"/>
      <c r="F3" s="159"/>
      <c r="G3" s="159"/>
      <c r="H3" s="10"/>
      <c r="J3" s="158" t="s">
        <v>2615</v>
      </c>
      <c r="K3" s="158"/>
      <c r="L3" s="158"/>
      <c r="M3" s="158"/>
      <c r="N3" s="158"/>
      <c r="O3" s="158"/>
      <c r="P3" s="158"/>
      <c r="Q3" s="6"/>
    </row>
    <row r="4" spans="1:17" ht="26.4" x14ac:dyDescent="0.25">
      <c r="A4" s="80" t="s">
        <v>2505</v>
      </c>
      <c r="B4" s="80" t="s">
        <v>3</v>
      </c>
      <c r="C4" s="80" t="s">
        <v>2443</v>
      </c>
      <c r="D4" s="81" t="s">
        <v>2506</v>
      </c>
      <c r="E4" s="80" t="s">
        <v>2507</v>
      </c>
      <c r="F4" s="81" t="s">
        <v>2440</v>
      </c>
      <c r="G4" s="82" t="s">
        <v>2508</v>
      </c>
      <c r="H4" s="2"/>
      <c r="J4" s="80" t="s">
        <v>2505</v>
      </c>
      <c r="K4" s="80" t="s">
        <v>3</v>
      </c>
      <c r="L4" s="80" t="s">
        <v>2443</v>
      </c>
      <c r="M4" s="80" t="s">
        <v>2506</v>
      </c>
      <c r="N4" s="80" t="s">
        <v>2510</v>
      </c>
      <c r="O4" s="80" t="s">
        <v>2511</v>
      </c>
      <c r="P4" s="80" t="s">
        <v>2512</v>
      </c>
    </row>
    <row r="5" spans="1:17" x14ac:dyDescent="0.25">
      <c r="A5" s="51" t="str" cm="1">
        <f t="array" ref="A5:F19">_xlfn.TAKE(_xlfn.CHOOSECOLS(_xlfn.SORTBY(_xlfn._xlws.FILTER(A151:H1136,C151:C1136&gt;=1),E151:E1136,1),1,2,3,4,5,6),15)</f>
        <v>Headphones - Model 172</v>
      </c>
      <c r="B5" s="51" t="str">
        <v>Electronics</v>
      </c>
      <c r="C5" s="56">
        <v>1</v>
      </c>
      <c r="D5" s="56">
        <v>20</v>
      </c>
      <c r="E5" s="58">
        <v>-17640</v>
      </c>
      <c r="F5" s="56">
        <v>0</v>
      </c>
      <c r="G5" s="56" cm="1">
        <f t="array" ref="G5:G19">_xlfn.SEQUENCE(15)</f>
        <v>1</v>
      </c>
      <c r="J5" s="51" t="str" cm="1">
        <f t="array" ref="J5:O19">_xlfn.TAKE(_xlfn.CHOOSECOLS(_xlfn.SORTBY(_xlfn._xlws.FILTER(A151:H1136,C151:C1136&gt;=1),G151:G1136,-1),1,2,3,4,7,8),15)</f>
        <v>Serum - Model 482</v>
      </c>
      <c r="K5" s="51" t="str">
        <v>Beauty</v>
      </c>
      <c r="L5" s="56">
        <v>2</v>
      </c>
      <c r="M5" s="56">
        <v>24</v>
      </c>
      <c r="N5" s="58">
        <v>66816</v>
      </c>
      <c r="O5" s="92">
        <v>0.32999999999999996</v>
      </c>
      <c r="P5" s="56" t="str">
        <f>IF(O5&gt;=30%,"Cap Discount",IF(O5&gt;=20%,"Monitor","OK"))</f>
        <v>Cap Discount</v>
      </c>
    </row>
    <row r="6" spans="1:17" x14ac:dyDescent="0.25">
      <c r="A6" s="51" t="str">
        <v>Shoes - Model 125</v>
      </c>
      <c r="B6" s="51" t="str">
        <v>Sports</v>
      </c>
      <c r="C6" s="56">
        <v>1</v>
      </c>
      <c r="D6" s="56">
        <v>16</v>
      </c>
      <c r="E6" s="58">
        <v>-16176</v>
      </c>
      <c r="F6" s="56">
        <v>0</v>
      </c>
      <c r="G6" s="56">
        <v>2</v>
      </c>
      <c r="J6" s="51" t="str">
        <v>Board Game - Model 520</v>
      </c>
      <c r="K6" s="51" t="str">
        <v>Toys</v>
      </c>
      <c r="L6" s="56">
        <v>1</v>
      </c>
      <c r="M6" s="56">
        <v>20</v>
      </c>
      <c r="N6" s="58">
        <v>57560</v>
      </c>
      <c r="O6" s="92">
        <v>0.39</v>
      </c>
      <c r="P6" s="56" t="str">
        <f t="shared" ref="P6:P19" si="0">IF(O6&gt;=30%,"Cap Discount",IF(O6&gt;=20%,"Monitor","OK"))</f>
        <v>Cap Discount</v>
      </c>
    </row>
    <row r="7" spans="1:17" x14ac:dyDescent="0.25">
      <c r="A7" s="51" t="str">
        <v>Serum - Model 482</v>
      </c>
      <c r="B7" s="51" t="str">
        <v>Beauty</v>
      </c>
      <c r="C7" s="56">
        <v>2</v>
      </c>
      <c r="D7" s="56">
        <v>24</v>
      </c>
      <c r="E7" s="58">
        <v>-14616</v>
      </c>
      <c r="F7" s="56">
        <v>1</v>
      </c>
      <c r="G7" s="56">
        <v>3</v>
      </c>
      <c r="J7" s="51" t="str">
        <v>Bedsheet - Model 571</v>
      </c>
      <c r="K7" s="51" t="str">
        <v>Home &amp; Kitchen</v>
      </c>
      <c r="L7" s="56">
        <v>1</v>
      </c>
      <c r="M7" s="56">
        <v>18</v>
      </c>
      <c r="N7" s="58">
        <v>57420</v>
      </c>
      <c r="O7" s="92">
        <v>0.41</v>
      </c>
      <c r="P7" s="56" t="str">
        <f t="shared" si="0"/>
        <v>Cap Discount</v>
      </c>
    </row>
    <row r="8" spans="1:17" x14ac:dyDescent="0.25">
      <c r="A8" s="51" t="str">
        <v>Headphones - Model 408</v>
      </c>
      <c r="B8" s="51" t="str">
        <v>Electronics</v>
      </c>
      <c r="C8" s="56">
        <v>1</v>
      </c>
      <c r="D8" s="56">
        <v>17</v>
      </c>
      <c r="E8" s="58">
        <v>-13243</v>
      </c>
      <c r="F8" s="56">
        <v>0</v>
      </c>
      <c r="G8" s="56">
        <v>4</v>
      </c>
      <c r="J8" s="51" t="str">
        <v>Action Figure - Model 873</v>
      </c>
      <c r="K8" s="51" t="str">
        <v>Toys</v>
      </c>
      <c r="L8" s="56">
        <v>1</v>
      </c>
      <c r="M8" s="56">
        <v>20</v>
      </c>
      <c r="N8" s="58">
        <v>50920</v>
      </c>
      <c r="O8" s="92">
        <v>0.35</v>
      </c>
      <c r="P8" s="56" t="str">
        <f t="shared" si="0"/>
        <v>Cap Discount</v>
      </c>
    </row>
    <row r="9" spans="1:17" x14ac:dyDescent="0.25">
      <c r="A9" s="51" t="str">
        <v>Cycle - Model 993</v>
      </c>
      <c r="B9" s="51" t="str">
        <v>Sports</v>
      </c>
      <c r="C9" s="56">
        <v>1</v>
      </c>
      <c r="D9" s="56">
        <v>14</v>
      </c>
      <c r="E9" s="58">
        <v>-10976</v>
      </c>
      <c r="F9" s="56">
        <v>0</v>
      </c>
      <c r="G9" s="56">
        <v>5</v>
      </c>
      <c r="J9" s="51" t="str">
        <v>Headphones - Model 172</v>
      </c>
      <c r="K9" s="51" t="str">
        <v>Electronics</v>
      </c>
      <c r="L9" s="56">
        <v>1</v>
      </c>
      <c r="M9" s="56">
        <v>20</v>
      </c>
      <c r="N9" s="58">
        <v>50120</v>
      </c>
      <c r="O9" s="92">
        <v>0.42</v>
      </c>
      <c r="P9" s="56" t="str">
        <f t="shared" si="0"/>
        <v>Cap Discount</v>
      </c>
    </row>
    <row r="10" spans="1:17" x14ac:dyDescent="0.25">
      <c r="A10" s="51" t="str">
        <v>Shoes - Model 795</v>
      </c>
      <c r="B10" s="51" t="str">
        <v>Fashion</v>
      </c>
      <c r="C10" s="56">
        <v>2</v>
      </c>
      <c r="D10" s="56">
        <v>17</v>
      </c>
      <c r="E10" s="58">
        <v>-10254</v>
      </c>
      <c r="F10" s="56">
        <v>0</v>
      </c>
      <c r="G10" s="56">
        <v>6</v>
      </c>
      <c r="J10" s="51" t="str">
        <v>Textbook - Model 566</v>
      </c>
      <c r="K10" s="51" t="str">
        <v>Books</v>
      </c>
      <c r="L10" s="56">
        <v>1</v>
      </c>
      <c r="M10" s="56">
        <v>20</v>
      </c>
      <c r="N10" s="58">
        <v>47420</v>
      </c>
      <c r="O10" s="92">
        <v>0.32</v>
      </c>
      <c r="P10" s="56" t="str">
        <f t="shared" si="0"/>
        <v>Cap Discount</v>
      </c>
    </row>
    <row r="11" spans="1:17" x14ac:dyDescent="0.25">
      <c r="A11" s="51" t="str">
        <v>Smartwatch - Model 366</v>
      </c>
      <c r="B11" s="51" t="str">
        <v>Electronics</v>
      </c>
      <c r="C11" s="56">
        <v>1</v>
      </c>
      <c r="D11" s="56">
        <v>15</v>
      </c>
      <c r="E11" s="58">
        <v>-9975</v>
      </c>
      <c r="F11" s="56">
        <v>0</v>
      </c>
      <c r="G11" s="56">
        <v>7</v>
      </c>
      <c r="J11" s="51" t="str">
        <v>Moisturizer - Model 813</v>
      </c>
      <c r="K11" s="51" t="str">
        <v>Beauty</v>
      </c>
      <c r="L11" s="56">
        <v>1</v>
      </c>
      <c r="M11" s="56">
        <v>20</v>
      </c>
      <c r="N11" s="58">
        <v>46680</v>
      </c>
      <c r="O11" s="92">
        <v>0.36</v>
      </c>
      <c r="P11" s="56" t="str">
        <f t="shared" si="0"/>
        <v>Cap Discount</v>
      </c>
    </row>
    <row r="12" spans="1:17" x14ac:dyDescent="0.25">
      <c r="A12" s="51" t="str">
        <v>Fiction - Model 798</v>
      </c>
      <c r="B12" s="51" t="str">
        <v>Books</v>
      </c>
      <c r="C12" s="56">
        <v>1</v>
      </c>
      <c r="D12" s="56">
        <v>17</v>
      </c>
      <c r="E12" s="58">
        <v>-9248</v>
      </c>
      <c r="F12" s="56">
        <v>0</v>
      </c>
      <c r="G12" s="56">
        <v>8</v>
      </c>
      <c r="J12" s="51" t="str">
        <v>Saree - Model 998</v>
      </c>
      <c r="K12" s="51" t="str">
        <v>Fashion</v>
      </c>
      <c r="L12" s="56">
        <v>1</v>
      </c>
      <c r="M12" s="56">
        <v>15</v>
      </c>
      <c r="N12" s="58">
        <v>46215</v>
      </c>
      <c r="O12" s="92">
        <v>0.39</v>
      </c>
      <c r="P12" s="56" t="str">
        <f t="shared" si="0"/>
        <v>Cap Discount</v>
      </c>
    </row>
    <row r="13" spans="1:17" x14ac:dyDescent="0.25">
      <c r="A13" s="51" t="str">
        <v>Jacket - Model 781</v>
      </c>
      <c r="B13" s="51" t="str">
        <v>Fashion</v>
      </c>
      <c r="C13" s="56">
        <v>1</v>
      </c>
      <c r="D13" s="56">
        <v>16</v>
      </c>
      <c r="E13" s="58">
        <v>-9024</v>
      </c>
      <c r="F13" s="56">
        <v>0</v>
      </c>
      <c r="G13" s="56">
        <v>9</v>
      </c>
      <c r="J13" s="51" t="str">
        <v>Puzzle - Model 334</v>
      </c>
      <c r="K13" s="51" t="str">
        <v>Toys</v>
      </c>
      <c r="L13" s="56">
        <v>1</v>
      </c>
      <c r="M13" s="56">
        <v>16</v>
      </c>
      <c r="N13" s="58">
        <v>45520</v>
      </c>
      <c r="O13" s="92">
        <v>0.38</v>
      </c>
      <c r="P13" s="56" t="str">
        <f t="shared" si="0"/>
        <v>Cap Discount</v>
      </c>
    </row>
    <row r="14" spans="1:17" x14ac:dyDescent="0.25">
      <c r="A14" s="51" t="str">
        <v>Bedsheet - Model 881</v>
      </c>
      <c r="B14" s="51" t="str">
        <v>Home &amp; Kitchen</v>
      </c>
      <c r="C14" s="56">
        <v>1</v>
      </c>
      <c r="D14" s="56">
        <v>13</v>
      </c>
      <c r="E14" s="58">
        <v>-8853</v>
      </c>
      <c r="F14" s="56">
        <v>0</v>
      </c>
      <c r="G14" s="56">
        <v>10</v>
      </c>
      <c r="J14" s="51" t="str">
        <v>Cycle - Model 993</v>
      </c>
      <c r="K14" s="51" t="str">
        <v>Sports</v>
      </c>
      <c r="L14" s="56">
        <v>1</v>
      </c>
      <c r="M14" s="56">
        <v>14</v>
      </c>
      <c r="N14" s="58">
        <v>45402</v>
      </c>
      <c r="O14" s="92">
        <v>0.42</v>
      </c>
      <c r="P14" s="56" t="str">
        <f t="shared" si="0"/>
        <v>Cap Discount</v>
      </c>
    </row>
    <row r="15" spans="1:17" x14ac:dyDescent="0.25">
      <c r="A15" s="51" t="str">
        <v>Smartwatch - Model 480</v>
      </c>
      <c r="B15" s="51" t="str">
        <v>Electronics</v>
      </c>
      <c r="C15" s="56">
        <v>1</v>
      </c>
      <c r="D15" s="56">
        <v>11</v>
      </c>
      <c r="E15" s="58">
        <v>-8602</v>
      </c>
      <c r="F15" s="56">
        <v>1</v>
      </c>
      <c r="G15" s="56">
        <v>11</v>
      </c>
      <c r="J15" s="51" t="str">
        <v>Action Figure - Model 671</v>
      </c>
      <c r="K15" s="51" t="str">
        <v>Toys</v>
      </c>
      <c r="L15" s="56">
        <v>1</v>
      </c>
      <c r="M15" s="56">
        <v>17</v>
      </c>
      <c r="N15" s="58">
        <v>45084</v>
      </c>
      <c r="O15" s="92">
        <v>0.43</v>
      </c>
      <c r="P15" s="56" t="str">
        <f t="shared" si="0"/>
        <v>Cap Discount</v>
      </c>
    </row>
    <row r="16" spans="1:17" x14ac:dyDescent="0.25">
      <c r="A16" s="51" t="str">
        <v>Board Game - Model 520</v>
      </c>
      <c r="B16" s="51" t="str">
        <v>Toys</v>
      </c>
      <c r="C16" s="56">
        <v>1</v>
      </c>
      <c r="D16" s="56">
        <v>20</v>
      </c>
      <c r="E16" s="58">
        <v>-7800</v>
      </c>
      <c r="F16" s="56">
        <v>0</v>
      </c>
      <c r="G16" s="56">
        <v>12</v>
      </c>
      <c r="J16" s="51" t="str">
        <v>Curtain - Model 193</v>
      </c>
      <c r="K16" s="51" t="str">
        <v>Home &amp; Kitchen</v>
      </c>
      <c r="L16" s="56">
        <v>1</v>
      </c>
      <c r="M16" s="56">
        <v>15</v>
      </c>
      <c r="N16" s="58">
        <v>44730</v>
      </c>
      <c r="O16" s="92">
        <v>0.42</v>
      </c>
      <c r="P16" s="56" t="str">
        <f t="shared" si="0"/>
        <v>Cap Discount</v>
      </c>
    </row>
    <row r="17" spans="1:16" x14ac:dyDescent="0.25">
      <c r="A17" s="51" t="str">
        <v>Lipstick - Model 529</v>
      </c>
      <c r="B17" s="51" t="str">
        <v>Beauty</v>
      </c>
      <c r="C17" s="56">
        <v>1</v>
      </c>
      <c r="D17" s="56">
        <v>16</v>
      </c>
      <c r="E17" s="58">
        <v>-7696</v>
      </c>
      <c r="F17" s="56">
        <v>0</v>
      </c>
      <c r="G17" s="56">
        <v>13</v>
      </c>
      <c r="J17" s="51" t="str">
        <v>Perfume - Model 477</v>
      </c>
      <c r="K17" s="51" t="str">
        <v>Beauty</v>
      </c>
      <c r="L17" s="56">
        <v>1</v>
      </c>
      <c r="M17" s="56">
        <v>16</v>
      </c>
      <c r="N17" s="58">
        <v>44704</v>
      </c>
      <c r="O17" s="92">
        <v>0.35</v>
      </c>
      <c r="P17" s="56" t="str">
        <f t="shared" si="0"/>
        <v>Cap Discount</v>
      </c>
    </row>
    <row r="18" spans="1:16" x14ac:dyDescent="0.25">
      <c r="A18" s="51" t="str">
        <v>Sunscreen - Model 500</v>
      </c>
      <c r="B18" s="51" t="str">
        <v>Beauty</v>
      </c>
      <c r="C18" s="56">
        <v>1</v>
      </c>
      <c r="D18" s="56">
        <v>20</v>
      </c>
      <c r="E18" s="58">
        <v>-7620</v>
      </c>
      <c r="F18" s="56">
        <v>0</v>
      </c>
      <c r="G18" s="56">
        <v>14</v>
      </c>
      <c r="J18" s="51" t="str">
        <v>Action Figure - Model 316</v>
      </c>
      <c r="K18" s="51" t="str">
        <v>Toys</v>
      </c>
      <c r="L18" s="56">
        <v>1</v>
      </c>
      <c r="M18" s="56">
        <v>15</v>
      </c>
      <c r="N18" s="58">
        <v>44070</v>
      </c>
      <c r="O18" s="92">
        <v>0.39</v>
      </c>
      <c r="P18" s="56" t="str">
        <f t="shared" si="0"/>
        <v>Cap Discount</v>
      </c>
    </row>
    <row r="19" spans="1:16" x14ac:dyDescent="0.25">
      <c r="A19" s="51" t="str">
        <v>Curtain - Model 242</v>
      </c>
      <c r="B19" s="51" t="str">
        <v>Home &amp; Kitchen</v>
      </c>
      <c r="C19" s="56">
        <v>1</v>
      </c>
      <c r="D19" s="56">
        <v>18</v>
      </c>
      <c r="E19" s="58">
        <v>-7524</v>
      </c>
      <c r="F19" s="56">
        <v>0</v>
      </c>
      <c r="G19" s="56">
        <v>15</v>
      </c>
      <c r="J19" s="51" t="str">
        <v>Comic - Model 799</v>
      </c>
      <c r="K19" s="51" t="str">
        <v>Books</v>
      </c>
      <c r="L19" s="56">
        <v>1</v>
      </c>
      <c r="M19" s="56">
        <v>16</v>
      </c>
      <c r="N19" s="58">
        <v>42816</v>
      </c>
      <c r="O19" s="92">
        <v>0.35</v>
      </c>
      <c r="P19" s="56" t="str">
        <f t="shared" si="0"/>
        <v>Cap Discount</v>
      </c>
    </row>
    <row r="150" spans="1:8" hidden="1" x14ac:dyDescent="0.25">
      <c r="A150" s="2" t="s">
        <v>5</v>
      </c>
      <c r="B150" s="2" t="s">
        <v>3</v>
      </c>
      <c r="C150" s="2" t="s">
        <v>2443</v>
      </c>
      <c r="D150" s="2" t="s">
        <v>2506</v>
      </c>
      <c r="E150" s="3" t="s">
        <v>2509</v>
      </c>
      <c r="F150" s="2" t="s">
        <v>2440</v>
      </c>
      <c r="G150" s="3" t="s">
        <v>2510</v>
      </c>
      <c r="H150" s="83" t="s">
        <v>2420</v>
      </c>
    </row>
    <row r="151" spans="1:8" hidden="1" x14ac:dyDescent="0.25">
      <c r="A151" s="2" t="str" cm="1">
        <f t="array" ref="A151:A1136">_xlfn.UNIQUE(tbl_raw[Product_Name])</f>
        <v>Headphones - Model 350</v>
      </c>
      <c r="B151" s="2" t="str">
        <f>_xlfn.XLOOKUP(A151,tbl_raw[Product_Name],tbl_raw[Category])</f>
        <v>Electronics</v>
      </c>
      <c r="C151" s="2">
        <f>COUNTIF(tbl_raw[Product_Name],A151)</f>
        <v>1</v>
      </c>
      <c r="D151" s="2">
        <f>SUMIFS(tbl_raw[Units_Sold],tbl_raw[Product_Name],A151)</f>
        <v>5</v>
      </c>
      <c r="E151" s="3">
        <f>SUMIFS(tbl_raw[Net_Profit],tbl_raw[Product_Name],A151)</f>
        <v>-580</v>
      </c>
      <c r="F151" s="2">
        <f>SUMIFS(tbl_raw[Return_Flag],tbl_raw[Product_Name],A151)</f>
        <v>0</v>
      </c>
      <c r="G151" s="3" cm="1">
        <f t="array" ref="G151">SUMPRODUCT((tbl_raw[Product_Name]=A151)*(tbl_raw[MRP]-tbl_raw[Selling_Price])*tbl_raw[Units_Sold])</f>
        <v>8915</v>
      </c>
      <c r="H151" s="83">
        <f>AVERAGEIFS(tbl_raw[Discount_Pct],tbl_raw[Product_Name],A151)</f>
        <v>0.3</v>
      </c>
    </row>
    <row r="152" spans="1:8" hidden="1" x14ac:dyDescent="0.25">
      <c r="A152" s="2" t="str">
        <v>Tablet - Model 303</v>
      </c>
      <c r="B152" s="2" t="str">
        <f>_xlfn.XLOOKUP(A152,tbl_raw[Product_Name],tbl_raw[Category])</f>
        <v>Electronics</v>
      </c>
      <c r="C152" s="2">
        <f>COUNTIF(tbl_raw[Product_Name],A152)</f>
        <v>1</v>
      </c>
      <c r="D152" s="2">
        <f>SUMIFS(tbl_raw[Units_Sold],tbl_raw[Product_Name],A152)</f>
        <v>14</v>
      </c>
      <c r="E152" s="3">
        <f>SUMIFS(tbl_raw[Net_Profit],tbl_raw[Product_Name],A152)</f>
        <v>826</v>
      </c>
      <c r="F152" s="2">
        <f>SUMIFS(tbl_raw[Return_Flag],tbl_raw[Product_Name],A152)</f>
        <v>0</v>
      </c>
      <c r="G152" s="3" cm="1">
        <f t="array" ref="G152">SUMPRODUCT((tbl_raw[Product_Name]=A152)*(tbl_raw[MRP]-tbl_raw[Selling_Price])*tbl_raw[Units_Sold])</f>
        <v>7252</v>
      </c>
      <c r="H152" s="83">
        <f>AVERAGEIFS(tbl_raw[Discount_Pct],tbl_raw[Product_Name],A152)</f>
        <v>0.27</v>
      </c>
    </row>
    <row r="153" spans="1:8" hidden="1" x14ac:dyDescent="0.25">
      <c r="A153" s="2" t="str">
        <v>Fiction - Model 194</v>
      </c>
      <c r="B153" s="2" t="str">
        <f>_xlfn.XLOOKUP(A153,tbl_raw[Product_Name],tbl_raw[Category])</f>
        <v>Books</v>
      </c>
      <c r="C153" s="2">
        <f>COUNTIF(tbl_raw[Product_Name],A153)</f>
        <v>1</v>
      </c>
      <c r="D153" s="2">
        <f>SUMIFS(tbl_raw[Units_Sold],tbl_raw[Product_Name],A153)</f>
        <v>4</v>
      </c>
      <c r="E153" s="3">
        <f>SUMIFS(tbl_raw[Net_Profit],tbl_raw[Product_Name],A153)</f>
        <v>4140</v>
      </c>
      <c r="F153" s="2">
        <f>SUMIFS(tbl_raw[Return_Flag],tbl_raw[Product_Name],A153)</f>
        <v>0</v>
      </c>
      <c r="G153" s="3" cm="1">
        <f t="array" ref="G153">SUMPRODUCT((tbl_raw[Product_Name]=A153)*(tbl_raw[MRP]-tbl_raw[Selling_Price])*tbl_raw[Units_Sold])</f>
        <v>1800</v>
      </c>
      <c r="H153" s="83">
        <f>AVERAGEIFS(tbl_raw[Discount_Pct],tbl_raw[Product_Name],A153)</f>
        <v>0.15</v>
      </c>
    </row>
    <row r="154" spans="1:8" hidden="1" x14ac:dyDescent="0.25">
      <c r="A154" s="2" t="str">
        <v>Cycle - Model 982</v>
      </c>
      <c r="B154" s="2" t="str">
        <f>_xlfn.XLOOKUP(A154,tbl_raw[Product_Name],tbl_raw[Category])</f>
        <v>Sports</v>
      </c>
      <c r="C154" s="2">
        <f>COUNTIF(tbl_raw[Product_Name],A154)</f>
        <v>1</v>
      </c>
      <c r="D154" s="2">
        <f>SUMIFS(tbl_raw[Units_Sold],tbl_raw[Product_Name],A154)</f>
        <v>19</v>
      </c>
      <c r="E154" s="3">
        <f>SUMIFS(tbl_raw[Net_Profit],tbl_raw[Product_Name],A154)</f>
        <v>8170</v>
      </c>
      <c r="F154" s="2">
        <f>SUMIFS(tbl_raw[Return_Flag],tbl_raw[Product_Name],A154)</f>
        <v>0</v>
      </c>
      <c r="G154" s="3" cm="1">
        <f t="array" ref="G154">SUMPRODUCT((tbl_raw[Product_Name]=A154)*(tbl_raw[MRP]-tbl_raw[Selling_Price])*tbl_raw[Units_Sold])</f>
        <v>969</v>
      </c>
      <c r="H154" s="83">
        <f>AVERAGEIFS(tbl_raw[Discount_Pct],tbl_raw[Product_Name],A154)</f>
        <v>0.03</v>
      </c>
    </row>
    <row r="155" spans="1:8" hidden="1" x14ac:dyDescent="0.25">
      <c r="A155" s="2" t="str">
        <v>Rice - Model 266</v>
      </c>
      <c r="B155" s="2" t="str">
        <f>_xlfn.XLOOKUP(A155,tbl_raw[Product_Name],tbl_raw[Category])</f>
        <v>Grocery</v>
      </c>
      <c r="C155" s="2">
        <f>COUNTIF(tbl_raw[Product_Name],A155)</f>
        <v>1</v>
      </c>
      <c r="D155" s="2">
        <f>SUMIFS(tbl_raw[Units_Sold],tbl_raw[Product_Name],A155)</f>
        <v>12</v>
      </c>
      <c r="E155" s="3">
        <f>SUMIFS(tbl_raw[Net_Profit],tbl_raw[Product_Name],A155)</f>
        <v>1824</v>
      </c>
      <c r="F155" s="2">
        <f>SUMIFS(tbl_raw[Return_Flag],tbl_raw[Product_Name],A155)</f>
        <v>0</v>
      </c>
      <c r="G155" s="3" cm="1">
        <f t="array" ref="G155">SUMPRODUCT((tbl_raw[Product_Name]=A155)*(tbl_raw[MRP]-tbl_raw[Selling_Price])*tbl_raw[Units_Sold])</f>
        <v>2640</v>
      </c>
      <c r="H155" s="83">
        <f>AVERAGEIFS(tbl_raw[Discount_Pct],tbl_raw[Product_Name],A155)</f>
        <v>0.12</v>
      </c>
    </row>
    <row r="156" spans="1:8" hidden="1" x14ac:dyDescent="0.25">
      <c r="A156" s="2" t="str">
        <v>Pulses - Model 376</v>
      </c>
      <c r="B156" s="2" t="str">
        <f>_xlfn.XLOOKUP(A156,tbl_raw[Product_Name],tbl_raw[Category])</f>
        <v>Grocery</v>
      </c>
      <c r="C156" s="2">
        <f>COUNTIF(tbl_raw[Product_Name],A156)</f>
        <v>1</v>
      </c>
      <c r="D156" s="2">
        <f>SUMIFS(tbl_raw[Units_Sold],tbl_raw[Product_Name],A156)</f>
        <v>8</v>
      </c>
      <c r="E156" s="3">
        <f>SUMIFS(tbl_raw[Net_Profit],tbl_raw[Product_Name],A156)</f>
        <v>-2800</v>
      </c>
      <c r="F156" s="2">
        <f>SUMIFS(tbl_raw[Return_Flag],tbl_raw[Product_Name],A156)</f>
        <v>0</v>
      </c>
      <c r="G156" s="3" cm="1">
        <f t="array" ref="G156">SUMPRODUCT((tbl_raw[Product_Name]=A156)*(tbl_raw[MRP]-tbl_raw[Selling_Price])*tbl_raw[Units_Sold])</f>
        <v>16840</v>
      </c>
      <c r="H156" s="83">
        <f>AVERAGEIFS(tbl_raw[Discount_Pct],tbl_raw[Product_Name],A156)</f>
        <v>0.38</v>
      </c>
    </row>
    <row r="157" spans="1:8" hidden="1" x14ac:dyDescent="0.25">
      <c r="A157" s="2" t="str">
        <v>Self-Help - Model 771</v>
      </c>
      <c r="B157" s="2" t="str">
        <f>_xlfn.XLOOKUP(A157,tbl_raw[Product_Name],tbl_raw[Category])</f>
        <v>Books</v>
      </c>
      <c r="C157" s="2">
        <f>COUNTIF(tbl_raw[Product_Name],A157)</f>
        <v>1</v>
      </c>
      <c r="D157" s="2">
        <f>SUMIFS(tbl_raw[Units_Sold],tbl_raw[Product_Name],A157)</f>
        <v>13</v>
      </c>
      <c r="E157" s="3">
        <f>SUMIFS(tbl_raw[Net_Profit],tbl_raw[Product_Name],A157)</f>
        <v>23348</v>
      </c>
      <c r="F157" s="2">
        <f>SUMIFS(tbl_raw[Return_Flag],tbl_raw[Product_Name],A157)</f>
        <v>0</v>
      </c>
      <c r="G157" s="3" cm="1">
        <f t="array" ref="G157">SUMPRODUCT((tbl_raw[Product_Name]=A157)*(tbl_raw[MRP]-tbl_raw[Selling_Price])*tbl_raw[Units_Sold])</f>
        <v>26767</v>
      </c>
      <c r="H157" s="83">
        <f>AVERAGEIFS(tbl_raw[Discount_Pct],tbl_raw[Product_Name],A157)</f>
        <v>0.28999999999999998</v>
      </c>
    </row>
    <row r="158" spans="1:8" hidden="1" x14ac:dyDescent="0.25">
      <c r="A158" s="2" t="str">
        <v>Puzzle - Model 324</v>
      </c>
      <c r="B158" s="2" t="str">
        <f>_xlfn.XLOOKUP(A158,tbl_raw[Product_Name],tbl_raw[Category])</f>
        <v>Toys</v>
      </c>
      <c r="C158" s="2">
        <f>COUNTIF(tbl_raw[Product_Name],A158)</f>
        <v>1</v>
      </c>
      <c r="D158" s="2">
        <f>SUMIFS(tbl_raw[Units_Sold],tbl_raw[Product_Name],A158)</f>
        <v>17</v>
      </c>
      <c r="E158" s="3">
        <f>SUMIFS(tbl_raw[Net_Profit],tbl_raw[Product_Name],A158)</f>
        <v>-3757</v>
      </c>
      <c r="F158" s="2">
        <f>SUMIFS(tbl_raw[Return_Flag],tbl_raw[Product_Name],A158)</f>
        <v>0</v>
      </c>
      <c r="G158" s="3" cm="1">
        <f t="array" ref="G158">SUMPRODUCT((tbl_raw[Product_Name]=A158)*(tbl_raw[MRP]-tbl_raw[Selling_Price])*tbl_raw[Units_Sold])</f>
        <v>23409</v>
      </c>
      <c r="H158" s="83">
        <f>AVERAGEIFS(tbl_raw[Discount_Pct],tbl_raw[Product_Name],A158)</f>
        <v>0.34</v>
      </c>
    </row>
    <row r="159" spans="1:8" hidden="1" x14ac:dyDescent="0.25">
      <c r="A159" s="2" t="str">
        <v>Doll - Model 579</v>
      </c>
      <c r="B159" s="2" t="str">
        <f>_xlfn.XLOOKUP(A159,tbl_raw[Product_Name],tbl_raw[Category])</f>
        <v>Toys</v>
      </c>
      <c r="C159" s="2">
        <f>COUNTIF(tbl_raw[Product_Name],A159)</f>
        <v>1</v>
      </c>
      <c r="D159" s="2">
        <f>SUMIFS(tbl_raw[Units_Sold],tbl_raw[Product_Name],A159)</f>
        <v>9</v>
      </c>
      <c r="E159" s="3">
        <f>SUMIFS(tbl_raw[Net_Profit],tbl_raw[Product_Name],A159)</f>
        <v>13167</v>
      </c>
      <c r="F159" s="2">
        <f>SUMIFS(tbl_raw[Return_Flag],tbl_raw[Product_Name],A159)</f>
        <v>1</v>
      </c>
      <c r="G159" s="3" cm="1">
        <f t="array" ref="G159">SUMPRODUCT((tbl_raw[Product_Name]=A159)*(tbl_raw[MRP]-tbl_raw[Selling_Price])*tbl_raw[Units_Sold])</f>
        <v>27288</v>
      </c>
      <c r="H159" s="83">
        <f>AVERAGEIFS(tbl_raw[Discount_Pct],tbl_raw[Product_Name],A159)</f>
        <v>0.39</v>
      </c>
    </row>
    <row r="160" spans="1:8" hidden="1" x14ac:dyDescent="0.25">
      <c r="A160" s="2" t="str">
        <v>Dumbbells - Model 261</v>
      </c>
      <c r="B160" s="2" t="str">
        <f>_xlfn.XLOOKUP(A160,tbl_raw[Product_Name],tbl_raw[Category])</f>
        <v>Sports</v>
      </c>
      <c r="C160" s="2">
        <f>COUNTIF(tbl_raw[Product_Name],A160)</f>
        <v>1</v>
      </c>
      <c r="D160" s="2">
        <f>SUMIFS(tbl_raw[Units_Sold],tbl_raw[Product_Name],A160)</f>
        <v>1</v>
      </c>
      <c r="E160" s="3">
        <f>SUMIFS(tbl_raw[Net_Profit],tbl_raw[Product_Name],A160)</f>
        <v>795</v>
      </c>
      <c r="F160" s="2">
        <f>SUMIFS(tbl_raw[Return_Flag],tbl_raw[Product_Name],A160)</f>
        <v>0</v>
      </c>
      <c r="G160" s="3" cm="1">
        <f t="array" ref="G160">SUMPRODUCT((tbl_raw[Product_Name]=A160)*(tbl_raw[MRP]-tbl_raw[Selling_Price])*tbl_raw[Units_Sold])</f>
        <v>2980</v>
      </c>
      <c r="H160" s="83">
        <f>AVERAGEIFS(tbl_raw[Discount_Pct],tbl_raw[Product_Name],A160)</f>
        <v>0.39</v>
      </c>
    </row>
    <row r="161" spans="1:8" hidden="1" x14ac:dyDescent="0.25">
      <c r="A161" s="2" t="str">
        <v>Serum - Model 482</v>
      </c>
      <c r="B161" s="2" t="str">
        <f>_xlfn.XLOOKUP(A161,tbl_raw[Product_Name],tbl_raw[Category])</f>
        <v>Beauty</v>
      </c>
      <c r="C161" s="2">
        <f>COUNTIF(tbl_raw[Product_Name],A161)</f>
        <v>2</v>
      </c>
      <c r="D161" s="2">
        <f>SUMIFS(tbl_raw[Units_Sold],tbl_raw[Product_Name],A161)</f>
        <v>24</v>
      </c>
      <c r="E161" s="3">
        <f>SUMIFS(tbl_raw[Net_Profit],tbl_raw[Product_Name],A161)</f>
        <v>-14616</v>
      </c>
      <c r="F161" s="2">
        <f>SUMIFS(tbl_raw[Return_Flag],tbl_raw[Product_Name],A161)</f>
        <v>1</v>
      </c>
      <c r="G161" s="3" cm="1">
        <f t="array" ref="G161">SUMPRODUCT((tbl_raw[Product_Name]=A161)*(tbl_raw[MRP]-tbl_raw[Selling_Price])*tbl_raw[Units_Sold])</f>
        <v>66816</v>
      </c>
      <c r="H161" s="83">
        <f>AVERAGEIFS(tbl_raw[Discount_Pct],tbl_raw[Product_Name],A161)</f>
        <v>0.32999999999999996</v>
      </c>
    </row>
    <row r="162" spans="1:8" hidden="1" x14ac:dyDescent="0.25">
      <c r="A162" s="2" t="str">
        <v>Laptop - Model 999</v>
      </c>
      <c r="B162" s="2" t="str">
        <f>_xlfn.XLOOKUP(A162,tbl_raw[Product_Name],tbl_raw[Category])</f>
        <v>Electronics</v>
      </c>
      <c r="C162" s="2">
        <f>COUNTIF(tbl_raw[Product_Name],A162)</f>
        <v>1</v>
      </c>
      <c r="D162" s="2">
        <f>SUMIFS(tbl_raw[Units_Sold],tbl_raw[Product_Name],A162)</f>
        <v>3</v>
      </c>
      <c r="E162" s="3">
        <f>SUMIFS(tbl_raw[Net_Profit],tbl_raw[Product_Name],A162)</f>
        <v>495</v>
      </c>
      <c r="F162" s="2">
        <f>SUMIFS(tbl_raw[Return_Flag],tbl_raw[Product_Name],A162)</f>
        <v>0</v>
      </c>
      <c r="G162" s="3" cm="1">
        <f t="array" ref="G162">SUMPRODUCT((tbl_raw[Product_Name]=A162)*(tbl_raw[MRP]-tbl_raw[Selling_Price])*tbl_raw[Units_Sold])</f>
        <v>573</v>
      </c>
      <c r="H162" s="83">
        <f>AVERAGEIFS(tbl_raw[Discount_Pct],tbl_raw[Product_Name],A162)</f>
        <v>0.22</v>
      </c>
    </row>
    <row r="163" spans="1:8" hidden="1" x14ac:dyDescent="0.25">
      <c r="A163" s="2" t="str">
        <v>Cycle - Model 993</v>
      </c>
      <c r="B163" s="2" t="str">
        <f>_xlfn.XLOOKUP(A163,tbl_raw[Product_Name],tbl_raw[Category])</f>
        <v>Sports</v>
      </c>
      <c r="C163" s="2">
        <f>COUNTIF(tbl_raw[Product_Name],A163)</f>
        <v>1</v>
      </c>
      <c r="D163" s="2">
        <f>SUMIFS(tbl_raw[Units_Sold],tbl_raw[Product_Name],A163)</f>
        <v>14</v>
      </c>
      <c r="E163" s="3">
        <f>SUMIFS(tbl_raw[Net_Profit],tbl_raw[Product_Name],A163)</f>
        <v>-10976</v>
      </c>
      <c r="F163" s="2">
        <f>SUMIFS(tbl_raw[Return_Flag],tbl_raw[Product_Name],A163)</f>
        <v>0</v>
      </c>
      <c r="G163" s="3" cm="1">
        <f t="array" ref="G163">SUMPRODUCT((tbl_raw[Product_Name]=A163)*(tbl_raw[MRP]-tbl_raw[Selling_Price])*tbl_raw[Units_Sold])</f>
        <v>45402</v>
      </c>
      <c r="H163" s="83">
        <f>AVERAGEIFS(tbl_raw[Discount_Pct],tbl_raw[Product_Name],A163)</f>
        <v>0.42</v>
      </c>
    </row>
    <row r="164" spans="1:8" hidden="1" x14ac:dyDescent="0.25">
      <c r="A164" s="2" t="str">
        <v>Atta - Model 353</v>
      </c>
      <c r="B164" s="2" t="str">
        <f>_xlfn.XLOOKUP(A164,tbl_raw[Product_Name],tbl_raw[Category])</f>
        <v>Grocery</v>
      </c>
      <c r="C164" s="2">
        <f>COUNTIF(tbl_raw[Product_Name],A164)</f>
        <v>1</v>
      </c>
      <c r="D164" s="2">
        <f>SUMIFS(tbl_raw[Units_Sold],tbl_raw[Product_Name],A164)</f>
        <v>3</v>
      </c>
      <c r="E164" s="3">
        <f>SUMIFS(tbl_raw[Net_Profit],tbl_raw[Product_Name],A164)</f>
        <v>2019</v>
      </c>
      <c r="F164" s="2">
        <f>SUMIFS(tbl_raw[Return_Flag],tbl_raw[Product_Name],A164)</f>
        <v>0</v>
      </c>
      <c r="G164" s="3" cm="1">
        <f t="array" ref="G164">SUMPRODUCT((tbl_raw[Product_Name]=A164)*(tbl_raw[MRP]-tbl_raw[Selling_Price])*tbl_raw[Units_Sold])</f>
        <v>2214</v>
      </c>
      <c r="H164" s="83">
        <f>AVERAGEIFS(tbl_raw[Discount_Pct],tbl_raw[Product_Name],A164)</f>
        <v>0.26</v>
      </c>
    </row>
    <row r="165" spans="1:8" hidden="1" x14ac:dyDescent="0.25">
      <c r="A165" s="2" t="str">
        <v>Fiction - Model 626</v>
      </c>
      <c r="B165" s="2" t="str">
        <f>_xlfn.XLOOKUP(A165,tbl_raw[Product_Name],tbl_raw[Category])</f>
        <v>Books</v>
      </c>
      <c r="C165" s="2">
        <f>COUNTIF(tbl_raw[Product_Name],A165)</f>
        <v>1</v>
      </c>
      <c r="D165" s="2">
        <f>SUMIFS(tbl_raw[Units_Sold],tbl_raw[Product_Name],A165)</f>
        <v>9</v>
      </c>
      <c r="E165" s="3">
        <f>SUMIFS(tbl_raw[Net_Profit],tbl_raw[Product_Name],A165)</f>
        <v>20592</v>
      </c>
      <c r="F165" s="2">
        <f>SUMIFS(tbl_raw[Return_Flag],tbl_raw[Product_Name],A165)</f>
        <v>0</v>
      </c>
      <c r="G165" s="3" cm="1">
        <f t="array" ref="G165">SUMPRODUCT((tbl_raw[Product_Name]=A165)*(tbl_raw[MRP]-tbl_raw[Selling_Price])*tbl_raw[Units_Sold])</f>
        <v>4878</v>
      </c>
      <c r="H165" s="83">
        <f>AVERAGEIFS(tbl_raw[Discount_Pct],tbl_raw[Product_Name],A165)</f>
        <v>0.1</v>
      </c>
    </row>
    <row r="166" spans="1:8" hidden="1" x14ac:dyDescent="0.25">
      <c r="A166" s="2" t="str">
        <v>Board Game - Model 196</v>
      </c>
      <c r="B166" s="2" t="str">
        <f>_xlfn.XLOOKUP(A166,tbl_raw[Product_Name],tbl_raw[Category])</f>
        <v>Toys</v>
      </c>
      <c r="C166" s="2">
        <f>COUNTIF(tbl_raw[Product_Name],A166)</f>
        <v>1</v>
      </c>
      <c r="D166" s="2">
        <f>SUMIFS(tbl_raw[Units_Sold],tbl_raw[Product_Name],A166)</f>
        <v>14</v>
      </c>
      <c r="E166" s="3">
        <f>SUMIFS(tbl_raw[Net_Profit],tbl_raw[Product_Name],A166)</f>
        <v>4340</v>
      </c>
      <c r="F166" s="2">
        <f>SUMIFS(tbl_raw[Return_Flag],tbl_raw[Product_Name],A166)</f>
        <v>0</v>
      </c>
      <c r="G166" s="3" cm="1">
        <f t="array" ref="G166">SUMPRODUCT((tbl_raw[Product_Name]=A166)*(tbl_raw[MRP]-tbl_raw[Selling_Price])*tbl_raw[Units_Sold])</f>
        <v>7476</v>
      </c>
      <c r="H166" s="83">
        <f>AVERAGEIFS(tbl_raw[Discount_Pct],tbl_raw[Product_Name],A166)</f>
        <v>0.18</v>
      </c>
    </row>
    <row r="167" spans="1:8" hidden="1" x14ac:dyDescent="0.25">
      <c r="A167" s="2" t="str">
        <v>Serum - Model 649</v>
      </c>
      <c r="B167" s="2" t="str">
        <f>_xlfn.XLOOKUP(A167,tbl_raw[Product_Name],tbl_raw[Category])</f>
        <v>Beauty</v>
      </c>
      <c r="C167" s="2">
        <f>COUNTIF(tbl_raw[Product_Name],A167)</f>
        <v>1</v>
      </c>
      <c r="D167" s="2">
        <f>SUMIFS(tbl_raw[Units_Sold],tbl_raw[Product_Name],A167)</f>
        <v>5</v>
      </c>
      <c r="E167" s="3">
        <f>SUMIFS(tbl_raw[Net_Profit],tbl_raw[Product_Name],A167)</f>
        <v>5835</v>
      </c>
      <c r="F167" s="2">
        <f>SUMIFS(tbl_raw[Return_Flag],tbl_raw[Product_Name],A167)</f>
        <v>0</v>
      </c>
      <c r="G167" s="3" cm="1">
        <f t="array" ref="G167">SUMPRODUCT((tbl_raw[Product_Name]=A167)*(tbl_raw[MRP]-tbl_raw[Selling_Price])*tbl_raw[Units_Sold])</f>
        <v>2270</v>
      </c>
      <c r="H167" s="83">
        <f>AVERAGEIFS(tbl_raw[Discount_Pct],tbl_raw[Product_Name],A167)</f>
        <v>0.13</v>
      </c>
    </row>
    <row r="168" spans="1:8" hidden="1" x14ac:dyDescent="0.25">
      <c r="A168" s="2" t="str">
        <v>Mobile - Model 871</v>
      </c>
      <c r="B168" s="2" t="str">
        <f>_xlfn.XLOOKUP(A168,tbl_raw[Product_Name],tbl_raw[Category])</f>
        <v>Electronics</v>
      </c>
      <c r="C168" s="2">
        <f>COUNTIF(tbl_raw[Product_Name],A168)</f>
        <v>1</v>
      </c>
      <c r="D168" s="2">
        <f>SUMIFS(tbl_raw[Units_Sold],tbl_raw[Product_Name],A168)</f>
        <v>6</v>
      </c>
      <c r="E168" s="3">
        <f>SUMIFS(tbl_raw[Net_Profit],tbl_raw[Product_Name],A168)</f>
        <v>576</v>
      </c>
      <c r="F168" s="2">
        <f>SUMIFS(tbl_raw[Return_Flag],tbl_raw[Product_Name],A168)</f>
        <v>0</v>
      </c>
      <c r="G168" s="3" cm="1">
        <f t="array" ref="G168">SUMPRODUCT((tbl_raw[Product_Name]=A168)*(tbl_raw[MRP]-tbl_raw[Selling_Price])*tbl_raw[Units_Sold])</f>
        <v>4446</v>
      </c>
      <c r="H168" s="83">
        <f>AVERAGEIFS(tbl_raw[Discount_Pct],tbl_raw[Product_Name],A168)</f>
        <v>0.22</v>
      </c>
    </row>
    <row r="169" spans="1:8" hidden="1" x14ac:dyDescent="0.25">
      <c r="A169" s="2" t="str">
        <v>Rice - Model 533</v>
      </c>
      <c r="B169" s="2" t="str">
        <f>_xlfn.XLOOKUP(A169,tbl_raw[Product_Name],tbl_raw[Category])</f>
        <v>Grocery</v>
      </c>
      <c r="C169" s="2">
        <f>COUNTIF(tbl_raw[Product_Name],A169)</f>
        <v>1</v>
      </c>
      <c r="D169" s="2">
        <f>SUMIFS(tbl_raw[Units_Sold],tbl_raw[Product_Name],A169)</f>
        <v>16</v>
      </c>
      <c r="E169" s="3">
        <f>SUMIFS(tbl_raw[Net_Profit],tbl_raw[Product_Name],A169)</f>
        <v>1072</v>
      </c>
      <c r="F169" s="2">
        <f>SUMIFS(tbl_raw[Return_Flag],tbl_raw[Product_Name],A169)</f>
        <v>0</v>
      </c>
      <c r="G169" s="3" cm="1">
        <f t="array" ref="G169">SUMPRODUCT((tbl_raw[Product_Name]=A169)*(tbl_raw[MRP]-tbl_raw[Selling_Price])*tbl_raw[Units_Sold])</f>
        <v>2928</v>
      </c>
      <c r="H169" s="83">
        <f>AVERAGEIFS(tbl_raw[Discount_Pct],tbl_raw[Product_Name],A169)</f>
        <v>0.13</v>
      </c>
    </row>
    <row r="170" spans="1:8" hidden="1" x14ac:dyDescent="0.25">
      <c r="A170" s="2" t="str">
        <v>Spices - Model 973</v>
      </c>
      <c r="B170" s="2" t="str">
        <f>_xlfn.XLOOKUP(A170,tbl_raw[Product_Name],tbl_raw[Category])</f>
        <v>Grocery</v>
      </c>
      <c r="C170" s="2">
        <f>COUNTIF(tbl_raw[Product_Name],A170)</f>
        <v>1</v>
      </c>
      <c r="D170" s="2">
        <f>SUMIFS(tbl_raw[Units_Sold],tbl_raw[Product_Name],A170)</f>
        <v>6</v>
      </c>
      <c r="E170" s="3">
        <f>SUMIFS(tbl_raw[Net_Profit],tbl_raw[Product_Name],A170)</f>
        <v>42</v>
      </c>
      <c r="F170" s="2">
        <f>SUMIFS(tbl_raw[Return_Flag],tbl_raw[Product_Name],A170)</f>
        <v>0</v>
      </c>
      <c r="G170" s="3" cm="1">
        <f t="array" ref="G170">SUMPRODUCT((tbl_raw[Product_Name]=A170)*(tbl_raw[MRP]-tbl_raw[Selling_Price])*tbl_raw[Units_Sold])</f>
        <v>888</v>
      </c>
      <c r="H170" s="83">
        <f>AVERAGEIFS(tbl_raw[Discount_Pct],tbl_raw[Product_Name],A170)</f>
        <v>0.23</v>
      </c>
    </row>
    <row r="171" spans="1:8" hidden="1" x14ac:dyDescent="0.25">
      <c r="A171" s="2" t="str">
        <v>Sunscreen - Model 708</v>
      </c>
      <c r="B171" s="2" t="str">
        <f>_xlfn.XLOOKUP(A171,tbl_raw[Product_Name],tbl_raw[Category])</f>
        <v>Beauty</v>
      </c>
      <c r="C171" s="2">
        <f>COUNTIF(tbl_raw[Product_Name],A171)</f>
        <v>1</v>
      </c>
      <c r="D171" s="2">
        <f>SUMIFS(tbl_raw[Units_Sold],tbl_raw[Product_Name],A171)</f>
        <v>20</v>
      </c>
      <c r="E171" s="3">
        <f>SUMIFS(tbl_raw[Net_Profit],tbl_raw[Product_Name],A171)</f>
        <v>160</v>
      </c>
      <c r="F171" s="2">
        <f>SUMIFS(tbl_raw[Return_Flag],tbl_raw[Product_Name],A171)</f>
        <v>0</v>
      </c>
      <c r="G171" s="3" cm="1">
        <f t="array" ref="G171">SUMPRODUCT((tbl_raw[Product_Name]=A171)*(tbl_raw[MRP]-tbl_raw[Selling_Price])*tbl_raw[Units_Sold])</f>
        <v>5040</v>
      </c>
      <c r="H171" s="83">
        <f>AVERAGEIFS(tbl_raw[Discount_Pct],tbl_raw[Product_Name],A171)</f>
        <v>0.3</v>
      </c>
    </row>
    <row r="172" spans="1:8" hidden="1" x14ac:dyDescent="0.25">
      <c r="A172" s="2" t="str">
        <v>Board Game - Model 787</v>
      </c>
      <c r="B172" s="2" t="str">
        <f>_xlfn.XLOOKUP(A172,tbl_raw[Product_Name],tbl_raw[Category])</f>
        <v>Toys</v>
      </c>
      <c r="C172" s="2">
        <f>COUNTIF(tbl_raw[Product_Name],A172)</f>
        <v>1</v>
      </c>
      <c r="D172" s="2">
        <f>SUMIFS(tbl_raw[Units_Sold],tbl_raw[Product_Name],A172)</f>
        <v>15</v>
      </c>
      <c r="E172" s="3">
        <f>SUMIFS(tbl_raw[Net_Profit],tbl_raw[Product_Name],A172)</f>
        <v>7905</v>
      </c>
      <c r="F172" s="2">
        <f>SUMIFS(tbl_raw[Return_Flag],tbl_raw[Product_Name],A172)</f>
        <v>0</v>
      </c>
      <c r="G172" s="3" cm="1">
        <f t="array" ref="G172">SUMPRODUCT((tbl_raw[Product_Name]=A172)*(tbl_raw[MRP]-tbl_raw[Selling_Price])*tbl_raw[Units_Sold])</f>
        <v>13590</v>
      </c>
      <c r="H172" s="83">
        <f>AVERAGEIFS(tbl_raw[Discount_Pct],tbl_raw[Product_Name],A172)</f>
        <v>0.34</v>
      </c>
    </row>
    <row r="173" spans="1:8" hidden="1" x14ac:dyDescent="0.25">
      <c r="A173" s="2" t="str">
        <v>Cricket Bat - Model 457</v>
      </c>
      <c r="B173" s="2" t="str">
        <f>_xlfn.XLOOKUP(A173,tbl_raw[Product_Name],tbl_raw[Category])</f>
        <v>Sports</v>
      </c>
      <c r="C173" s="2">
        <f>COUNTIF(tbl_raw[Product_Name],A173)</f>
        <v>1</v>
      </c>
      <c r="D173" s="2">
        <f>SUMIFS(tbl_raw[Units_Sold],tbl_raw[Product_Name],A173)</f>
        <v>8</v>
      </c>
      <c r="E173" s="3">
        <f>SUMIFS(tbl_raw[Net_Profit],tbl_raw[Product_Name],A173)</f>
        <v>4784</v>
      </c>
      <c r="F173" s="2">
        <f>SUMIFS(tbl_raw[Return_Flag],tbl_raw[Product_Name],A173)</f>
        <v>1</v>
      </c>
      <c r="G173" s="3" cm="1">
        <f t="array" ref="G173">SUMPRODUCT((tbl_raw[Product_Name]=A173)*(tbl_raw[MRP]-tbl_raw[Selling_Price])*tbl_raw[Units_Sold])</f>
        <v>1728</v>
      </c>
      <c r="H173" s="83">
        <f>AVERAGEIFS(tbl_raw[Discount_Pct],tbl_raw[Product_Name],A173)</f>
        <v>7.0000000000000007E-2</v>
      </c>
    </row>
    <row r="174" spans="1:8" hidden="1" x14ac:dyDescent="0.25">
      <c r="A174" s="2" t="str">
        <v>Shoes - Model 999</v>
      </c>
      <c r="B174" s="2" t="str">
        <f>_xlfn.XLOOKUP(A174,tbl_raw[Product_Name],tbl_raw[Category])</f>
        <v>Sports</v>
      </c>
      <c r="C174" s="2">
        <f>COUNTIF(tbl_raw[Product_Name],A174)</f>
        <v>1</v>
      </c>
      <c r="D174" s="2">
        <f>SUMIFS(tbl_raw[Units_Sold],tbl_raw[Product_Name],A174)</f>
        <v>9</v>
      </c>
      <c r="E174" s="3">
        <f>SUMIFS(tbl_raw[Net_Profit],tbl_raw[Product_Name],A174)</f>
        <v>2889</v>
      </c>
      <c r="F174" s="2">
        <f>SUMIFS(tbl_raw[Return_Flag],tbl_raw[Product_Name],A174)</f>
        <v>0</v>
      </c>
      <c r="G174" s="3" cm="1">
        <f t="array" ref="G174">SUMPRODUCT((tbl_raw[Product_Name]=A174)*(tbl_raw[MRP]-tbl_raw[Selling_Price])*tbl_raw[Units_Sold])</f>
        <v>495</v>
      </c>
      <c r="H174" s="83">
        <f>AVERAGEIFS(tbl_raw[Discount_Pct],tbl_raw[Product_Name],A174)</f>
        <v>0.05</v>
      </c>
    </row>
    <row r="175" spans="1:8" hidden="1" x14ac:dyDescent="0.25">
      <c r="A175" s="2" t="str">
        <v>Cycle - Model 600</v>
      </c>
      <c r="B175" s="2" t="str">
        <f>_xlfn.XLOOKUP(A175,tbl_raw[Product_Name],tbl_raw[Category])</f>
        <v>Sports</v>
      </c>
      <c r="C175" s="2">
        <f>COUNTIF(tbl_raw[Product_Name],A175)</f>
        <v>1</v>
      </c>
      <c r="D175" s="2">
        <f>SUMIFS(tbl_raw[Units_Sold],tbl_raw[Product_Name],A175)</f>
        <v>2</v>
      </c>
      <c r="E175" s="3">
        <f>SUMIFS(tbl_raw[Net_Profit],tbl_raw[Product_Name],A175)</f>
        <v>514</v>
      </c>
      <c r="F175" s="2">
        <f>SUMIFS(tbl_raw[Return_Flag],tbl_raw[Product_Name],A175)</f>
        <v>0</v>
      </c>
      <c r="G175" s="3" cm="1">
        <f t="array" ref="G175">SUMPRODUCT((tbl_raw[Product_Name]=A175)*(tbl_raw[MRP]-tbl_raw[Selling_Price])*tbl_raw[Units_Sold])</f>
        <v>350</v>
      </c>
      <c r="H175" s="83">
        <f>AVERAGEIFS(tbl_raw[Discount_Pct],tbl_raw[Product_Name],A175)</f>
        <v>0.19</v>
      </c>
    </row>
    <row r="176" spans="1:8" hidden="1" x14ac:dyDescent="0.25">
      <c r="A176" s="2" t="str">
        <v>Doll - Model 109</v>
      </c>
      <c r="B176" s="2" t="str">
        <f>_xlfn.XLOOKUP(A176,tbl_raw[Product_Name],tbl_raw[Category])</f>
        <v>Toys</v>
      </c>
      <c r="C176" s="2">
        <f>COUNTIF(tbl_raw[Product_Name],A176)</f>
        <v>1</v>
      </c>
      <c r="D176" s="2">
        <f>SUMIFS(tbl_raw[Units_Sold],tbl_raw[Product_Name],A176)</f>
        <v>3</v>
      </c>
      <c r="E176" s="3">
        <f>SUMIFS(tbl_raw[Net_Profit],tbl_raw[Product_Name],A176)</f>
        <v>5298</v>
      </c>
      <c r="F176" s="2">
        <f>SUMIFS(tbl_raw[Return_Flag],tbl_raw[Product_Name],A176)</f>
        <v>0</v>
      </c>
      <c r="G176" s="3" cm="1">
        <f t="array" ref="G176">SUMPRODUCT((tbl_raw[Product_Name]=A176)*(tbl_raw[MRP]-tbl_raw[Selling_Price])*tbl_raw[Units_Sold])</f>
        <v>7041</v>
      </c>
      <c r="H176" s="83">
        <f>AVERAGEIFS(tbl_raw[Discount_Pct],tbl_raw[Product_Name],A176)</f>
        <v>0.31</v>
      </c>
    </row>
    <row r="177" spans="1:8" hidden="1" x14ac:dyDescent="0.25">
      <c r="A177" s="2" t="str">
        <v>Yoga Mat - Model 915</v>
      </c>
      <c r="B177" s="2" t="str">
        <f>_xlfn.XLOOKUP(A177,tbl_raw[Product_Name],tbl_raw[Category])</f>
        <v>Sports</v>
      </c>
      <c r="C177" s="2">
        <f>COUNTIF(tbl_raw[Product_Name],A177)</f>
        <v>1</v>
      </c>
      <c r="D177" s="2">
        <f>SUMIFS(tbl_raw[Units_Sold],tbl_raw[Product_Name],A177)</f>
        <v>12</v>
      </c>
      <c r="E177" s="3">
        <f>SUMIFS(tbl_raw[Net_Profit],tbl_raw[Product_Name],A177)</f>
        <v>8256</v>
      </c>
      <c r="F177" s="2">
        <f>SUMIFS(tbl_raw[Return_Flag],tbl_raw[Product_Name],A177)</f>
        <v>0</v>
      </c>
      <c r="G177" s="3" cm="1">
        <f t="array" ref="G177">SUMPRODUCT((tbl_raw[Product_Name]=A177)*(tbl_raw[MRP]-tbl_raw[Selling_Price])*tbl_raw[Units_Sold])</f>
        <v>2424</v>
      </c>
      <c r="H177" s="83">
        <f>AVERAGEIFS(tbl_raw[Discount_Pct],tbl_raw[Product_Name],A177)</f>
        <v>0.11</v>
      </c>
    </row>
    <row r="178" spans="1:8" hidden="1" x14ac:dyDescent="0.25">
      <c r="A178" s="2" t="str">
        <v>Pressure Cooker - Model 522</v>
      </c>
      <c r="B178" s="2" t="str">
        <f>_xlfn.XLOOKUP(A178,tbl_raw[Product_Name],tbl_raw[Category])</f>
        <v>Home &amp; Kitchen</v>
      </c>
      <c r="C178" s="2">
        <f>COUNTIF(tbl_raw[Product_Name],A178)</f>
        <v>1</v>
      </c>
      <c r="D178" s="2">
        <f>SUMIFS(tbl_raw[Units_Sold],tbl_raw[Product_Name],A178)</f>
        <v>6</v>
      </c>
      <c r="E178" s="3">
        <f>SUMIFS(tbl_raw[Net_Profit],tbl_raw[Product_Name],A178)</f>
        <v>3528</v>
      </c>
      <c r="F178" s="2">
        <f>SUMIFS(tbl_raw[Return_Flag],tbl_raw[Product_Name],A178)</f>
        <v>0</v>
      </c>
      <c r="G178" s="3" cm="1">
        <f t="array" ref="G178">SUMPRODUCT((tbl_raw[Product_Name]=A178)*(tbl_raw[MRP]-tbl_raw[Selling_Price])*tbl_raw[Units_Sold])</f>
        <v>5352</v>
      </c>
      <c r="H178" s="83">
        <f>AVERAGEIFS(tbl_raw[Discount_Pct],tbl_raw[Product_Name],A178)</f>
        <v>0.15</v>
      </c>
    </row>
    <row r="179" spans="1:8" hidden="1" x14ac:dyDescent="0.25">
      <c r="A179" s="2" t="str">
        <v>Smartwatch - Model 327</v>
      </c>
      <c r="B179" s="2" t="str">
        <f>_xlfn.XLOOKUP(A179,tbl_raw[Product_Name],tbl_raw[Category])</f>
        <v>Electronics</v>
      </c>
      <c r="C179" s="2">
        <f>COUNTIF(tbl_raw[Product_Name],A179)</f>
        <v>1</v>
      </c>
      <c r="D179" s="2">
        <f>SUMIFS(tbl_raw[Units_Sold],tbl_raw[Product_Name],A179)</f>
        <v>15</v>
      </c>
      <c r="E179" s="3">
        <f>SUMIFS(tbl_raw[Net_Profit],tbl_raw[Product_Name],A179)</f>
        <v>-4230</v>
      </c>
      <c r="F179" s="2">
        <f>SUMIFS(tbl_raw[Return_Flag],tbl_raw[Product_Name],A179)</f>
        <v>0</v>
      </c>
      <c r="G179" s="3" cm="1">
        <f t="array" ref="G179">SUMPRODUCT((tbl_raw[Product_Name]=A179)*(tbl_raw[MRP]-tbl_raw[Selling_Price])*tbl_raw[Units_Sold])</f>
        <v>16245</v>
      </c>
      <c r="H179" s="83">
        <f>AVERAGEIFS(tbl_raw[Discount_Pct],tbl_raw[Product_Name],A179)</f>
        <v>0.37</v>
      </c>
    </row>
    <row r="180" spans="1:8" hidden="1" x14ac:dyDescent="0.25">
      <c r="A180" s="2" t="str">
        <v>Yoga Mat - Model 756</v>
      </c>
      <c r="B180" s="2" t="str">
        <f>_xlfn.XLOOKUP(A180,tbl_raw[Product_Name],tbl_raw[Category])</f>
        <v>Sports</v>
      </c>
      <c r="C180" s="2">
        <f>COUNTIF(tbl_raw[Product_Name],A180)</f>
        <v>1</v>
      </c>
      <c r="D180" s="2">
        <f>SUMIFS(tbl_raw[Units_Sold],tbl_raw[Product_Name],A180)</f>
        <v>13</v>
      </c>
      <c r="E180" s="3">
        <f>SUMIFS(tbl_raw[Net_Profit],tbl_raw[Product_Name],A180)</f>
        <v>7007</v>
      </c>
      <c r="F180" s="2">
        <f>SUMIFS(tbl_raw[Return_Flag],tbl_raw[Product_Name],A180)</f>
        <v>0</v>
      </c>
      <c r="G180" s="3" cm="1">
        <f t="array" ref="G180">SUMPRODUCT((tbl_raw[Product_Name]=A180)*(tbl_raw[MRP]-tbl_raw[Selling_Price])*tbl_raw[Units_Sold])</f>
        <v>27170</v>
      </c>
      <c r="H180" s="83">
        <f>AVERAGEIFS(tbl_raw[Discount_Pct],tbl_raw[Product_Name],A180)</f>
        <v>0.38</v>
      </c>
    </row>
    <row r="181" spans="1:8" hidden="1" x14ac:dyDescent="0.25">
      <c r="A181" s="2" t="str">
        <v>Jacket - Model 544</v>
      </c>
      <c r="B181" s="2" t="str">
        <f>_xlfn.XLOOKUP(A181,tbl_raw[Product_Name],tbl_raw[Category])</f>
        <v>Fashion</v>
      </c>
      <c r="C181" s="2">
        <f>COUNTIF(tbl_raw[Product_Name],A181)</f>
        <v>1</v>
      </c>
      <c r="D181" s="2">
        <f>SUMIFS(tbl_raw[Units_Sold],tbl_raw[Product_Name],A181)</f>
        <v>11</v>
      </c>
      <c r="E181" s="3">
        <f>SUMIFS(tbl_raw[Net_Profit],tbl_raw[Product_Name],A181)</f>
        <v>2926</v>
      </c>
      <c r="F181" s="2">
        <f>SUMIFS(tbl_raw[Return_Flag],tbl_raw[Product_Name],A181)</f>
        <v>1</v>
      </c>
      <c r="G181" s="3" cm="1">
        <f t="array" ref="G181">SUMPRODUCT((tbl_raw[Product_Name]=A181)*(tbl_raw[MRP]-tbl_raw[Selling_Price])*tbl_raw[Units_Sold])</f>
        <v>17446</v>
      </c>
      <c r="H181" s="83">
        <f>AVERAGEIFS(tbl_raw[Discount_Pct],tbl_raw[Product_Name],A181)</f>
        <v>0.44</v>
      </c>
    </row>
    <row r="182" spans="1:8" hidden="1" x14ac:dyDescent="0.25">
      <c r="A182" s="2" t="str">
        <v>Lipstick - Model 541</v>
      </c>
      <c r="B182" s="2" t="str">
        <f>_xlfn.XLOOKUP(A182,tbl_raw[Product_Name],tbl_raw[Category])</f>
        <v>Beauty</v>
      </c>
      <c r="C182" s="2">
        <f>COUNTIF(tbl_raw[Product_Name],A182)</f>
        <v>2</v>
      </c>
      <c r="D182" s="2">
        <f>SUMIFS(tbl_raw[Units_Sold],tbl_raw[Product_Name],A182)</f>
        <v>21</v>
      </c>
      <c r="E182" s="3">
        <f>SUMIFS(tbl_raw[Net_Profit],tbl_raw[Product_Name],A182)</f>
        <v>18973</v>
      </c>
      <c r="F182" s="2">
        <f>SUMIFS(tbl_raw[Return_Flag],tbl_raw[Product_Name],A182)</f>
        <v>1</v>
      </c>
      <c r="G182" s="3" cm="1">
        <f t="array" ref="G182">SUMPRODUCT((tbl_raw[Product_Name]=A182)*(tbl_raw[MRP]-tbl_raw[Selling_Price])*tbl_raw[Units_Sold])</f>
        <v>41248</v>
      </c>
      <c r="H182" s="83">
        <f>AVERAGEIFS(tbl_raw[Discount_Pct],tbl_raw[Product_Name],A182)</f>
        <v>0.34499999999999997</v>
      </c>
    </row>
    <row r="183" spans="1:8" hidden="1" x14ac:dyDescent="0.25">
      <c r="A183" s="2" t="str">
        <v>Cycle - Model 230</v>
      </c>
      <c r="B183" s="2" t="str">
        <f>_xlfn.XLOOKUP(A183,tbl_raw[Product_Name],tbl_raw[Category])</f>
        <v>Sports</v>
      </c>
      <c r="C183" s="2">
        <f>COUNTIF(tbl_raw[Product_Name],A183)</f>
        <v>1</v>
      </c>
      <c r="D183" s="2">
        <f>SUMIFS(tbl_raw[Units_Sold],tbl_raw[Product_Name],A183)</f>
        <v>14</v>
      </c>
      <c r="E183" s="3">
        <f>SUMIFS(tbl_raw[Net_Profit],tbl_raw[Product_Name],A183)</f>
        <v>11886</v>
      </c>
      <c r="F183" s="2">
        <f>SUMIFS(tbl_raw[Return_Flag],tbl_raw[Product_Name],A183)</f>
        <v>0</v>
      </c>
      <c r="G183" s="3" cm="1">
        <f t="array" ref="G183">SUMPRODUCT((tbl_raw[Product_Name]=A183)*(tbl_raw[MRP]-tbl_raw[Selling_Price])*tbl_raw[Units_Sold])</f>
        <v>12824</v>
      </c>
      <c r="H183" s="83">
        <f>AVERAGEIFS(tbl_raw[Discount_Pct],tbl_raw[Product_Name],A183)</f>
        <v>0.17</v>
      </c>
    </row>
    <row r="184" spans="1:8" hidden="1" x14ac:dyDescent="0.25">
      <c r="A184" s="2" t="str">
        <v>Cricket Bat - Model 540</v>
      </c>
      <c r="B184" s="2" t="str">
        <f>_xlfn.XLOOKUP(A184,tbl_raw[Product_Name],tbl_raw[Category])</f>
        <v>Sports</v>
      </c>
      <c r="C184" s="2">
        <f>COUNTIF(tbl_raw[Product_Name],A184)</f>
        <v>1</v>
      </c>
      <c r="D184" s="2">
        <f>SUMIFS(tbl_raw[Units_Sold],tbl_raw[Product_Name],A184)</f>
        <v>20</v>
      </c>
      <c r="E184" s="3">
        <f>SUMIFS(tbl_raw[Net_Profit],tbl_raw[Product_Name],A184)</f>
        <v>23740</v>
      </c>
      <c r="F184" s="2">
        <f>SUMIFS(tbl_raw[Return_Flag],tbl_raw[Product_Name],A184)</f>
        <v>0</v>
      </c>
      <c r="G184" s="3" cm="1">
        <f t="array" ref="G184">SUMPRODUCT((tbl_raw[Product_Name]=A184)*(tbl_raw[MRP]-tbl_raw[Selling_Price])*tbl_raw[Units_Sold])</f>
        <v>22280</v>
      </c>
      <c r="H184" s="83">
        <f>AVERAGEIFS(tbl_raw[Discount_Pct],tbl_raw[Product_Name],A184)</f>
        <v>0.21</v>
      </c>
    </row>
    <row r="185" spans="1:8" hidden="1" x14ac:dyDescent="0.25">
      <c r="A185" s="2" t="str">
        <v>Saree - Model 627</v>
      </c>
      <c r="B185" s="2" t="str">
        <f>_xlfn.XLOOKUP(A185,tbl_raw[Product_Name],tbl_raw[Category])</f>
        <v>Fashion</v>
      </c>
      <c r="C185" s="2">
        <f>COUNTIF(tbl_raw[Product_Name],A185)</f>
        <v>1</v>
      </c>
      <c r="D185" s="2">
        <f>SUMIFS(tbl_raw[Units_Sold],tbl_raw[Product_Name],A185)</f>
        <v>11</v>
      </c>
      <c r="E185" s="3">
        <f>SUMIFS(tbl_raw[Net_Profit],tbl_raw[Product_Name],A185)</f>
        <v>55</v>
      </c>
      <c r="F185" s="2">
        <f>SUMIFS(tbl_raw[Return_Flag],tbl_raw[Product_Name],A185)</f>
        <v>0</v>
      </c>
      <c r="G185" s="3" cm="1">
        <f t="array" ref="G185">SUMPRODUCT((tbl_raw[Product_Name]=A185)*(tbl_raw[MRP]-tbl_raw[Selling_Price])*tbl_raw[Units_Sold])</f>
        <v>4389</v>
      </c>
      <c r="H185" s="83">
        <f>AVERAGEIFS(tbl_raw[Discount_Pct],tbl_raw[Product_Name],A185)</f>
        <v>0.43</v>
      </c>
    </row>
    <row r="186" spans="1:8" hidden="1" x14ac:dyDescent="0.25">
      <c r="A186" s="2" t="str">
        <v>Shoes - Model 524</v>
      </c>
      <c r="B186" s="2" t="str">
        <f>_xlfn.XLOOKUP(A186,tbl_raw[Product_Name],tbl_raw[Category])</f>
        <v>Fashion</v>
      </c>
      <c r="C186" s="2">
        <f>COUNTIF(tbl_raw[Product_Name],A186)</f>
        <v>1</v>
      </c>
      <c r="D186" s="2">
        <f>SUMIFS(tbl_raw[Units_Sold],tbl_raw[Product_Name],A186)</f>
        <v>7</v>
      </c>
      <c r="E186" s="3">
        <f>SUMIFS(tbl_raw[Net_Profit],tbl_raw[Product_Name],A186)</f>
        <v>11417</v>
      </c>
      <c r="F186" s="2">
        <f>SUMIFS(tbl_raw[Return_Flag],tbl_raw[Product_Name],A186)</f>
        <v>0</v>
      </c>
      <c r="G186" s="3" cm="1">
        <f t="array" ref="G186">SUMPRODUCT((tbl_raw[Product_Name]=A186)*(tbl_raw[MRP]-tbl_raw[Selling_Price])*tbl_raw[Units_Sold])</f>
        <v>6909</v>
      </c>
      <c r="H186" s="83">
        <f>AVERAGEIFS(tbl_raw[Discount_Pct],tbl_raw[Product_Name],A186)</f>
        <v>0.17</v>
      </c>
    </row>
    <row r="187" spans="1:8" hidden="1" x14ac:dyDescent="0.25">
      <c r="A187" s="2" t="str">
        <v>Board Game - Model 280</v>
      </c>
      <c r="B187" s="2" t="str">
        <f>_xlfn.XLOOKUP(A187,tbl_raw[Product_Name],tbl_raw[Category])</f>
        <v>Toys</v>
      </c>
      <c r="C187" s="2">
        <f>COUNTIF(tbl_raw[Product_Name],A187)</f>
        <v>1</v>
      </c>
      <c r="D187" s="2">
        <f>SUMIFS(tbl_raw[Units_Sold],tbl_raw[Product_Name],A187)</f>
        <v>15</v>
      </c>
      <c r="E187" s="3">
        <f>SUMIFS(tbl_raw[Net_Profit],tbl_raw[Product_Name],A187)</f>
        <v>240</v>
      </c>
      <c r="F187" s="2">
        <f>SUMIFS(tbl_raw[Return_Flag],tbl_raw[Product_Name],A187)</f>
        <v>0</v>
      </c>
      <c r="G187" s="3" cm="1">
        <f t="array" ref="G187">SUMPRODUCT((tbl_raw[Product_Name]=A187)*(tbl_raw[MRP]-tbl_raw[Selling_Price])*tbl_raw[Units_Sold])</f>
        <v>975</v>
      </c>
      <c r="H187" s="83">
        <f>AVERAGEIFS(tbl_raw[Discount_Pct],tbl_raw[Product_Name],A187)</f>
        <v>0.11</v>
      </c>
    </row>
    <row r="188" spans="1:8" hidden="1" x14ac:dyDescent="0.25">
      <c r="A188" s="2" t="str">
        <v>Spices - Model 934</v>
      </c>
      <c r="B188" s="2" t="str">
        <f>_xlfn.XLOOKUP(A188,tbl_raw[Product_Name],tbl_raw[Category])</f>
        <v>Grocery</v>
      </c>
      <c r="C188" s="2">
        <f>COUNTIF(tbl_raw[Product_Name],A188)</f>
        <v>1</v>
      </c>
      <c r="D188" s="2">
        <f>SUMIFS(tbl_raw[Units_Sold],tbl_raw[Product_Name],A188)</f>
        <v>14</v>
      </c>
      <c r="E188" s="3">
        <f>SUMIFS(tbl_raw[Net_Profit],tbl_raw[Product_Name],A188)</f>
        <v>1372</v>
      </c>
      <c r="F188" s="2">
        <f>SUMIFS(tbl_raw[Return_Flag],tbl_raw[Product_Name],A188)</f>
        <v>1</v>
      </c>
      <c r="G188" s="3" cm="1">
        <f t="array" ref="G188">SUMPRODUCT((tbl_raw[Product_Name]=A188)*(tbl_raw[MRP]-tbl_raw[Selling_Price])*tbl_raw[Units_Sold])</f>
        <v>23380</v>
      </c>
      <c r="H188" s="83">
        <f>AVERAGEIFS(tbl_raw[Discount_Pct],tbl_raw[Product_Name],A188)</f>
        <v>0.25</v>
      </c>
    </row>
    <row r="189" spans="1:8" hidden="1" x14ac:dyDescent="0.25">
      <c r="A189" s="2" t="str">
        <v>Oil - Model 381</v>
      </c>
      <c r="B189" s="2" t="str">
        <f>_xlfn.XLOOKUP(A189,tbl_raw[Product_Name],tbl_raw[Category])</f>
        <v>Grocery</v>
      </c>
      <c r="C189" s="2">
        <f>COUNTIF(tbl_raw[Product_Name],A189)</f>
        <v>1</v>
      </c>
      <c r="D189" s="2">
        <f>SUMIFS(tbl_raw[Units_Sold],tbl_raw[Product_Name],A189)</f>
        <v>3</v>
      </c>
      <c r="E189" s="3">
        <f>SUMIFS(tbl_raw[Net_Profit],tbl_raw[Product_Name],A189)</f>
        <v>5952</v>
      </c>
      <c r="F189" s="2">
        <f>SUMIFS(tbl_raw[Return_Flag],tbl_raw[Product_Name],A189)</f>
        <v>0</v>
      </c>
      <c r="G189" s="3" cm="1">
        <f t="array" ref="G189">SUMPRODUCT((tbl_raw[Product_Name]=A189)*(tbl_raw[MRP]-tbl_raw[Selling_Price])*tbl_raw[Units_Sold])</f>
        <v>1902</v>
      </c>
      <c r="H189" s="83">
        <f>AVERAGEIFS(tbl_raw[Discount_Pct],tbl_raw[Product_Name],A189)</f>
        <v>0.11</v>
      </c>
    </row>
    <row r="190" spans="1:8" hidden="1" x14ac:dyDescent="0.25">
      <c r="A190" s="2" t="str">
        <v>Moisturizer - Model 524</v>
      </c>
      <c r="B190" s="2" t="str">
        <f>_xlfn.XLOOKUP(A190,tbl_raw[Product_Name],tbl_raw[Category])</f>
        <v>Beauty</v>
      </c>
      <c r="C190" s="2">
        <f>COUNTIF(tbl_raw[Product_Name],A190)</f>
        <v>2</v>
      </c>
      <c r="D190" s="2">
        <f>SUMIFS(tbl_raw[Units_Sold],tbl_raw[Product_Name],A190)</f>
        <v>12</v>
      </c>
      <c r="E190" s="3">
        <f>SUMIFS(tbl_raw[Net_Profit],tbl_raw[Product_Name],A190)</f>
        <v>15303</v>
      </c>
      <c r="F190" s="2">
        <f>SUMIFS(tbl_raw[Return_Flag],tbl_raw[Product_Name],A190)</f>
        <v>0</v>
      </c>
      <c r="G190" s="3" cm="1">
        <f t="array" ref="G190">SUMPRODUCT((tbl_raw[Product_Name]=A190)*(tbl_raw[MRP]-tbl_raw[Selling_Price])*tbl_raw[Units_Sold])</f>
        <v>9408</v>
      </c>
      <c r="H190" s="83">
        <f>AVERAGEIFS(tbl_raw[Discount_Pct],tbl_raw[Product_Name],A190)</f>
        <v>0.27500000000000002</v>
      </c>
    </row>
    <row r="191" spans="1:8" hidden="1" x14ac:dyDescent="0.25">
      <c r="A191" s="2" t="str">
        <v>Atta - Model 460</v>
      </c>
      <c r="B191" s="2" t="str">
        <f>_xlfn.XLOOKUP(A191,tbl_raw[Product_Name],tbl_raw[Category])</f>
        <v>Grocery</v>
      </c>
      <c r="C191" s="2">
        <f>COUNTIF(tbl_raw[Product_Name],A191)</f>
        <v>1</v>
      </c>
      <c r="D191" s="2">
        <f>SUMIFS(tbl_raw[Units_Sold],tbl_raw[Product_Name],A191)</f>
        <v>13</v>
      </c>
      <c r="E191" s="3">
        <f>SUMIFS(tbl_raw[Net_Profit],tbl_raw[Product_Name],A191)</f>
        <v>234</v>
      </c>
      <c r="F191" s="2">
        <f>SUMIFS(tbl_raw[Return_Flag],tbl_raw[Product_Name],A191)</f>
        <v>0</v>
      </c>
      <c r="G191" s="3" cm="1">
        <f t="array" ref="G191">SUMPRODUCT((tbl_raw[Product_Name]=A191)*(tbl_raw[MRP]-tbl_raw[Selling_Price])*tbl_raw[Units_Sold])</f>
        <v>38337</v>
      </c>
      <c r="H191" s="83">
        <f>AVERAGEIFS(tbl_raw[Discount_Pct],tbl_raw[Product_Name],A191)</f>
        <v>0.43</v>
      </c>
    </row>
    <row r="192" spans="1:8" hidden="1" x14ac:dyDescent="0.25">
      <c r="A192" s="2" t="str">
        <v>Dumbbells - Model 597</v>
      </c>
      <c r="B192" s="2" t="str">
        <f>_xlfn.XLOOKUP(A192,tbl_raw[Product_Name],tbl_raw[Category])</f>
        <v>Sports</v>
      </c>
      <c r="C192" s="2">
        <f>COUNTIF(tbl_raw[Product_Name],A192)</f>
        <v>1</v>
      </c>
      <c r="D192" s="2">
        <f>SUMIFS(tbl_raw[Units_Sold],tbl_raw[Product_Name],A192)</f>
        <v>13</v>
      </c>
      <c r="E192" s="3">
        <f>SUMIFS(tbl_raw[Net_Profit],tbl_raw[Product_Name],A192)</f>
        <v>4732</v>
      </c>
      <c r="F192" s="2">
        <f>SUMIFS(tbl_raw[Return_Flag],tbl_raw[Product_Name],A192)</f>
        <v>0</v>
      </c>
      <c r="G192" s="3" cm="1">
        <f t="array" ref="G192">SUMPRODUCT((tbl_raw[Product_Name]=A192)*(tbl_raw[MRP]-tbl_raw[Selling_Price])*tbl_raw[Units_Sold])</f>
        <v>11375</v>
      </c>
      <c r="H192" s="83">
        <f>AVERAGEIFS(tbl_raw[Discount_Pct],tbl_raw[Product_Name],A192)</f>
        <v>0.31</v>
      </c>
    </row>
    <row r="193" spans="1:8" hidden="1" x14ac:dyDescent="0.25">
      <c r="A193" s="2" t="str">
        <v>Doll - Model 677</v>
      </c>
      <c r="B193" s="2" t="str">
        <f>_xlfn.XLOOKUP(A193,tbl_raw[Product_Name],tbl_raw[Category])</f>
        <v>Toys</v>
      </c>
      <c r="C193" s="2">
        <f>COUNTIF(tbl_raw[Product_Name],A193)</f>
        <v>1</v>
      </c>
      <c r="D193" s="2">
        <f>SUMIFS(tbl_raw[Units_Sold],tbl_raw[Product_Name],A193)</f>
        <v>3</v>
      </c>
      <c r="E193" s="3">
        <f>SUMIFS(tbl_raw[Net_Profit],tbl_raw[Product_Name],A193)</f>
        <v>5802</v>
      </c>
      <c r="F193" s="2">
        <f>SUMIFS(tbl_raw[Return_Flag],tbl_raw[Product_Name],A193)</f>
        <v>0</v>
      </c>
      <c r="G193" s="3" cm="1">
        <f t="array" ref="G193">SUMPRODUCT((tbl_raw[Product_Name]=A193)*(tbl_raw[MRP]-tbl_raw[Selling_Price])*tbl_raw[Units_Sold])</f>
        <v>939</v>
      </c>
      <c r="H193" s="83">
        <f>AVERAGEIFS(tbl_raw[Discount_Pct],tbl_raw[Product_Name],A193)</f>
        <v>0.06</v>
      </c>
    </row>
    <row r="194" spans="1:8" hidden="1" x14ac:dyDescent="0.25">
      <c r="A194" s="2" t="str">
        <v>Puzzle - Model 870</v>
      </c>
      <c r="B194" s="2" t="str">
        <f>_xlfn.XLOOKUP(A194,tbl_raw[Product_Name],tbl_raw[Category])</f>
        <v>Toys</v>
      </c>
      <c r="C194" s="2">
        <f>COUNTIF(tbl_raw[Product_Name],A194)</f>
        <v>1</v>
      </c>
      <c r="D194" s="2">
        <f>SUMIFS(tbl_raw[Units_Sold],tbl_raw[Product_Name],A194)</f>
        <v>9</v>
      </c>
      <c r="E194" s="3">
        <f>SUMIFS(tbl_raw[Net_Profit],tbl_raw[Product_Name],A194)</f>
        <v>7380</v>
      </c>
      <c r="F194" s="2">
        <f>SUMIFS(tbl_raw[Return_Flag],tbl_raw[Product_Name],A194)</f>
        <v>0</v>
      </c>
      <c r="G194" s="3" cm="1">
        <f t="array" ref="G194">SUMPRODUCT((tbl_raw[Product_Name]=A194)*(tbl_raw[MRP]-tbl_raw[Selling_Price])*tbl_raw[Units_Sold])</f>
        <v>12690</v>
      </c>
      <c r="H194" s="83">
        <f>AVERAGEIFS(tbl_raw[Discount_Pct],tbl_raw[Product_Name],A194)</f>
        <v>0.21</v>
      </c>
    </row>
    <row r="195" spans="1:8" hidden="1" x14ac:dyDescent="0.25">
      <c r="A195" s="2" t="str">
        <v>Laptop - Model 304</v>
      </c>
      <c r="B195" s="2" t="str">
        <f>_xlfn.XLOOKUP(A195,tbl_raw[Product_Name],tbl_raw[Category])</f>
        <v>Electronics</v>
      </c>
      <c r="C195" s="2">
        <f>COUNTIF(tbl_raw[Product_Name],A195)</f>
        <v>1</v>
      </c>
      <c r="D195" s="2">
        <f>SUMIFS(tbl_raw[Units_Sold],tbl_raw[Product_Name],A195)</f>
        <v>20</v>
      </c>
      <c r="E195" s="3">
        <f>SUMIFS(tbl_raw[Net_Profit],tbl_raw[Product_Name],A195)</f>
        <v>6200</v>
      </c>
      <c r="F195" s="2">
        <f>SUMIFS(tbl_raw[Return_Flag],tbl_raw[Product_Name],A195)</f>
        <v>0</v>
      </c>
      <c r="G195" s="3" cm="1">
        <f t="array" ref="G195">SUMPRODUCT((tbl_raw[Product_Name]=A195)*(tbl_raw[MRP]-tbl_raw[Selling_Price])*tbl_raw[Units_Sold])</f>
        <v>1660</v>
      </c>
      <c r="H195" s="83">
        <f>AVERAGEIFS(tbl_raw[Discount_Pct],tbl_raw[Product_Name],A195)</f>
        <v>0.06</v>
      </c>
    </row>
    <row r="196" spans="1:8" hidden="1" x14ac:dyDescent="0.25">
      <c r="A196" s="2" t="str">
        <v>Jeans - Model 418</v>
      </c>
      <c r="B196" s="2" t="str">
        <f>_xlfn.XLOOKUP(A196,tbl_raw[Product_Name],tbl_raw[Category])</f>
        <v>Fashion</v>
      </c>
      <c r="C196" s="2">
        <f>COUNTIF(tbl_raw[Product_Name],A196)</f>
        <v>1</v>
      </c>
      <c r="D196" s="2">
        <f>SUMIFS(tbl_raw[Units_Sold],tbl_raw[Product_Name],A196)</f>
        <v>19</v>
      </c>
      <c r="E196" s="3">
        <f>SUMIFS(tbl_raw[Net_Profit],tbl_raw[Product_Name],A196)</f>
        <v>-1615</v>
      </c>
      <c r="F196" s="2">
        <f>SUMIFS(tbl_raw[Return_Flag],tbl_raw[Product_Name],A196)</f>
        <v>0</v>
      </c>
      <c r="G196" s="3" cm="1">
        <f t="array" ref="G196">SUMPRODUCT((tbl_raw[Product_Name]=A196)*(tbl_raw[MRP]-tbl_raw[Selling_Price])*tbl_raw[Units_Sold])</f>
        <v>1064</v>
      </c>
      <c r="H196" s="83">
        <f>AVERAGEIFS(tbl_raw[Discount_Pct],tbl_raw[Product_Name],A196)</f>
        <v>0.14000000000000001</v>
      </c>
    </row>
    <row r="197" spans="1:8" hidden="1" x14ac:dyDescent="0.25">
      <c r="A197" s="2" t="str">
        <v>Moisturizer - Model 813</v>
      </c>
      <c r="B197" s="2" t="str">
        <f>_xlfn.XLOOKUP(A197,tbl_raw[Product_Name],tbl_raw[Category])</f>
        <v>Beauty</v>
      </c>
      <c r="C197" s="2">
        <f>COUNTIF(tbl_raw[Product_Name],A197)</f>
        <v>1</v>
      </c>
      <c r="D197" s="2">
        <f>SUMIFS(tbl_raw[Units_Sold],tbl_raw[Product_Name],A197)</f>
        <v>20</v>
      </c>
      <c r="E197" s="3">
        <f>SUMIFS(tbl_raw[Net_Profit],tbl_raw[Product_Name],A197)</f>
        <v>4720</v>
      </c>
      <c r="F197" s="2">
        <f>SUMIFS(tbl_raw[Return_Flag],tbl_raw[Product_Name],A197)</f>
        <v>0</v>
      </c>
      <c r="G197" s="3" cm="1">
        <f t="array" ref="G197">SUMPRODUCT((tbl_raw[Product_Name]=A197)*(tbl_raw[MRP]-tbl_raw[Selling_Price])*tbl_raw[Units_Sold])</f>
        <v>46680</v>
      </c>
      <c r="H197" s="83">
        <f>AVERAGEIFS(tbl_raw[Discount_Pct],tbl_raw[Product_Name],A197)</f>
        <v>0.36</v>
      </c>
    </row>
    <row r="198" spans="1:8" hidden="1" x14ac:dyDescent="0.25">
      <c r="A198" s="2" t="str">
        <v>Fiction - Model 969</v>
      </c>
      <c r="B198" s="2" t="str">
        <f>_xlfn.XLOOKUP(A198,tbl_raw[Product_Name],tbl_raw[Category])</f>
        <v>Books</v>
      </c>
      <c r="C198" s="2">
        <f>COUNTIF(tbl_raw[Product_Name],A198)</f>
        <v>1</v>
      </c>
      <c r="D198" s="2">
        <f>SUMIFS(tbl_raw[Units_Sold],tbl_raw[Product_Name],A198)</f>
        <v>16</v>
      </c>
      <c r="E198" s="3">
        <f>SUMIFS(tbl_raw[Net_Profit],tbl_raw[Product_Name],A198)</f>
        <v>-3328</v>
      </c>
      <c r="F198" s="2">
        <f>SUMIFS(tbl_raw[Return_Flag],tbl_raw[Product_Name],A198)</f>
        <v>1</v>
      </c>
      <c r="G198" s="3" cm="1">
        <f t="array" ref="G198">SUMPRODUCT((tbl_raw[Product_Name]=A198)*(tbl_raw[MRP]-tbl_raw[Selling_Price])*tbl_raw[Units_Sold])</f>
        <v>7040</v>
      </c>
      <c r="H198" s="83">
        <f>AVERAGEIFS(tbl_raw[Discount_Pct],tbl_raw[Product_Name],A198)</f>
        <v>0.43</v>
      </c>
    </row>
    <row r="199" spans="1:8" hidden="1" x14ac:dyDescent="0.25">
      <c r="A199" s="2" t="str">
        <v>Pulses - Model 546</v>
      </c>
      <c r="B199" s="2" t="str">
        <f>_xlfn.XLOOKUP(A199,tbl_raw[Product_Name],tbl_raw[Category])</f>
        <v>Grocery</v>
      </c>
      <c r="C199" s="2">
        <f>COUNTIF(tbl_raw[Product_Name],A199)</f>
        <v>1</v>
      </c>
      <c r="D199" s="2">
        <f>SUMIFS(tbl_raw[Units_Sold],tbl_raw[Product_Name],A199)</f>
        <v>9</v>
      </c>
      <c r="E199" s="3">
        <f>SUMIFS(tbl_raw[Net_Profit],tbl_raw[Product_Name],A199)</f>
        <v>3330</v>
      </c>
      <c r="F199" s="2">
        <f>SUMIFS(tbl_raw[Return_Flag],tbl_raw[Product_Name],A199)</f>
        <v>0</v>
      </c>
      <c r="G199" s="3" cm="1">
        <f t="array" ref="G199">SUMPRODUCT((tbl_raw[Product_Name]=A199)*(tbl_raw[MRP]-tbl_raw[Selling_Price])*tbl_raw[Units_Sold])</f>
        <v>2691</v>
      </c>
      <c r="H199" s="83">
        <f>AVERAGEIFS(tbl_raw[Discount_Pct],tbl_raw[Product_Name],A199)</f>
        <v>0.11</v>
      </c>
    </row>
    <row r="200" spans="1:8" hidden="1" x14ac:dyDescent="0.25">
      <c r="A200" s="2" t="str">
        <v>Puzzle - Model 129</v>
      </c>
      <c r="B200" s="2" t="str">
        <f>_xlfn.XLOOKUP(A200,tbl_raw[Product_Name],tbl_raw[Category])</f>
        <v>Toys</v>
      </c>
      <c r="C200" s="2">
        <f>COUNTIF(tbl_raw[Product_Name],A200)</f>
        <v>1</v>
      </c>
      <c r="D200" s="2">
        <f>SUMIFS(tbl_raw[Units_Sold],tbl_raw[Product_Name],A200)</f>
        <v>11</v>
      </c>
      <c r="E200" s="3">
        <f>SUMIFS(tbl_raw[Net_Profit],tbl_raw[Product_Name],A200)</f>
        <v>3036</v>
      </c>
      <c r="F200" s="2">
        <f>SUMIFS(tbl_raw[Return_Flag],tbl_raw[Product_Name],A200)</f>
        <v>0</v>
      </c>
      <c r="G200" s="3" cm="1">
        <f t="array" ref="G200">SUMPRODUCT((tbl_raw[Product_Name]=A200)*(tbl_raw[MRP]-tbl_raw[Selling_Price])*tbl_raw[Units_Sold])</f>
        <v>1782</v>
      </c>
      <c r="H200" s="83">
        <f>AVERAGEIFS(tbl_raw[Discount_Pct],tbl_raw[Product_Name],A200)</f>
        <v>0.1</v>
      </c>
    </row>
    <row r="201" spans="1:8" hidden="1" x14ac:dyDescent="0.25">
      <c r="A201" s="2" t="str">
        <v>Moisturizer - Model 347</v>
      </c>
      <c r="B201" s="2" t="str">
        <f>_xlfn.XLOOKUP(A201,tbl_raw[Product_Name],tbl_raw[Category])</f>
        <v>Beauty</v>
      </c>
      <c r="C201" s="2">
        <f>COUNTIF(tbl_raw[Product_Name],A201)</f>
        <v>1</v>
      </c>
      <c r="D201" s="2">
        <f>SUMIFS(tbl_raw[Units_Sold],tbl_raw[Product_Name],A201)</f>
        <v>16</v>
      </c>
      <c r="E201" s="3">
        <f>SUMIFS(tbl_raw[Net_Profit],tbl_raw[Product_Name],A201)</f>
        <v>21248</v>
      </c>
      <c r="F201" s="2">
        <f>SUMIFS(tbl_raw[Return_Flag],tbl_raw[Product_Name],A201)</f>
        <v>0</v>
      </c>
      <c r="G201" s="3" cm="1">
        <f t="array" ref="G201">SUMPRODUCT((tbl_raw[Product_Name]=A201)*(tbl_raw[MRP]-tbl_raw[Selling_Price])*tbl_raw[Units_Sold])</f>
        <v>7968</v>
      </c>
      <c r="H201" s="83">
        <f>AVERAGEIFS(tbl_raw[Discount_Pct],tbl_raw[Product_Name],A201)</f>
        <v>0.11</v>
      </c>
    </row>
    <row r="202" spans="1:8" hidden="1" x14ac:dyDescent="0.25">
      <c r="A202" s="2" t="str">
        <v>Lipstick - Model 779</v>
      </c>
      <c r="B202" s="2" t="str">
        <f>_xlfn.XLOOKUP(A202,tbl_raw[Product_Name],tbl_raw[Category])</f>
        <v>Beauty</v>
      </c>
      <c r="C202" s="2">
        <f>COUNTIF(tbl_raw[Product_Name],A202)</f>
        <v>1</v>
      </c>
      <c r="D202" s="2">
        <f>SUMIFS(tbl_raw[Units_Sold],tbl_raw[Product_Name],A202)</f>
        <v>12</v>
      </c>
      <c r="E202" s="3">
        <f>SUMIFS(tbl_raw[Net_Profit],tbl_raw[Product_Name],A202)</f>
        <v>8148</v>
      </c>
      <c r="F202" s="2">
        <f>SUMIFS(tbl_raw[Return_Flag],tbl_raw[Product_Name],A202)</f>
        <v>0</v>
      </c>
      <c r="G202" s="3" cm="1">
        <f t="array" ref="G202">SUMPRODUCT((tbl_raw[Product_Name]=A202)*(tbl_raw[MRP]-tbl_raw[Selling_Price])*tbl_raw[Units_Sold])</f>
        <v>11208</v>
      </c>
      <c r="H202" s="83">
        <f>AVERAGEIFS(tbl_raw[Discount_Pct],tbl_raw[Product_Name],A202)</f>
        <v>0.24</v>
      </c>
    </row>
    <row r="203" spans="1:8" hidden="1" x14ac:dyDescent="0.25">
      <c r="A203" s="2" t="str">
        <v>Moisturizer - Model 838</v>
      </c>
      <c r="B203" s="2" t="str">
        <f>_xlfn.XLOOKUP(A203,tbl_raw[Product_Name],tbl_raw[Category])</f>
        <v>Beauty</v>
      </c>
      <c r="C203" s="2">
        <f>COUNTIF(tbl_raw[Product_Name],A203)</f>
        <v>1</v>
      </c>
      <c r="D203" s="2">
        <f>SUMIFS(tbl_raw[Units_Sold],tbl_raw[Product_Name],A203)</f>
        <v>11</v>
      </c>
      <c r="E203" s="3">
        <f>SUMIFS(tbl_raw[Net_Profit],tbl_raw[Product_Name],A203)</f>
        <v>528</v>
      </c>
      <c r="F203" s="2">
        <f>SUMIFS(tbl_raw[Return_Flag],tbl_raw[Product_Name],A203)</f>
        <v>0</v>
      </c>
      <c r="G203" s="3" cm="1">
        <f t="array" ref="G203">SUMPRODUCT((tbl_raw[Product_Name]=A203)*(tbl_raw[MRP]-tbl_raw[Selling_Price])*tbl_raw[Units_Sold])</f>
        <v>2992</v>
      </c>
      <c r="H203" s="83">
        <f>AVERAGEIFS(tbl_raw[Discount_Pct],tbl_raw[Product_Name],A203)</f>
        <v>0.24</v>
      </c>
    </row>
    <row r="204" spans="1:8" hidden="1" x14ac:dyDescent="0.25">
      <c r="A204" s="2" t="str">
        <v>Shoes - Model 952</v>
      </c>
      <c r="B204" s="2" t="str">
        <f>_xlfn.XLOOKUP(A204,tbl_raw[Product_Name],tbl_raw[Category])</f>
        <v>Sports</v>
      </c>
      <c r="C204" s="2">
        <f>COUNTIF(tbl_raw[Product_Name],A204)</f>
        <v>1</v>
      </c>
      <c r="D204" s="2">
        <f>SUMIFS(tbl_raw[Units_Sold],tbl_raw[Product_Name],A204)</f>
        <v>10</v>
      </c>
      <c r="E204" s="3">
        <f>SUMIFS(tbl_raw[Net_Profit],tbl_raw[Product_Name],A204)</f>
        <v>9070</v>
      </c>
      <c r="F204" s="2">
        <f>SUMIFS(tbl_raw[Return_Flag],tbl_raw[Product_Name],A204)</f>
        <v>0</v>
      </c>
      <c r="G204" s="3" cm="1">
        <f t="array" ref="G204">SUMPRODUCT((tbl_raw[Product_Name]=A204)*(tbl_raw[MRP]-tbl_raw[Selling_Price])*tbl_raw[Units_Sold])</f>
        <v>1580</v>
      </c>
      <c r="H204" s="83">
        <f>AVERAGEIFS(tbl_raw[Discount_Pct],tbl_raw[Product_Name],A204)</f>
        <v>0.08</v>
      </c>
    </row>
    <row r="205" spans="1:8" hidden="1" x14ac:dyDescent="0.25">
      <c r="A205" s="2" t="str">
        <v>Curtain - Model 205</v>
      </c>
      <c r="B205" s="2" t="str">
        <f>_xlfn.XLOOKUP(A205,tbl_raw[Product_Name],tbl_raw[Category])</f>
        <v>Home &amp; Kitchen</v>
      </c>
      <c r="C205" s="2">
        <f>COUNTIF(tbl_raw[Product_Name],A205)</f>
        <v>1</v>
      </c>
      <c r="D205" s="2">
        <f>SUMIFS(tbl_raw[Units_Sold],tbl_raw[Product_Name],A205)</f>
        <v>19</v>
      </c>
      <c r="E205" s="3">
        <f>SUMIFS(tbl_raw[Net_Profit],tbl_raw[Product_Name],A205)</f>
        <v>8645</v>
      </c>
      <c r="F205" s="2">
        <f>SUMIFS(tbl_raw[Return_Flag],tbl_raw[Product_Name],A205)</f>
        <v>0</v>
      </c>
      <c r="G205" s="3" cm="1">
        <f t="array" ref="G205">SUMPRODUCT((tbl_raw[Product_Name]=A205)*(tbl_raw[MRP]-tbl_raw[Selling_Price])*tbl_raw[Units_Sold])</f>
        <v>10108</v>
      </c>
      <c r="H205" s="83">
        <f>AVERAGEIFS(tbl_raw[Discount_Pct],tbl_raw[Product_Name],A205)</f>
        <v>0.22</v>
      </c>
    </row>
    <row r="206" spans="1:8" hidden="1" x14ac:dyDescent="0.25">
      <c r="A206" s="2" t="str">
        <v>Atta - Model 690</v>
      </c>
      <c r="B206" s="2" t="str">
        <f>_xlfn.XLOOKUP(A206,tbl_raw[Product_Name],tbl_raw[Category])</f>
        <v>Grocery</v>
      </c>
      <c r="C206" s="2">
        <f>COUNTIF(tbl_raw[Product_Name],A206)</f>
        <v>1</v>
      </c>
      <c r="D206" s="2">
        <f>SUMIFS(tbl_raw[Units_Sold],tbl_raw[Product_Name],A206)</f>
        <v>5</v>
      </c>
      <c r="E206" s="3">
        <f>SUMIFS(tbl_raw[Net_Profit],tbl_raw[Product_Name],A206)</f>
        <v>765</v>
      </c>
      <c r="F206" s="2">
        <f>SUMIFS(tbl_raw[Return_Flag],tbl_raw[Product_Name],A206)</f>
        <v>0</v>
      </c>
      <c r="G206" s="3" cm="1">
        <f t="array" ref="G206">SUMPRODUCT((tbl_raw[Product_Name]=A206)*(tbl_raw[MRP]-tbl_raw[Selling_Price])*tbl_raw[Units_Sold])</f>
        <v>1705</v>
      </c>
      <c r="H206" s="83">
        <f>AVERAGEIFS(tbl_raw[Discount_Pct],tbl_raw[Product_Name],A206)</f>
        <v>0.25</v>
      </c>
    </row>
    <row r="207" spans="1:8" hidden="1" x14ac:dyDescent="0.25">
      <c r="A207" s="2" t="str">
        <v>Sunscreen - Model 489</v>
      </c>
      <c r="B207" s="2" t="str">
        <f>_xlfn.XLOOKUP(A207,tbl_raw[Product_Name],tbl_raw[Category])</f>
        <v>Beauty</v>
      </c>
      <c r="C207" s="2">
        <f>COUNTIF(tbl_raw[Product_Name],A207)</f>
        <v>1</v>
      </c>
      <c r="D207" s="2">
        <f>SUMIFS(tbl_raw[Units_Sold],tbl_raw[Product_Name],A207)</f>
        <v>15</v>
      </c>
      <c r="E207" s="3">
        <f>SUMIFS(tbl_raw[Net_Profit],tbl_raw[Product_Name],A207)</f>
        <v>5445</v>
      </c>
      <c r="F207" s="2">
        <f>SUMIFS(tbl_raw[Return_Flag],tbl_raw[Product_Name],A207)</f>
        <v>0</v>
      </c>
      <c r="G207" s="3" cm="1">
        <f t="array" ref="G207">SUMPRODUCT((tbl_raw[Product_Name]=A207)*(tbl_raw[MRP]-tbl_raw[Selling_Price])*tbl_raw[Units_Sold])</f>
        <v>9825</v>
      </c>
      <c r="H207" s="83">
        <f>AVERAGEIFS(tbl_raw[Discount_Pct],tbl_raw[Product_Name],A207)</f>
        <v>0.26</v>
      </c>
    </row>
    <row r="208" spans="1:8" hidden="1" x14ac:dyDescent="0.25">
      <c r="A208" s="2" t="str">
        <v>Lipstick - Model 776</v>
      </c>
      <c r="B208" s="2" t="str">
        <f>_xlfn.XLOOKUP(A208,tbl_raw[Product_Name],tbl_raw[Category])</f>
        <v>Beauty</v>
      </c>
      <c r="C208" s="2">
        <f>COUNTIF(tbl_raw[Product_Name],A208)</f>
        <v>1</v>
      </c>
      <c r="D208" s="2">
        <f>SUMIFS(tbl_raw[Units_Sold],tbl_raw[Product_Name],A208)</f>
        <v>6</v>
      </c>
      <c r="E208" s="3">
        <f>SUMIFS(tbl_raw[Net_Profit],tbl_raw[Product_Name],A208)</f>
        <v>3120</v>
      </c>
      <c r="F208" s="2">
        <f>SUMIFS(tbl_raw[Return_Flag],tbl_raw[Product_Name],A208)</f>
        <v>0</v>
      </c>
      <c r="G208" s="3" cm="1">
        <f t="array" ref="G208">SUMPRODUCT((tbl_raw[Product_Name]=A208)*(tbl_raw[MRP]-tbl_raw[Selling_Price])*tbl_raw[Units_Sold])</f>
        <v>3108</v>
      </c>
      <c r="H208" s="83">
        <f>AVERAGEIFS(tbl_raw[Discount_Pct],tbl_raw[Product_Name],A208)</f>
        <v>0.25</v>
      </c>
    </row>
    <row r="209" spans="1:8" hidden="1" x14ac:dyDescent="0.25">
      <c r="A209" s="2" t="str">
        <v>Dumbbells - Model 172</v>
      </c>
      <c r="B209" s="2" t="str">
        <f>_xlfn.XLOOKUP(A209,tbl_raw[Product_Name],tbl_raw[Category])</f>
        <v>Sports</v>
      </c>
      <c r="C209" s="2">
        <f>COUNTIF(tbl_raw[Product_Name],A209)</f>
        <v>1</v>
      </c>
      <c r="D209" s="2">
        <f>SUMIFS(tbl_raw[Units_Sold],tbl_raw[Product_Name],A209)</f>
        <v>9</v>
      </c>
      <c r="E209" s="3">
        <f>SUMIFS(tbl_raw[Net_Profit],tbl_raw[Product_Name],A209)</f>
        <v>3528</v>
      </c>
      <c r="F209" s="2">
        <f>SUMIFS(tbl_raw[Return_Flag],tbl_raw[Product_Name],A209)</f>
        <v>0</v>
      </c>
      <c r="G209" s="3" cm="1">
        <f t="array" ref="G209">SUMPRODUCT((tbl_raw[Product_Name]=A209)*(tbl_raw[MRP]-tbl_raw[Selling_Price])*tbl_raw[Units_Sold])</f>
        <v>15993</v>
      </c>
      <c r="H209" s="83">
        <f>AVERAGEIFS(tbl_raw[Discount_Pct],tbl_raw[Product_Name],A209)</f>
        <v>0.28000000000000003</v>
      </c>
    </row>
    <row r="210" spans="1:8" hidden="1" x14ac:dyDescent="0.25">
      <c r="A210" s="2" t="str">
        <v>Mixer - Model 161</v>
      </c>
      <c r="B210" s="2" t="str">
        <f>_xlfn.XLOOKUP(A210,tbl_raw[Product_Name],tbl_raw[Category])</f>
        <v>Home &amp; Kitchen</v>
      </c>
      <c r="C210" s="2">
        <f>COUNTIF(tbl_raw[Product_Name],A210)</f>
        <v>2</v>
      </c>
      <c r="D210" s="2">
        <f>SUMIFS(tbl_raw[Units_Sold],tbl_raw[Product_Name],A210)</f>
        <v>19</v>
      </c>
      <c r="E210" s="3">
        <f>SUMIFS(tbl_raw[Net_Profit],tbl_raw[Product_Name],A210)</f>
        <v>-2370</v>
      </c>
      <c r="F210" s="2">
        <f>SUMIFS(tbl_raw[Return_Flag],tbl_raw[Product_Name],A210)</f>
        <v>0</v>
      </c>
      <c r="G210" s="3" cm="1">
        <f t="array" ref="G210">SUMPRODUCT((tbl_raw[Product_Name]=A210)*(tbl_raw[MRP]-tbl_raw[Selling_Price])*tbl_raw[Units_Sold])</f>
        <v>34542</v>
      </c>
      <c r="H210" s="83">
        <f>AVERAGEIFS(tbl_raw[Discount_Pct],tbl_raw[Product_Name],A210)</f>
        <v>0.375</v>
      </c>
    </row>
    <row r="211" spans="1:8" hidden="1" x14ac:dyDescent="0.25">
      <c r="A211" s="2" t="str">
        <v>Pulses - Model 182</v>
      </c>
      <c r="B211" s="2" t="str">
        <f>_xlfn.XLOOKUP(A211,tbl_raw[Product_Name],tbl_raw[Category])</f>
        <v>Grocery</v>
      </c>
      <c r="C211" s="2">
        <f>COUNTIF(tbl_raw[Product_Name],A211)</f>
        <v>1</v>
      </c>
      <c r="D211" s="2">
        <f>SUMIFS(tbl_raw[Units_Sold],tbl_raw[Product_Name],A211)</f>
        <v>2</v>
      </c>
      <c r="E211" s="3">
        <f>SUMIFS(tbl_raw[Net_Profit],tbl_raw[Product_Name],A211)</f>
        <v>770</v>
      </c>
      <c r="F211" s="2">
        <f>SUMIFS(tbl_raw[Return_Flag],tbl_raw[Product_Name],A211)</f>
        <v>0</v>
      </c>
      <c r="G211" s="3" cm="1">
        <f t="array" ref="G211">SUMPRODUCT((tbl_raw[Product_Name]=A211)*(tbl_raw[MRP]-tbl_raw[Selling_Price])*tbl_raw[Units_Sold])</f>
        <v>4710</v>
      </c>
      <c r="H211" s="83">
        <f>AVERAGEIFS(tbl_raw[Discount_Pct],tbl_raw[Product_Name],A211)</f>
        <v>0.33</v>
      </c>
    </row>
    <row r="212" spans="1:8" hidden="1" x14ac:dyDescent="0.25">
      <c r="A212" s="2" t="str">
        <v>Headphones - Model 690</v>
      </c>
      <c r="B212" s="2" t="str">
        <f>_xlfn.XLOOKUP(A212,tbl_raw[Product_Name],tbl_raw[Category])</f>
        <v>Electronics</v>
      </c>
      <c r="C212" s="2">
        <f>COUNTIF(tbl_raw[Product_Name],A212)</f>
        <v>1</v>
      </c>
      <c r="D212" s="2">
        <f>SUMIFS(tbl_raw[Units_Sold],tbl_raw[Product_Name],A212)</f>
        <v>6</v>
      </c>
      <c r="E212" s="3">
        <f>SUMIFS(tbl_raw[Net_Profit],tbl_raw[Product_Name],A212)</f>
        <v>-588</v>
      </c>
      <c r="F212" s="2">
        <f>SUMIFS(tbl_raw[Return_Flag],tbl_raw[Product_Name],A212)</f>
        <v>1</v>
      </c>
      <c r="G212" s="3" cm="1">
        <f t="array" ref="G212">SUMPRODUCT((tbl_raw[Product_Name]=A212)*(tbl_raw[MRP]-tbl_raw[Selling_Price])*tbl_raw[Units_Sold])</f>
        <v>6732</v>
      </c>
      <c r="H212" s="83">
        <f>AVERAGEIFS(tbl_raw[Discount_Pct],tbl_raw[Product_Name],A212)</f>
        <v>0.28999999999999998</v>
      </c>
    </row>
    <row r="213" spans="1:8" hidden="1" x14ac:dyDescent="0.25">
      <c r="A213" s="2" t="str">
        <v>Children - Model 441</v>
      </c>
      <c r="B213" s="2" t="str">
        <f>_xlfn.XLOOKUP(A213,tbl_raw[Product_Name],tbl_raw[Category])</f>
        <v>Books</v>
      </c>
      <c r="C213" s="2">
        <f>COUNTIF(tbl_raw[Product_Name],A213)</f>
        <v>1</v>
      </c>
      <c r="D213" s="2">
        <f>SUMIFS(tbl_raw[Units_Sold],tbl_raw[Product_Name],A213)</f>
        <v>4</v>
      </c>
      <c r="E213" s="3">
        <f>SUMIFS(tbl_raw[Net_Profit],tbl_raw[Product_Name],A213)</f>
        <v>5416</v>
      </c>
      <c r="F213" s="2">
        <f>SUMIFS(tbl_raw[Return_Flag],tbl_raw[Product_Name],A213)</f>
        <v>0</v>
      </c>
      <c r="G213" s="3" cm="1">
        <f t="array" ref="G213">SUMPRODUCT((tbl_raw[Product_Name]=A213)*(tbl_raw[MRP]-tbl_raw[Selling_Price])*tbl_raw[Units_Sold])</f>
        <v>4136</v>
      </c>
      <c r="H213" s="83">
        <f>AVERAGEIFS(tbl_raw[Discount_Pct],tbl_raw[Product_Name],A213)</f>
        <v>0.15</v>
      </c>
    </row>
    <row r="214" spans="1:8" hidden="1" x14ac:dyDescent="0.25">
      <c r="A214" s="2" t="str">
        <v>Textbook - Model 431</v>
      </c>
      <c r="B214" s="2" t="str">
        <f>_xlfn.XLOOKUP(A214,tbl_raw[Product_Name],tbl_raw[Category])</f>
        <v>Books</v>
      </c>
      <c r="C214" s="2">
        <f>COUNTIF(tbl_raw[Product_Name],A214)</f>
        <v>1</v>
      </c>
      <c r="D214" s="2">
        <f>SUMIFS(tbl_raw[Units_Sold],tbl_raw[Product_Name],A214)</f>
        <v>13</v>
      </c>
      <c r="E214" s="3">
        <f>SUMIFS(tbl_raw[Net_Profit],tbl_raw[Product_Name],A214)</f>
        <v>18655</v>
      </c>
      <c r="F214" s="2">
        <f>SUMIFS(tbl_raw[Return_Flag],tbl_raw[Product_Name],A214)</f>
        <v>0</v>
      </c>
      <c r="G214" s="3" cm="1">
        <f t="array" ref="G214">SUMPRODUCT((tbl_raw[Product_Name]=A214)*(tbl_raw[MRP]-tbl_raw[Selling_Price])*tbl_raw[Units_Sold])</f>
        <v>33410</v>
      </c>
      <c r="H214" s="83">
        <f>AVERAGEIFS(tbl_raw[Discount_Pct],tbl_raw[Product_Name],A214)</f>
        <v>0.37</v>
      </c>
    </row>
    <row r="215" spans="1:8" hidden="1" x14ac:dyDescent="0.25">
      <c r="A215" s="2" t="str">
        <v>Pulses - Model 878</v>
      </c>
      <c r="B215" s="2" t="str">
        <f>_xlfn.XLOOKUP(A215,tbl_raw[Product_Name],tbl_raw[Category])</f>
        <v>Grocery</v>
      </c>
      <c r="C215" s="2">
        <f>COUNTIF(tbl_raw[Product_Name],A215)</f>
        <v>1</v>
      </c>
      <c r="D215" s="2">
        <f>SUMIFS(tbl_raw[Units_Sold],tbl_raw[Product_Name],A215)</f>
        <v>7</v>
      </c>
      <c r="E215" s="3">
        <f>SUMIFS(tbl_raw[Net_Profit],tbl_raw[Product_Name],A215)</f>
        <v>5887</v>
      </c>
      <c r="F215" s="2">
        <f>SUMIFS(tbl_raw[Return_Flag],tbl_raw[Product_Name],A215)</f>
        <v>0</v>
      </c>
      <c r="G215" s="3" cm="1">
        <f t="array" ref="G215">SUMPRODUCT((tbl_raw[Product_Name]=A215)*(tbl_raw[MRP]-tbl_raw[Selling_Price])*tbl_raw[Units_Sold])</f>
        <v>959</v>
      </c>
      <c r="H215" s="83">
        <f>AVERAGEIFS(tbl_raw[Discount_Pct],tbl_raw[Product_Name],A215)</f>
        <v>0.06</v>
      </c>
    </row>
    <row r="216" spans="1:8" hidden="1" x14ac:dyDescent="0.25">
      <c r="A216" s="2" t="str">
        <v>Serum - Model 418</v>
      </c>
      <c r="B216" s="2" t="str">
        <f>_xlfn.XLOOKUP(A216,tbl_raw[Product_Name],tbl_raw[Category])</f>
        <v>Beauty</v>
      </c>
      <c r="C216" s="2">
        <f>COUNTIF(tbl_raw[Product_Name],A216)</f>
        <v>1</v>
      </c>
      <c r="D216" s="2">
        <f>SUMIFS(tbl_raw[Units_Sold],tbl_raw[Product_Name],A216)</f>
        <v>1</v>
      </c>
      <c r="E216" s="3">
        <f>SUMIFS(tbl_raw[Net_Profit],tbl_raw[Product_Name],A216)</f>
        <v>792</v>
      </c>
      <c r="F216" s="2">
        <f>SUMIFS(tbl_raw[Return_Flag],tbl_raw[Product_Name],A216)</f>
        <v>0</v>
      </c>
      <c r="G216" s="3" cm="1">
        <f t="array" ref="G216">SUMPRODUCT((tbl_raw[Product_Name]=A216)*(tbl_raw[MRP]-tbl_raw[Selling_Price])*tbl_raw[Units_Sold])</f>
        <v>180</v>
      </c>
      <c r="H216" s="83">
        <f>AVERAGEIFS(tbl_raw[Discount_Pct],tbl_raw[Product_Name],A216)</f>
        <v>0.04</v>
      </c>
    </row>
    <row r="217" spans="1:8" hidden="1" x14ac:dyDescent="0.25">
      <c r="A217" s="2" t="str">
        <v>Cycle - Model 822</v>
      </c>
      <c r="B217" s="2" t="str">
        <f>_xlfn.XLOOKUP(A217,tbl_raw[Product_Name],tbl_raw[Category])</f>
        <v>Sports</v>
      </c>
      <c r="C217" s="2">
        <f>COUNTIF(tbl_raw[Product_Name],A217)</f>
        <v>1</v>
      </c>
      <c r="D217" s="2">
        <f>SUMIFS(tbl_raw[Units_Sold],tbl_raw[Product_Name],A217)</f>
        <v>14</v>
      </c>
      <c r="E217" s="3">
        <f>SUMIFS(tbl_raw[Net_Profit],tbl_raw[Product_Name],A217)</f>
        <v>5432</v>
      </c>
      <c r="F217" s="2">
        <f>SUMIFS(tbl_raw[Return_Flag],tbl_raw[Product_Name],A217)</f>
        <v>0</v>
      </c>
      <c r="G217" s="3" cm="1">
        <f t="array" ref="G217">SUMPRODUCT((tbl_raw[Product_Name]=A217)*(tbl_raw[MRP]-tbl_raw[Selling_Price])*tbl_raw[Units_Sold])</f>
        <v>41342</v>
      </c>
      <c r="H217" s="83">
        <f>AVERAGEIFS(tbl_raw[Discount_Pct],tbl_raw[Product_Name],A217)</f>
        <v>0.44</v>
      </c>
    </row>
    <row r="218" spans="1:8" hidden="1" x14ac:dyDescent="0.25">
      <c r="A218" s="2" t="str">
        <v>Saree - Model 891</v>
      </c>
      <c r="B218" s="2" t="str">
        <f>_xlfn.XLOOKUP(A218,tbl_raw[Product_Name],tbl_raw[Category])</f>
        <v>Fashion</v>
      </c>
      <c r="C218" s="2">
        <f>COUNTIF(tbl_raw[Product_Name],A218)</f>
        <v>1</v>
      </c>
      <c r="D218" s="2">
        <f>SUMIFS(tbl_raw[Units_Sold],tbl_raw[Product_Name],A218)</f>
        <v>11</v>
      </c>
      <c r="E218" s="3">
        <f>SUMIFS(tbl_raw[Net_Profit],tbl_raw[Product_Name],A218)</f>
        <v>6028</v>
      </c>
      <c r="F218" s="2">
        <f>SUMIFS(tbl_raw[Return_Flag],tbl_raw[Product_Name],A218)</f>
        <v>0</v>
      </c>
      <c r="G218" s="3" cm="1">
        <f t="array" ref="G218">SUMPRODUCT((tbl_raw[Product_Name]=A218)*(tbl_raw[MRP]-tbl_raw[Selling_Price])*tbl_raw[Units_Sold])</f>
        <v>18942</v>
      </c>
      <c r="H218" s="83">
        <f>AVERAGEIFS(tbl_raw[Discount_Pct],tbl_raw[Product_Name],A218)</f>
        <v>0.23</v>
      </c>
    </row>
    <row r="219" spans="1:8" hidden="1" x14ac:dyDescent="0.25">
      <c r="A219" s="2" t="str">
        <v>Curtain - Model 651</v>
      </c>
      <c r="B219" s="2" t="str">
        <f>_xlfn.XLOOKUP(A219,tbl_raw[Product_Name],tbl_raw[Category])</f>
        <v>Home &amp; Kitchen</v>
      </c>
      <c r="C219" s="2">
        <f>COUNTIF(tbl_raw[Product_Name],A219)</f>
        <v>1</v>
      </c>
      <c r="D219" s="2">
        <f>SUMIFS(tbl_raw[Units_Sold],tbl_raw[Product_Name],A219)</f>
        <v>12</v>
      </c>
      <c r="E219" s="3">
        <f>SUMIFS(tbl_raw[Net_Profit],tbl_raw[Product_Name],A219)</f>
        <v>2244</v>
      </c>
      <c r="F219" s="2">
        <f>SUMIFS(tbl_raw[Return_Flag],tbl_raw[Product_Name],A219)</f>
        <v>0</v>
      </c>
      <c r="G219" s="3" cm="1">
        <f t="array" ref="G219">SUMPRODUCT((tbl_raw[Product_Name]=A219)*(tbl_raw[MRP]-tbl_raw[Selling_Price])*tbl_raw[Units_Sold])</f>
        <v>11400</v>
      </c>
      <c r="H219" s="83">
        <f>AVERAGEIFS(tbl_raw[Discount_Pct],tbl_raw[Product_Name],A219)</f>
        <v>0.34</v>
      </c>
    </row>
    <row r="220" spans="1:8" hidden="1" x14ac:dyDescent="0.25">
      <c r="A220" s="2" t="str">
        <v>Action Figure - Model 425</v>
      </c>
      <c r="B220" s="2" t="str">
        <f>_xlfn.XLOOKUP(A220,tbl_raw[Product_Name],tbl_raw[Category])</f>
        <v>Toys</v>
      </c>
      <c r="C220" s="2">
        <f>COUNTIF(tbl_raw[Product_Name],A220)</f>
        <v>1</v>
      </c>
      <c r="D220" s="2">
        <f>SUMIFS(tbl_raw[Units_Sold],tbl_raw[Product_Name],A220)</f>
        <v>13</v>
      </c>
      <c r="E220" s="3">
        <f>SUMIFS(tbl_raw[Net_Profit],tbl_raw[Product_Name],A220)</f>
        <v>-1768</v>
      </c>
      <c r="F220" s="2">
        <f>SUMIFS(tbl_raw[Return_Flag],tbl_raw[Product_Name],A220)</f>
        <v>0</v>
      </c>
      <c r="G220" s="3" cm="1">
        <f t="array" ref="G220">SUMPRODUCT((tbl_raw[Product_Name]=A220)*(tbl_raw[MRP]-tbl_raw[Selling_Price])*tbl_raw[Units_Sold])</f>
        <v>12519</v>
      </c>
      <c r="H220" s="83">
        <f>AVERAGEIFS(tbl_raw[Discount_Pct],tbl_raw[Product_Name],A220)</f>
        <v>0.3</v>
      </c>
    </row>
    <row r="221" spans="1:8" hidden="1" x14ac:dyDescent="0.25">
      <c r="A221" s="2" t="str">
        <v>Shoes - Model 202</v>
      </c>
      <c r="B221" s="2" t="str">
        <f>_xlfn.XLOOKUP(A221,tbl_raw[Product_Name],tbl_raw[Category])</f>
        <v>Fashion</v>
      </c>
      <c r="C221" s="2">
        <f>COUNTIF(tbl_raw[Product_Name],A221)</f>
        <v>1</v>
      </c>
      <c r="D221" s="2">
        <f>SUMIFS(tbl_raw[Units_Sold],tbl_raw[Product_Name],A221)</f>
        <v>15</v>
      </c>
      <c r="E221" s="3">
        <f>SUMIFS(tbl_raw[Net_Profit],tbl_raw[Product_Name],A221)</f>
        <v>-1500</v>
      </c>
      <c r="F221" s="2">
        <f>SUMIFS(tbl_raw[Return_Flag],tbl_raw[Product_Name],A221)</f>
        <v>0</v>
      </c>
      <c r="G221" s="3" cm="1">
        <f t="array" ref="G221">SUMPRODUCT((tbl_raw[Product_Name]=A221)*(tbl_raw[MRP]-tbl_raw[Selling_Price])*tbl_raw[Units_Sold])</f>
        <v>285</v>
      </c>
      <c r="H221" s="83">
        <f>AVERAGEIFS(tbl_raw[Discount_Pct],tbl_raw[Product_Name],A221)</f>
        <v>0.06</v>
      </c>
    </row>
    <row r="222" spans="1:8" hidden="1" x14ac:dyDescent="0.25">
      <c r="A222" s="2" t="str">
        <v>Action Figure - Model 972</v>
      </c>
      <c r="B222" s="2" t="str">
        <f>_xlfn.XLOOKUP(A222,tbl_raw[Product_Name],tbl_raw[Category])</f>
        <v>Toys</v>
      </c>
      <c r="C222" s="2">
        <f>COUNTIF(tbl_raw[Product_Name],A222)</f>
        <v>1</v>
      </c>
      <c r="D222" s="2">
        <f>SUMIFS(tbl_raw[Units_Sold],tbl_raw[Product_Name],A222)</f>
        <v>18</v>
      </c>
      <c r="E222" s="3">
        <f>SUMIFS(tbl_raw[Net_Profit],tbl_raw[Product_Name],A222)</f>
        <v>9270</v>
      </c>
      <c r="F222" s="2">
        <f>SUMIFS(tbl_raw[Return_Flag],tbl_raw[Product_Name],A222)</f>
        <v>0</v>
      </c>
      <c r="G222" s="3" cm="1">
        <f t="array" ref="G222">SUMPRODUCT((tbl_raw[Product_Name]=A222)*(tbl_raw[MRP]-tbl_raw[Selling_Price])*tbl_raw[Units_Sold])</f>
        <v>7974</v>
      </c>
      <c r="H222" s="83">
        <f>AVERAGEIFS(tbl_raw[Discount_Pct],tbl_raw[Product_Name],A222)</f>
        <v>0.14000000000000001</v>
      </c>
    </row>
    <row r="223" spans="1:8" hidden="1" x14ac:dyDescent="0.25">
      <c r="A223" s="2" t="str">
        <v>Cricket Bat - Model 864</v>
      </c>
      <c r="B223" s="2" t="str">
        <f>_xlfn.XLOOKUP(A223,tbl_raw[Product_Name],tbl_raw[Category])</f>
        <v>Sports</v>
      </c>
      <c r="C223" s="2">
        <f>COUNTIF(tbl_raw[Product_Name],A223)</f>
        <v>1</v>
      </c>
      <c r="D223" s="2">
        <f>SUMIFS(tbl_raw[Units_Sold],tbl_raw[Product_Name],A223)</f>
        <v>14</v>
      </c>
      <c r="E223" s="3">
        <f>SUMIFS(tbl_raw[Net_Profit],tbl_raw[Product_Name],A223)</f>
        <v>854</v>
      </c>
      <c r="F223" s="2">
        <f>SUMIFS(tbl_raw[Return_Flag],tbl_raw[Product_Name],A223)</f>
        <v>0</v>
      </c>
      <c r="G223" s="3" cm="1">
        <f t="array" ref="G223">SUMPRODUCT((tbl_raw[Product_Name]=A223)*(tbl_raw[MRP]-tbl_raw[Selling_Price])*tbl_raw[Units_Sold])</f>
        <v>37282</v>
      </c>
      <c r="H223" s="83">
        <f>AVERAGEIFS(tbl_raw[Discount_Pct],tbl_raw[Product_Name],A223)</f>
        <v>0.34</v>
      </c>
    </row>
    <row r="224" spans="1:8" hidden="1" x14ac:dyDescent="0.25">
      <c r="A224" s="2" t="str">
        <v>Headphones - Model 467</v>
      </c>
      <c r="B224" s="2" t="str">
        <f>_xlfn.XLOOKUP(A224,tbl_raw[Product_Name],tbl_raw[Category])</f>
        <v>Electronics</v>
      </c>
      <c r="C224" s="2">
        <f>COUNTIF(tbl_raw[Product_Name],A224)</f>
        <v>1</v>
      </c>
      <c r="D224" s="2">
        <f>SUMIFS(tbl_raw[Units_Sold],tbl_raw[Product_Name],A224)</f>
        <v>14</v>
      </c>
      <c r="E224" s="3">
        <f>SUMIFS(tbl_raw[Net_Profit],tbl_raw[Product_Name],A224)</f>
        <v>952</v>
      </c>
      <c r="F224" s="2">
        <f>SUMIFS(tbl_raw[Return_Flag],tbl_raw[Product_Name],A224)</f>
        <v>1</v>
      </c>
      <c r="G224" s="3" cm="1">
        <f t="array" ref="G224">SUMPRODUCT((tbl_raw[Product_Name]=A224)*(tbl_raw[MRP]-tbl_raw[Selling_Price])*tbl_raw[Units_Sold])</f>
        <v>4480</v>
      </c>
      <c r="H224" s="83">
        <f>AVERAGEIFS(tbl_raw[Discount_Pct],tbl_raw[Product_Name],A224)</f>
        <v>0.24</v>
      </c>
    </row>
    <row r="225" spans="1:8" hidden="1" x14ac:dyDescent="0.25">
      <c r="A225" s="2" t="str">
        <v>Perfume - Model 697</v>
      </c>
      <c r="B225" s="2" t="str">
        <f>_xlfn.XLOOKUP(A225,tbl_raw[Product_Name],tbl_raw[Category])</f>
        <v>Beauty</v>
      </c>
      <c r="C225" s="2">
        <f>COUNTIF(tbl_raw[Product_Name],A225)</f>
        <v>1</v>
      </c>
      <c r="D225" s="2">
        <f>SUMIFS(tbl_raw[Units_Sold],tbl_raw[Product_Name],A225)</f>
        <v>8</v>
      </c>
      <c r="E225" s="3">
        <f>SUMIFS(tbl_raw[Net_Profit],tbl_raw[Product_Name],A225)</f>
        <v>11920</v>
      </c>
      <c r="F225" s="2">
        <f>SUMIFS(tbl_raw[Return_Flag],tbl_raw[Product_Name],A225)</f>
        <v>0</v>
      </c>
      <c r="G225" s="3" cm="1">
        <f t="array" ref="G225">SUMPRODUCT((tbl_raw[Product_Name]=A225)*(tbl_raw[MRP]-tbl_raw[Selling_Price])*tbl_raw[Units_Sold])</f>
        <v>3344</v>
      </c>
      <c r="H225" s="83">
        <f>AVERAGEIFS(tbl_raw[Discount_Pct],tbl_raw[Product_Name],A225)</f>
        <v>0.11</v>
      </c>
    </row>
    <row r="226" spans="1:8" hidden="1" x14ac:dyDescent="0.25">
      <c r="A226" s="2" t="str">
        <v>Rice - Model 701</v>
      </c>
      <c r="B226" s="2" t="str">
        <f>_xlfn.XLOOKUP(A226,tbl_raw[Product_Name],tbl_raw[Category])</f>
        <v>Grocery</v>
      </c>
      <c r="C226" s="2">
        <f>COUNTIF(tbl_raw[Product_Name],A226)</f>
        <v>1</v>
      </c>
      <c r="D226" s="2">
        <f>SUMIFS(tbl_raw[Units_Sold],tbl_raw[Product_Name],A226)</f>
        <v>14</v>
      </c>
      <c r="E226" s="3">
        <f>SUMIFS(tbl_raw[Net_Profit],tbl_raw[Product_Name],A226)</f>
        <v>19698</v>
      </c>
      <c r="F226" s="2">
        <f>SUMIFS(tbl_raw[Return_Flag],tbl_raw[Product_Name],A226)</f>
        <v>0</v>
      </c>
      <c r="G226" s="3" cm="1">
        <f t="array" ref="G226">SUMPRODUCT((tbl_raw[Product_Name]=A226)*(tbl_raw[MRP]-tbl_raw[Selling_Price])*tbl_raw[Units_Sold])</f>
        <v>16422</v>
      </c>
      <c r="H226" s="83">
        <f>AVERAGEIFS(tbl_raw[Discount_Pct],tbl_raw[Product_Name],A226)</f>
        <v>0.21</v>
      </c>
    </row>
    <row r="227" spans="1:8" hidden="1" x14ac:dyDescent="0.25">
      <c r="A227" s="2" t="str">
        <v>Yoga Mat - Model 122</v>
      </c>
      <c r="B227" s="2" t="str">
        <f>_xlfn.XLOOKUP(A227,tbl_raw[Product_Name],tbl_raw[Category])</f>
        <v>Sports</v>
      </c>
      <c r="C227" s="2">
        <f>COUNTIF(tbl_raw[Product_Name],A227)</f>
        <v>1</v>
      </c>
      <c r="D227" s="2">
        <f>SUMIFS(tbl_raw[Units_Sold],tbl_raw[Product_Name],A227)</f>
        <v>9</v>
      </c>
      <c r="E227" s="3">
        <f>SUMIFS(tbl_raw[Net_Profit],tbl_raw[Product_Name],A227)</f>
        <v>-1737</v>
      </c>
      <c r="F227" s="2">
        <f>SUMIFS(tbl_raw[Return_Flag],tbl_raw[Product_Name],A227)</f>
        <v>0</v>
      </c>
      <c r="G227" s="3" cm="1">
        <f t="array" ref="G227">SUMPRODUCT((tbl_raw[Product_Name]=A227)*(tbl_raw[MRP]-tbl_raw[Selling_Price])*tbl_raw[Units_Sold])</f>
        <v>927</v>
      </c>
      <c r="H227" s="83">
        <f>AVERAGEIFS(tbl_raw[Discount_Pct],tbl_raw[Product_Name],A227)</f>
        <v>0.39</v>
      </c>
    </row>
    <row r="228" spans="1:8" hidden="1" x14ac:dyDescent="0.25">
      <c r="A228" s="2" t="str">
        <v>Sunscreen - Model 921</v>
      </c>
      <c r="B228" s="2" t="str">
        <f>_xlfn.XLOOKUP(A228,tbl_raw[Product_Name],tbl_raw[Category])</f>
        <v>Beauty</v>
      </c>
      <c r="C228" s="2">
        <f>COUNTIF(tbl_raw[Product_Name],A228)</f>
        <v>1</v>
      </c>
      <c r="D228" s="2">
        <f>SUMIFS(tbl_raw[Units_Sold],tbl_raw[Product_Name],A228)</f>
        <v>8</v>
      </c>
      <c r="E228" s="3">
        <f>SUMIFS(tbl_raw[Net_Profit],tbl_raw[Product_Name],A228)</f>
        <v>2320</v>
      </c>
      <c r="F228" s="2">
        <f>SUMIFS(tbl_raw[Return_Flag],tbl_raw[Product_Name],A228)</f>
        <v>0</v>
      </c>
      <c r="G228" s="3" cm="1">
        <f t="array" ref="G228">SUMPRODUCT((tbl_raw[Product_Name]=A228)*(tbl_raw[MRP]-tbl_raw[Selling_Price])*tbl_raw[Units_Sold])</f>
        <v>11568</v>
      </c>
      <c r="H228" s="83">
        <f>AVERAGEIFS(tbl_raw[Discount_Pct],tbl_raw[Product_Name],A228)</f>
        <v>0.28000000000000003</v>
      </c>
    </row>
    <row r="229" spans="1:8" hidden="1" x14ac:dyDescent="0.25">
      <c r="A229" s="2" t="str">
        <v>Dumbbells - Model 134</v>
      </c>
      <c r="B229" s="2" t="str">
        <f>_xlfn.XLOOKUP(A229,tbl_raw[Product_Name],tbl_raw[Category])</f>
        <v>Sports</v>
      </c>
      <c r="C229" s="2">
        <f>COUNTIF(tbl_raw[Product_Name],A229)</f>
        <v>1</v>
      </c>
      <c r="D229" s="2">
        <f>SUMIFS(tbl_raw[Units_Sold],tbl_raw[Product_Name],A229)</f>
        <v>12</v>
      </c>
      <c r="E229" s="3">
        <f>SUMIFS(tbl_raw[Net_Profit],tbl_raw[Product_Name],A229)</f>
        <v>30708</v>
      </c>
      <c r="F229" s="2">
        <f>SUMIFS(tbl_raw[Return_Flag],tbl_raw[Product_Name],A229)</f>
        <v>0</v>
      </c>
      <c r="G229" s="3" cm="1">
        <f t="array" ref="G229">SUMPRODUCT((tbl_raw[Product_Name]=A229)*(tbl_raw[MRP]-tbl_raw[Selling_Price])*tbl_raw[Units_Sold])</f>
        <v>2832</v>
      </c>
      <c r="H229" s="83">
        <f>AVERAGEIFS(tbl_raw[Discount_Pct],tbl_raw[Product_Name],A229)</f>
        <v>0.04</v>
      </c>
    </row>
    <row r="230" spans="1:8" hidden="1" x14ac:dyDescent="0.25">
      <c r="A230" s="2" t="str">
        <v>Cricket Bat - Model 363</v>
      </c>
      <c r="B230" s="2" t="str">
        <f>_xlfn.XLOOKUP(A230,tbl_raw[Product_Name],tbl_raw[Category])</f>
        <v>Sports</v>
      </c>
      <c r="C230" s="2">
        <f>COUNTIF(tbl_raw[Product_Name],A230)</f>
        <v>1</v>
      </c>
      <c r="D230" s="2">
        <f>SUMIFS(tbl_raw[Units_Sold],tbl_raw[Product_Name],A230)</f>
        <v>10</v>
      </c>
      <c r="E230" s="3">
        <f>SUMIFS(tbl_raw[Net_Profit],tbl_raw[Product_Name],A230)</f>
        <v>22940</v>
      </c>
      <c r="F230" s="2">
        <f>SUMIFS(tbl_raw[Return_Flag],tbl_raw[Product_Name],A230)</f>
        <v>0</v>
      </c>
      <c r="G230" s="3" cm="1">
        <f t="array" ref="G230">SUMPRODUCT((tbl_raw[Product_Name]=A230)*(tbl_raw[MRP]-tbl_raw[Selling_Price])*tbl_raw[Units_Sold])</f>
        <v>9030</v>
      </c>
      <c r="H230" s="83">
        <f>AVERAGEIFS(tbl_raw[Discount_Pct],tbl_raw[Product_Name],A230)</f>
        <v>0.15</v>
      </c>
    </row>
    <row r="231" spans="1:8" hidden="1" x14ac:dyDescent="0.25">
      <c r="A231" s="2" t="str">
        <v>Doll - Model 474</v>
      </c>
      <c r="B231" s="2" t="str">
        <f>_xlfn.XLOOKUP(A231,tbl_raw[Product_Name],tbl_raw[Category])</f>
        <v>Toys</v>
      </c>
      <c r="C231" s="2">
        <f>COUNTIF(tbl_raw[Product_Name],A231)</f>
        <v>1</v>
      </c>
      <c r="D231" s="2">
        <f>SUMIFS(tbl_raw[Units_Sold],tbl_raw[Product_Name],A231)</f>
        <v>13</v>
      </c>
      <c r="E231" s="3">
        <f>SUMIFS(tbl_raw[Net_Profit],tbl_raw[Product_Name],A231)</f>
        <v>-897</v>
      </c>
      <c r="F231" s="2">
        <f>SUMIFS(tbl_raw[Return_Flag],tbl_raw[Product_Name],A231)</f>
        <v>1</v>
      </c>
      <c r="G231" s="3" cm="1">
        <f t="array" ref="G231">SUMPRODUCT((tbl_raw[Product_Name]=A231)*(tbl_raw[MRP]-tbl_raw[Selling_Price])*tbl_raw[Units_Sold])</f>
        <v>962</v>
      </c>
      <c r="H231" s="83">
        <f>AVERAGEIFS(tbl_raw[Discount_Pct],tbl_raw[Product_Name],A231)</f>
        <v>0.24</v>
      </c>
    </row>
    <row r="232" spans="1:8" hidden="1" x14ac:dyDescent="0.25">
      <c r="A232" s="2" t="str">
        <v>Perfume - Model 125</v>
      </c>
      <c r="B232" s="2" t="str">
        <f>_xlfn.XLOOKUP(A232,tbl_raw[Product_Name],tbl_raw[Category])</f>
        <v>Beauty</v>
      </c>
      <c r="C232" s="2">
        <f>COUNTIF(tbl_raw[Product_Name],A232)</f>
        <v>1</v>
      </c>
      <c r="D232" s="2">
        <f>SUMIFS(tbl_raw[Units_Sold],tbl_raw[Product_Name],A232)</f>
        <v>18</v>
      </c>
      <c r="E232" s="3">
        <f>SUMIFS(tbl_raw[Net_Profit],tbl_raw[Product_Name],A232)</f>
        <v>2880</v>
      </c>
      <c r="F232" s="2">
        <f>SUMIFS(tbl_raw[Return_Flag],tbl_raw[Product_Name],A232)</f>
        <v>0</v>
      </c>
      <c r="G232" s="3" cm="1">
        <f t="array" ref="G232">SUMPRODUCT((tbl_raw[Product_Name]=A232)*(tbl_raw[MRP]-tbl_raw[Selling_Price])*tbl_raw[Units_Sold])</f>
        <v>13410</v>
      </c>
      <c r="H232" s="83">
        <f>AVERAGEIFS(tbl_raw[Discount_Pct],tbl_raw[Product_Name],A232)</f>
        <v>0.27</v>
      </c>
    </row>
    <row r="233" spans="1:8" hidden="1" x14ac:dyDescent="0.25">
      <c r="A233" s="2" t="str">
        <v>Mixer - Model 138</v>
      </c>
      <c r="B233" s="2" t="str">
        <f>_xlfn.XLOOKUP(A233,tbl_raw[Product_Name],tbl_raw[Category])</f>
        <v>Home &amp; Kitchen</v>
      </c>
      <c r="C233" s="2">
        <f>COUNTIF(tbl_raw[Product_Name],A233)</f>
        <v>1</v>
      </c>
      <c r="D233" s="2">
        <f>SUMIFS(tbl_raw[Units_Sold],tbl_raw[Product_Name],A233)</f>
        <v>16</v>
      </c>
      <c r="E233" s="3">
        <f>SUMIFS(tbl_raw[Net_Profit],tbl_raw[Product_Name],A233)</f>
        <v>3936</v>
      </c>
      <c r="F233" s="2">
        <f>SUMIFS(tbl_raw[Return_Flag],tbl_raw[Product_Name],A233)</f>
        <v>0</v>
      </c>
      <c r="G233" s="3" cm="1">
        <f t="array" ref="G233">SUMPRODUCT((tbl_raw[Product_Name]=A233)*(tbl_raw[MRP]-tbl_raw[Selling_Price])*tbl_raw[Units_Sold])</f>
        <v>1952</v>
      </c>
      <c r="H233" s="83">
        <f>AVERAGEIFS(tbl_raw[Discount_Pct],tbl_raw[Product_Name],A233)</f>
        <v>0.11</v>
      </c>
    </row>
    <row r="234" spans="1:8" hidden="1" x14ac:dyDescent="0.25">
      <c r="A234" s="2" t="str">
        <v>Curtain - Model 770</v>
      </c>
      <c r="B234" s="2" t="str">
        <f>_xlfn.XLOOKUP(A234,tbl_raw[Product_Name],tbl_raw[Category])</f>
        <v>Home &amp; Kitchen</v>
      </c>
      <c r="C234" s="2">
        <f>COUNTIF(tbl_raw[Product_Name],A234)</f>
        <v>1</v>
      </c>
      <c r="D234" s="2">
        <f>SUMIFS(tbl_raw[Units_Sold],tbl_raw[Product_Name],A234)</f>
        <v>16</v>
      </c>
      <c r="E234" s="3">
        <f>SUMIFS(tbl_raw[Net_Profit],tbl_raw[Product_Name],A234)</f>
        <v>4416</v>
      </c>
      <c r="F234" s="2">
        <f>SUMIFS(tbl_raw[Return_Flag],tbl_raw[Product_Name],A234)</f>
        <v>0</v>
      </c>
      <c r="G234" s="3" cm="1">
        <f t="array" ref="G234">SUMPRODUCT((tbl_raw[Product_Name]=A234)*(tbl_raw[MRP]-tbl_raw[Selling_Price])*tbl_raw[Units_Sold])</f>
        <v>33616</v>
      </c>
      <c r="H234" s="83">
        <f>AVERAGEIFS(tbl_raw[Discount_Pct],tbl_raw[Product_Name],A234)</f>
        <v>0.42</v>
      </c>
    </row>
    <row r="235" spans="1:8" hidden="1" x14ac:dyDescent="0.25">
      <c r="A235" s="2" t="str">
        <v>Comic - Model 760</v>
      </c>
      <c r="B235" s="2" t="str">
        <f>_xlfn.XLOOKUP(A235,tbl_raw[Product_Name],tbl_raw[Category])</f>
        <v>Books</v>
      </c>
      <c r="C235" s="2">
        <f>COUNTIF(tbl_raw[Product_Name],A235)</f>
        <v>1</v>
      </c>
      <c r="D235" s="2">
        <f>SUMIFS(tbl_raw[Units_Sold],tbl_raw[Product_Name],A235)</f>
        <v>2</v>
      </c>
      <c r="E235" s="3">
        <f>SUMIFS(tbl_raw[Net_Profit],tbl_raw[Product_Name],A235)</f>
        <v>2776</v>
      </c>
      <c r="F235" s="2">
        <f>SUMIFS(tbl_raw[Return_Flag],tbl_raw[Product_Name],A235)</f>
        <v>0</v>
      </c>
      <c r="G235" s="3" cm="1">
        <f t="array" ref="G235">SUMPRODUCT((tbl_raw[Product_Name]=A235)*(tbl_raw[MRP]-tbl_raw[Selling_Price])*tbl_raw[Units_Sold])</f>
        <v>594</v>
      </c>
      <c r="H235" s="83">
        <f>AVERAGEIFS(tbl_raw[Discount_Pct],tbl_raw[Product_Name],A235)</f>
        <v>0.09</v>
      </c>
    </row>
    <row r="236" spans="1:8" hidden="1" x14ac:dyDescent="0.25">
      <c r="A236" s="2" t="str">
        <v>Mobile - Model 905</v>
      </c>
      <c r="B236" s="2" t="str">
        <f>_xlfn.XLOOKUP(A236,tbl_raw[Product_Name],tbl_raw[Category])</f>
        <v>Electronics</v>
      </c>
      <c r="C236" s="2">
        <f>COUNTIF(tbl_raw[Product_Name],A236)</f>
        <v>1</v>
      </c>
      <c r="D236" s="2">
        <f>SUMIFS(tbl_raw[Units_Sold],tbl_raw[Product_Name],A236)</f>
        <v>8</v>
      </c>
      <c r="E236" s="3">
        <f>SUMIFS(tbl_raw[Net_Profit],tbl_raw[Product_Name],A236)</f>
        <v>10040</v>
      </c>
      <c r="F236" s="2">
        <f>SUMIFS(tbl_raw[Return_Flag],tbl_raw[Product_Name],A236)</f>
        <v>0</v>
      </c>
      <c r="G236" s="3" cm="1">
        <f t="array" ref="G236">SUMPRODUCT((tbl_raw[Product_Name]=A236)*(tbl_raw[MRP]-tbl_raw[Selling_Price])*tbl_raw[Units_Sold])</f>
        <v>22160</v>
      </c>
      <c r="H236" s="83">
        <f>AVERAGEIFS(tbl_raw[Discount_Pct],tbl_raw[Product_Name],A236)</f>
        <v>0.35</v>
      </c>
    </row>
    <row r="237" spans="1:8" hidden="1" x14ac:dyDescent="0.25">
      <c r="A237" s="2" t="str">
        <v>Lamp - Model 102</v>
      </c>
      <c r="B237" s="2" t="str">
        <f>_xlfn.XLOOKUP(A237,tbl_raw[Product_Name],tbl_raw[Category])</f>
        <v>Home &amp; Kitchen</v>
      </c>
      <c r="C237" s="2">
        <f>COUNTIF(tbl_raw[Product_Name],A237)</f>
        <v>1</v>
      </c>
      <c r="D237" s="2">
        <f>SUMIFS(tbl_raw[Units_Sold],tbl_raw[Product_Name],A237)</f>
        <v>5</v>
      </c>
      <c r="E237" s="3">
        <f>SUMIFS(tbl_raw[Net_Profit],tbl_raw[Product_Name],A237)</f>
        <v>2950</v>
      </c>
      <c r="F237" s="2">
        <f>SUMIFS(tbl_raw[Return_Flag],tbl_raw[Product_Name],A237)</f>
        <v>0</v>
      </c>
      <c r="G237" s="3" cm="1">
        <f t="array" ref="G237">SUMPRODUCT((tbl_raw[Product_Name]=A237)*(tbl_raw[MRP]-tbl_raw[Selling_Price])*tbl_raw[Units_Sold])</f>
        <v>9485</v>
      </c>
      <c r="H237" s="83">
        <f>AVERAGEIFS(tbl_raw[Discount_Pct],tbl_raw[Product_Name],A237)</f>
        <v>0.24</v>
      </c>
    </row>
    <row r="238" spans="1:8" hidden="1" x14ac:dyDescent="0.25">
      <c r="A238" s="2" t="str">
        <v>Fiction - Model 278</v>
      </c>
      <c r="B238" s="2" t="str">
        <f>_xlfn.XLOOKUP(A238,tbl_raw[Product_Name],tbl_raw[Category])</f>
        <v>Books</v>
      </c>
      <c r="C238" s="2">
        <f>COUNTIF(tbl_raw[Product_Name],A238)</f>
        <v>1</v>
      </c>
      <c r="D238" s="2">
        <f>SUMIFS(tbl_raw[Units_Sold],tbl_raw[Product_Name],A238)</f>
        <v>2</v>
      </c>
      <c r="E238" s="3">
        <f>SUMIFS(tbl_raw[Net_Profit],tbl_raw[Product_Name],A238)</f>
        <v>800</v>
      </c>
      <c r="F238" s="2">
        <f>SUMIFS(tbl_raw[Return_Flag],tbl_raw[Product_Name],A238)</f>
        <v>0</v>
      </c>
      <c r="G238" s="3" cm="1">
        <f t="array" ref="G238">SUMPRODUCT((tbl_raw[Product_Name]=A238)*(tbl_raw[MRP]-tbl_raw[Selling_Price])*tbl_raw[Units_Sold])</f>
        <v>452</v>
      </c>
      <c r="H238" s="83">
        <f>AVERAGEIFS(tbl_raw[Discount_Pct],tbl_raw[Product_Name],A238)</f>
        <v>0.19</v>
      </c>
    </row>
    <row r="239" spans="1:8" hidden="1" x14ac:dyDescent="0.25">
      <c r="A239" s="2" t="str">
        <v>Sunscreen - Model 144</v>
      </c>
      <c r="B239" s="2" t="str">
        <f>_xlfn.XLOOKUP(A239,tbl_raw[Product_Name],tbl_raw[Category])</f>
        <v>Beauty</v>
      </c>
      <c r="C239" s="2">
        <f>COUNTIF(tbl_raw[Product_Name],A239)</f>
        <v>1</v>
      </c>
      <c r="D239" s="2">
        <f>SUMIFS(tbl_raw[Units_Sold],tbl_raw[Product_Name],A239)</f>
        <v>10</v>
      </c>
      <c r="E239" s="3">
        <f>SUMIFS(tbl_raw[Net_Profit],tbl_raw[Product_Name],A239)</f>
        <v>4590</v>
      </c>
      <c r="F239" s="2">
        <f>SUMIFS(tbl_raw[Return_Flag],tbl_raw[Product_Name],A239)</f>
        <v>0</v>
      </c>
      <c r="G239" s="3" cm="1">
        <f t="array" ref="G239">SUMPRODUCT((tbl_raw[Product_Name]=A239)*(tbl_raw[MRP]-tbl_raw[Selling_Price])*tbl_raw[Units_Sold])</f>
        <v>16220</v>
      </c>
      <c r="H239" s="83">
        <f>AVERAGEIFS(tbl_raw[Discount_Pct],tbl_raw[Product_Name],A239)</f>
        <v>0.43</v>
      </c>
    </row>
    <row r="240" spans="1:8" hidden="1" x14ac:dyDescent="0.25">
      <c r="A240" s="2" t="str">
        <v>Kurta - Model 429</v>
      </c>
      <c r="B240" s="2" t="str">
        <f>_xlfn.XLOOKUP(A240,tbl_raw[Product_Name],tbl_raw[Category])</f>
        <v>Fashion</v>
      </c>
      <c r="C240" s="2">
        <f>COUNTIF(tbl_raw[Product_Name],A240)</f>
        <v>1</v>
      </c>
      <c r="D240" s="2">
        <f>SUMIFS(tbl_raw[Units_Sold],tbl_raw[Product_Name],A240)</f>
        <v>5</v>
      </c>
      <c r="E240" s="3">
        <f>SUMIFS(tbl_raw[Net_Profit],tbl_raw[Product_Name],A240)</f>
        <v>360</v>
      </c>
      <c r="F240" s="2">
        <f>SUMIFS(tbl_raw[Return_Flag],tbl_raw[Product_Name],A240)</f>
        <v>0</v>
      </c>
      <c r="G240" s="3" cm="1">
        <f t="array" ref="G240">SUMPRODUCT((tbl_raw[Product_Name]=A240)*(tbl_raw[MRP]-tbl_raw[Selling_Price])*tbl_raw[Units_Sold])</f>
        <v>425</v>
      </c>
      <c r="H240" s="83">
        <f>AVERAGEIFS(tbl_raw[Discount_Pct],tbl_raw[Product_Name],A240)</f>
        <v>0.12</v>
      </c>
    </row>
    <row r="241" spans="1:8" hidden="1" x14ac:dyDescent="0.25">
      <c r="A241" s="2" t="str">
        <v>Action Figure - Model 912</v>
      </c>
      <c r="B241" s="2" t="str">
        <f>_xlfn.XLOOKUP(A241,tbl_raw[Product_Name],tbl_raw[Category])</f>
        <v>Toys</v>
      </c>
      <c r="C241" s="2">
        <f>COUNTIF(tbl_raw[Product_Name],A241)</f>
        <v>1</v>
      </c>
      <c r="D241" s="2">
        <f>SUMIFS(tbl_raw[Units_Sold],tbl_raw[Product_Name],A241)</f>
        <v>18</v>
      </c>
      <c r="E241" s="3">
        <f>SUMIFS(tbl_raw[Net_Profit],tbl_raw[Product_Name],A241)</f>
        <v>34704</v>
      </c>
      <c r="F241" s="2">
        <f>SUMIFS(tbl_raw[Return_Flag],tbl_raw[Product_Name],A241)</f>
        <v>0</v>
      </c>
      <c r="G241" s="3" cm="1">
        <f t="array" ref="G241">SUMPRODUCT((tbl_raw[Product_Name]=A241)*(tbl_raw[MRP]-tbl_raw[Selling_Price])*tbl_raw[Units_Sold])</f>
        <v>10476</v>
      </c>
      <c r="H241" s="83">
        <f>AVERAGEIFS(tbl_raw[Discount_Pct],tbl_raw[Product_Name],A241)</f>
        <v>0.1</v>
      </c>
    </row>
    <row r="242" spans="1:8" hidden="1" x14ac:dyDescent="0.25">
      <c r="A242" s="2" t="str">
        <v>Children - Model 420</v>
      </c>
      <c r="B242" s="2" t="str">
        <f>_xlfn.XLOOKUP(A242,tbl_raw[Product_Name],tbl_raw[Category])</f>
        <v>Books</v>
      </c>
      <c r="C242" s="2">
        <f>COUNTIF(tbl_raw[Product_Name],A242)</f>
        <v>1</v>
      </c>
      <c r="D242" s="2">
        <f>SUMIFS(tbl_raw[Units_Sold],tbl_raw[Product_Name],A242)</f>
        <v>12</v>
      </c>
      <c r="E242" s="3">
        <f>SUMIFS(tbl_raw[Net_Profit],tbl_raw[Product_Name],A242)</f>
        <v>10836</v>
      </c>
      <c r="F242" s="2">
        <f>SUMIFS(tbl_raw[Return_Flag],tbl_raw[Product_Name],A242)</f>
        <v>0</v>
      </c>
      <c r="G242" s="3" cm="1">
        <f t="array" ref="G242">SUMPRODUCT((tbl_raw[Product_Name]=A242)*(tbl_raw[MRP]-tbl_raw[Selling_Price])*tbl_raw[Units_Sold])</f>
        <v>28416</v>
      </c>
      <c r="H242" s="83">
        <f>AVERAGEIFS(tbl_raw[Discount_Pct],tbl_raw[Product_Name],A242)</f>
        <v>0.31</v>
      </c>
    </row>
    <row r="243" spans="1:8" hidden="1" x14ac:dyDescent="0.25">
      <c r="A243" s="2" t="str">
        <v>Lamp - Model 161</v>
      </c>
      <c r="B243" s="2" t="str">
        <f>_xlfn.XLOOKUP(A243,tbl_raw[Product_Name],tbl_raw[Category])</f>
        <v>Home &amp; Kitchen</v>
      </c>
      <c r="C243" s="2">
        <f>COUNTIF(tbl_raw[Product_Name],A243)</f>
        <v>1</v>
      </c>
      <c r="D243" s="2">
        <f>SUMIFS(tbl_raw[Units_Sold],tbl_raw[Product_Name],A243)</f>
        <v>18</v>
      </c>
      <c r="E243" s="3">
        <f>SUMIFS(tbl_raw[Net_Profit],tbl_raw[Product_Name],A243)</f>
        <v>9990</v>
      </c>
      <c r="F243" s="2">
        <f>SUMIFS(tbl_raw[Return_Flag],tbl_raw[Product_Name],A243)</f>
        <v>0</v>
      </c>
      <c r="G243" s="3" cm="1">
        <f t="array" ref="G243">SUMPRODUCT((tbl_raw[Product_Name]=A243)*(tbl_raw[MRP]-tbl_raw[Selling_Price])*tbl_raw[Units_Sold])</f>
        <v>24732</v>
      </c>
      <c r="H243" s="83">
        <f>AVERAGEIFS(tbl_raw[Discount_Pct],tbl_raw[Product_Name],A243)</f>
        <v>0.3</v>
      </c>
    </row>
    <row r="244" spans="1:8" hidden="1" x14ac:dyDescent="0.25">
      <c r="A244" s="2" t="str">
        <v>Yoga Mat - Model 206</v>
      </c>
      <c r="B244" s="2" t="str">
        <f>_xlfn.XLOOKUP(A244,tbl_raw[Product_Name],tbl_raw[Category])</f>
        <v>Sports</v>
      </c>
      <c r="C244" s="2">
        <f>COUNTIF(tbl_raw[Product_Name],A244)</f>
        <v>1</v>
      </c>
      <c r="D244" s="2">
        <f>SUMIFS(tbl_raw[Units_Sold],tbl_raw[Product_Name],A244)</f>
        <v>17</v>
      </c>
      <c r="E244" s="3">
        <f>SUMIFS(tbl_raw[Net_Profit],tbl_raw[Product_Name],A244)</f>
        <v>6205</v>
      </c>
      <c r="F244" s="2">
        <f>SUMIFS(tbl_raw[Return_Flag],tbl_raw[Product_Name],A244)</f>
        <v>1</v>
      </c>
      <c r="G244" s="3" cm="1">
        <f t="array" ref="G244">SUMPRODUCT((tbl_raw[Product_Name]=A244)*(tbl_raw[MRP]-tbl_raw[Selling_Price])*tbl_raw[Units_Sold])</f>
        <v>9486</v>
      </c>
      <c r="H244" s="83">
        <f>AVERAGEIFS(tbl_raw[Discount_Pct],tbl_raw[Product_Name],A244)</f>
        <v>0.3</v>
      </c>
    </row>
    <row r="245" spans="1:8" hidden="1" x14ac:dyDescent="0.25">
      <c r="A245" s="2" t="str">
        <v>Doll - Model 885</v>
      </c>
      <c r="B245" s="2" t="str">
        <f>_xlfn.XLOOKUP(A245,tbl_raw[Product_Name],tbl_raw[Category])</f>
        <v>Toys</v>
      </c>
      <c r="C245" s="2">
        <f>COUNTIF(tbl_raw[Product_Name],A245)</f>
        <v>1</v>
      </c>
      <c r="D245" s="2">
        <f>SUMIFS(tbl_raw[Units_Sold],tbl_raw[Product_Name],A245)</f>
        <v>20</v>
      </c>
      <c r="E245" s="3">
        <f>SUMIFS(tbl_raw[Net_Profit],tbl_raw[Product_Name],A245)</f>
        <v>12380</v>
      </c>
      <c r="F245" s="2">
        <f>SUMIFS(tbl_raw[Return_Flag],tbl_raw[Product_Name],A245)</f>
        <v>0</v>
      </c>
      <c r="G245" s="3" cm="1">
        <f t="array" ref="G245">SUMPRODUCT((tbl_raw[Product_Name]=A245)*(tbl_raw[MRP]-tbl_raw[Selling_Price])*tbl_raw[Units_Sold])</f>
        <v>27320</v>
      </c>
      <c r="H245" s="83">
        <f>AVERAGEIFS(tbl_raw[Discount_Pct],tbl_raw[Product_Name],A245)</f>
        <v>0.25</v>
      </c>
    </row>
    <row r="246" spans="1:8" hidden="1" x14ac:dyDescent="0.25">
      <c r="A246" s="2" t="str">
        <v>Fiction - Model 285</v>
      </c>
      <c r="B246" s="2" t="str">
        <f>_xlfn.XLOOKUP(A246,tbl_raw[Product_Name],tbl_raw[Category])</f>
        <v>Books</v>
      </c>
      <c r="C246" s="2">
        <f>COUNTIF(tbl_raw[Product_Name],A246)</f>
        <v>1</v>
      </c>
      <c r="D246" s="2">
        <f>SUMIFS(tbl_raw[Units_Sold],tbl_raw[Product_Name],A246)</f>
        <v>19</v>
      </c>
      <c r="E246" s="3">
        <f>SUMIFS(tbl_raw[Net_Profit],tbl_raw[Product_Name],A246)</f>
        <v>28101</v>
      </c>
      <c r="F246" s="2">
        <f>SUMIFS(tbl_raw[Return_Flag],tbl_raw[Product_Name],A246)</f>
        <v>0</v>
      </c>
      <c r="G246" s="3" cm="1">
        <f t="array" ref="G246">SUMPRODUCT((tbl_raw[Product_Name]=A246)*(tbl_raw[MRP]-tbl_raw[Selling_Price])*tbl_raw[Units_Sold])</f>
        <v>3040</v>
      </c>
      <c r="H246" s="83">
        <f>AVERAGEIFS(tbl_raw[Discount_Pct],tbl_raw[Product_Name],A246)</f>
        <v>0.03</v>
      </c>
    </row>
    <row r="247" spans="1:8" hidden="1" x14ac:dyDescent="0.25">
      <c r="A247" s="2" t="str">
        <v>Self-Help - Model 478</v>
      </c>
      <c r="B247" s="2" t="str">
        <f>_xlfn.XLOOKUP(A247,tbl_raw[Product_Name],tbl_raw[Category])</f>
        <v>Books</v>
      </c>
      <c r="C247" s="2">
        <f>COUNTIF(tbl_raw[Product_Name],A247)</f>
        <v>1</v>
      </c>
      <c r="D247" s="2">
        <f>SUMIFS(tbl_raw[Units_Sold],tbl_raw[Product_Name],A247)</f>
        <v>11</v>
      </c>
      <c r="E247" s="3">
        <f>SUMIFS(tbl_raw[Net_Profit],tbl_raw[Product_Name],A247)</f>
        <v>20944</v>
      </c>
      <c r="F247" s="2">
        <f>SUMIFS(tbl_raw[Return_Flag],tbl_raw[Product_Name],A247)</f>
        <v>0</v>
      </c>
      <c r="G247" s="3" cm="1">
        <f t="array" ref="G247">SUMPRODUCT((tbl_raw[Product_Name]=A247)*(tbl_raw[MRP]-tbl_raw[Selling_Price])*tbl_raw[Units_Sold])</f>
        <v>17897</v>
      </c>
      <c r="H247" s="83">
        <f>AVERAGEIFS(tbl_raw[Discount_Pct],tbl_raw[Product_Name],A247)</f>
        <v>0.26</v>
      </c>
    </row>
    <row r="248" spans="1:8" hidden="1" x14ac:dyDescent="0.25">
      <c r="A248" s="2" t="str">
        <v>Pulses - Model 597</v>
      </c>
      <c r="B248" s="2" t="str">
        <f>_xlfn.XLOOKUP(A248,tbl_raw[Product_Name],tbl_raw[Category])</f>
        <v>Grocery</v>
      </c>
      <c r="C248" s="2">
        <f>COUNTIF(tbl_raw[Product_Name],A248)</f>
        <v>1</v>
      </c>
      <c r="D248" s="2">
        <f>SUMIFS(tbl_raw[Units_Sold],tbl_raw[Product_Name],A248)</f>
        <v>15</v>
      </c>
      <c r="E248" s="3">
        <f>SUMIFS(tbl_raw[Net_Profit],tbl_raw[Product_Name],A248)</f>
        <v>15270</v>
      </c>
      <c r="F248" s="2">
        <f>SUMIFS(tbl_raw[Return_Flag],tbl_raw[Product_Name],A248)</f>
        <v>0</v>
      </c>
      <c r="G248" s="3" cm="1">
        <f t="array" ref="G248">SUMPRODUCT((tbl_raw[Product_Name]=A248)*(tbl_raw[MRP]-tbl_raw[Selling_Price])*tbl_raw[Units_Sold])</f>
        <v>5145</v>
      </c>
      <c r="H248" s="83">
        <f>AVERAGEIFS(tbl_raw[Discount_Pct],tbl_raw[Product_Name],A248)</f>
        <v>0.1</v>
      </c>
    </row>
    <row r="249" spans="1:8" hidden="1" x14ac:dyDescent="0.25">
      <c r="A249" s="2" t="str">
        <v>Shoes - Model 325</v>
      </c>
      <c r="B249" s="2" t="str">
        <f>_xlfn.XLOOKUP(A249,tbl_raw[Product_Name],tbl_raw[Category])</f>
        <v>Sports</v>
      </c>
      <c r="C249" s="2">
        <f>COUNTIF(tbl_raw[Product_Name],A249)</f>
        <v>1</v>
      </c>
      <c r="D249" s="2">
        <f>SUMIFS(tbl_raw[Units_Sold],tbl_raw[Product_Name],A249)</f>
        <v>20</v>
      </c>
      <c r="E249" s="3">
        <f>SUMIFS(tbl_raw[Net_Profit],tbl_raw[Product_Name],A249)</f>
        <v>-640</v>
      </c>
      <c r="F249" s="2">
        <f>SUMIFS(tbl_raw[Return_Flag],tbl_raw[Product_Name],A249)</f>
        <v>0</v>
      </c>
      <c r="G249" s="3" cm="1">
        <f t="array" ref="G249">SUMPRODUCT((tbl_raw[Product_Name]=A249)*(tbl_raw[MRP]-tbl_raw[Selling_Price])*tbl_raw[Units_Sold])</f>
        <v>1120</v>
      </c>
      <c r="H249" s="83">
        <f>AVERAGEIFS(tbl_raw[Discount_Pct],tbl_raw[Product_Name],A249)</f>
        <v>0.09</v>
      </c>
    </row>
    <row r="250" spans="1:8" hidden="1" x14ac:dyDescent="0.25">
      <c r="A250" s="2" t="str">
        <v>Board Game - Model 232</v>
      </c>
      <c r="B250" s="2" t="str">
        <f>_xlfn.XLOOKUP(A250,tbl_raw[Product_Name],tbl_raw[Category])</f>
        <v>Toys</v>
      </c>
      <c r="C250" s="2">
        <f>COUNTIF(tbl_raw[Product_Name],A250)</f>
        <v>1</v>
      </c>
      <c r="D250" s="2">
        <f>SUMIFS(tbl_raw[Units_Sold],tbl_raw[Product_Name],A250)</f>
        <v>18</v>
      </c>
      <c r="E250" s="3">
        <f>SUMIFS(tbl_raw[Net_Profit],tbl_raw[Product_Name],A250)</f>
        <v>5310</v>
      </c>
      <c r="F250" s="2">
        <f>SUMIFS(tbl_raw[Return_Flag],tbl_raw[Product_Name],A250)</f>
        <v>0</v>
      </c>
      <c r="G250" s="3" cm="1">
        <f t="array" ref="G250">SUMPRODUCT((tbl_raw[Product_Name]=A250)*(tbl_raw[MRP]-tbl_raw[Selling_Price])*tbl_raw[Units_Sold])</f>
        <v>23544</v>
      </c>
      <c r="H250" s="83">
        <f>AVERAGEIFS(tbl_raw[Discount_Pct],tbl_raw[Product_Name],A250)</f>
        <v>0.23</v>
      </c>
    </row>
    <row r="251" spans="1:8" hidden="1" x14ac:dyDescent="0.25">
      <c r="A251" s="2" t="str">
        <v>Atta - Model 982</v>
      </c>
      <c r="B251" s="2" t="str">
        <f>_xlfn.XLOOKUP(A251,tbl_raw[Product_Name],tbl_raw[Category])</f>
        <v>Grocery</v>
      </c>
      <c r="C251" s="2">
        <f>COUNTIF(tbl_raw[Product_Name],A251)</f>
        <v>1</v>
      </c>
      <c r="D251" s="2">
        <f>SUMIFS(tbl_raw[Units_Sold],tbl_raw[Product_Name],A251)</f>
        <v>19</v>
      </c>
      <c r="E251" s="3">
        <f>SUMIFS(tbl_raw[Net_Profit],tbl_raw[Product_Name],A251)</f>
        <v>11818</v>
      </c>
      <c r="F251" s="2">
        <f>SUMIFS(tbl_raw[Return_Flag],tbl_raw[Product_Name],A251)</f>
        <v>0</v>
      </c>
      <c r="G251" s="3" cm="1">
        <f t="array" ref="G251">SUMPRODUCT((tbl_raw[Product_Name]=A251)*(tbl_raw[MRP]-tbl_raw[Selling_Price])*tbl_raw[Units_Sold])</f>
        <v>12141</v>
      </c>
      <c r="H251" s="83">
        <f>AVERAGEIFS(tbl_raw[Discount_Pct],tbl_raw[Product_Name],A251)</f>
        <v>0.18</v>
      </c>
    </row>
    <row r="252" spans="1:8" hidden="1" x14ac:dyDescent="0.25">
      <c r="A252" s="2" t="str">
        <v>Fiction - Model 547</v>
      </c>
      <c r="B252" s="2" t="str">
        <f>_xlfn.XLOOKUP(A252,tbl_raw[Product_Name],tbl_raw[Category])</f>
        <v>Books</v>
      </c>
      <c r="C252" s="2">
        <f>COUNTIF(tbl_raw[Product_Name],A252)</f>
        <v>1</v>
      </c>
      <c r="D252" s="2">
        <f>SUMIFS(tbl_raw[Units_Sold],tbl_raw[Product_Name],A252)</f>
        <v>8</v>
      </c>
      <c r="E252" s="3">
        <f>SUMIFS(tbl_raw[Net_Profit],tbl_raw[Product_Name],A252)</f>
        <v>10008</v>
      </c>
      <c r="F252" s="2">
        <f>SUMIFS(tbl_raw[Return_Flag],tbl_raw[Product_Name],A252)</f>
        <v>1</v>
      </c>
      <c r="G252" s="3" cm="1">
        <f t="array" ref="G252">SUMPRODUCT((tbl_raw[Product_Name]=A252)*(tbl_raw[MRP]-tbl_raw[Selling_Price])*tbl_raw[Units_Sold])</f>
        <v>5184</v>
      </c>
      <c r="H252" s="83">
        <f>AVERAGEIFS(tbl_raw[Discount_Pct],tbl_raw[Product_Name],A252)</f>
        <v>0.18</v>
      </c>
    </row>
    <row r="253" spans="1:8" hidden="1" x14ac:dyDescent="0.25">
      <c r="A253" s="2" t="str">
        <v>Jacket - Model 622</v>
      </c>
      <c r="B253" s="2" t="str">
        <f>_xlfn.XLOOKUP(A253,tbl_raw[Product_Name],tbl_raw[Category])</f>
        <v>Fashion</v>
      </c>
      <c r="C253" s="2">
        <f>COUNTIF(tbl_raw[Product_Name],A253)</f>
        <v>1</v>
      </c>
      <c r="D253" s="2">
        <f>SUMIFS(tbl_raw[Units_Sold],tbl_raw[Product_Name],A253)</f>
        <v>12</v>
      </c>
      <c r="E253" s="3">
        <f>SUMIFS(tbl_raw[Net_Profit],tbl_raw[Product_Name],A253)</f>
        <v>-2604</v>
      </c>
      <c r="F253" s="2">
        <f>SUMIFS(tbl_raw[Return_Flag],tbl_raw[Product_Name],A253)</f>
        <v>0</v>
      </c>
      <c r="G253" s="3" cm="1">
        <f t="array" ref="G253">SUMPRODUCT((tbl_raw[Product_Name]=A253)*(tbl_raw[MRP]-tbl_raw[Selling_Price])*tbl_raw[Units_Sold])</f>
        <v>15168</v>
      </c>
      <c r="H253" s="83">
        <f>AVERAGEIFS(tbl_raw[Discount_Pct],tbl_raw[Product_Name],A253)</f>
        <v>0.43</v>
      </c>
    </row>
    <row r="254" spans="1:8" hidden="1" x14ac:dyDescent="0.25">
      <c r="A254" s="2" t="str">
        <v>Jeans - Model 891</v>
      </c>
      <c r="B254" s="2" t="str">
        <f>_xlfn.XLOOKUP(A254,tbl_raw[Product_Name],tbl_raw[Category])</f>
        <v>Fashion</v>
      </c>
      <c r="C254" s="2">
        <f>COUNTIF(tbl_raw[Product_Name],A254)</f>
        <v>1</v>
      </c>
      <c r="D254" s="2">
        <f>SUMIFS(tbl_raw[Units_Sold],tbl_raw[Product_Name],A254)</f>
        <v>15</v>
      </c>
      <c r="E254" s="3">
        <f>SUMIFS(tbl_raw[Net_Profit],tbl_raw[Product_Name],A254)</f>
        <v>6855</v>
      </c>
      <c r="F254" s="2">
        <f>SUMIFS(tbl_raw[Return_Flag],tbl_raw[Product_Name],A254)</f>
        <v>0</v>
      </c>
      <c r="G254" s="3" cm="1">
        <f t="array" ref="G254">SUMPRODUCT((tbl_raw[Product_Name]=A254)*(tbl_raw[MRP]-tbl_raw[Selling_Price])*tbl_raw[Units_Sold])</f>
        <v>31035</v>
      </c>
      <c r="H254" s="83">
        <f>AVERAGEIFS(tbl_raw[Discount_Pct],tbl_raw[Product_Name],A254)</f>
        <v>0.34</v>
      </c>
    </row>
    <row r="255" spans="1:8" hidden="1" x14ac:dyDescent="0.25">
      <c r="A255" s="2" t="str">
        <v>Self-Help - Model 550</v>
      </c>
      <c r="B255" s="2" t="str">
        <f>_xlfn.XLOOKUP(A255,tbl_raw[Product_Name],tbl_raw[Category])</f>
        <v>Books</v>
      </c>
      <c r="C255" s="2">
        <f>COUNTIF(tbl_raw[Product_Name],A255)</f>
        <v>1</v>
      </c>
      <c r="D255" s="2">
        <f>SUMIFS(tbl_raw[Units_Sold],tbl_raw[Product_Name],A255)</f>
        <v>16</v>
      </c>
      <c r="E255" s="3">
        <f>SUMIFS(tbl_raw[Net_Profit],tbl_raw[Product_Name],A255)</f>
        <v>20640</v>
      </c>
      <c r="F255" s="2">
        <f>SUMIFS(tbl_raw[Return_Flag],tbl_raw[Product_Name],A255)</f>
        <v>0</v>
      </c>
      <c r="G255" s="3" cm="1">
        <f t="array" ref="G255">SUMPRODUCT((tbl_raw[Product_Name]=A255)*(tbl_raw[MRP]-tbl_raw[Selling_Price])*tbl_raw[Units_Sold])</f>
        <v>8176</v>
      </c>
      <c r="H255" s="83">
        <f>AVERAGEIFS(tbl_raw[Discount_Pct],tbl_raw[Product_Name],A255)</f>
        <v>0.14000000000000001</v>
      </c>
    </row>
    <row r="256" spans="1:8" hidden="1" x14ac:dyDescent="0.25">
      <c r="A256" s="2" t="str">
        <v>Textbook - Model 178</v>
      </c>
      <c r="B256" s="2" t="str">
        <f>_xlfn.XLOOKUP(A256,tbl_raw[Product_Name],tbl_raw[Category])</f>
        <v>Books</v>
      </c>
      <c r="C256" s="2">
        <f>COUNTIF(tbl_raw[Product_Name],A256)</f>
        <v>1</v>
      </c>
      <c r="D256" s="2">
        <f>SUMIFS(tbl_raw[Units_Sold],tbl_raw[Product_Name],A256)</f>
        <v>20</v>
      </c>
      <c r="E256" s="3">
        <f>SUMIFS(tbl_raw[Net_Profit],tbl_raw[Product_Name],A256)</f>
        <v>18480</v>
      </c>
      <c r="F256" s="2">
        <f>SUMIFS(tbl_raw[Return_Flag],tbl_raw[Product_Name],A256)</f>
        <v>1</v>
      </c>
      <c r="G256" s="3" cm="1">
        <f t="array" ref="G256">SUMPRODUCT((tbl_raw[Product_Name]=A256)*(tbl_raw[MRP]-tbl_raw[Selling_Price])*tbl_raw[Units_Sold])</f>
        <v>16440</v>
      </c>
      <c r="H256" s="83">
        <f>AVERAGEIFS(tbl_raw[Discount_Pct],tbl_raw[Product_Name],A256)</f>
        <v>0.17</v>
      </c>
    </row>
    <row r="257" spans="1:8" hidden="1" x14ac:dyDescent="0.25">
      <c r="A257" s="2" t="str">
        <v>Comic - Model 587</v>
      </c>
      <c r="B257" s="2" t="str">
        <f>_xlfn.XLOOKUP(A257,tbl_raw[Product_Name],tbl_raw[Category])</f>
        <v>Books</v>
      </c>
      <c r="C257" s="2">
        <f>COUNTIF(tbl_raw[Product_Name],A257)</f>
        <v>1</v>
      </c>
      <c r="D257" s="2">
        <f>SUMIFS(tbl_raw[Units_Sold],tbl_raw[Product_Name],A257)</f>
        <v>5</v>
      </c>
      <c r="E257" s="3">
        <f>SUMIFS(tbl_raw[Net_Profit],tbl_raw[Product_Name],A257)</f>
        <v>3675</v>
      </c>
      <c r="F257" s="2">
        <f>SUMIFS(tbl_raw[Return_Flag],tbl_raw[Product_Name],A257)</f>
        <v>0</v>
      </c>
      <c r="G257" s="3" cm="1">
        <f t="array" ref="G257">SUMPRODUCT((tbl_raw[Product_Name]=A257)*(tbl_raw[MRP]-tbl_raw[Selling_Price])*tbl_raw[Units_Sold])</f>
        <v>7670</v>
      </c>
      <c r="H257" s="83">
        <f>AVERAGEIFS(tbl_raw[Discount_Pct],tbl_raw[Product_Name],A257)</f>
        <v>0.2</v>
      </c>
    </row>
    <row r="258" spans="1:8" hidden="1" x14ac:dyDescent="0.25">
      <c r="A258" s="2" t="str">
        <v>Pulses - Model 636</v>
      </c>
      <c r="B258" s="2" t="str">
        <f>_xlfn.XLOOKUP(A258,tbl_raw[Product_Name],tbl_raw[Category])</f>
        <v>Grocery</v>
      </c>
      <c r="C258" s="2">
        <f>COUNTIF(tbl_raw[Product_Name],A258)</f>
        <v>1</v>
      </c>
      <c r="D258" s="2">
        <f>SUMIFS(tbl_raw[Units_Sold],tbl_raw[Product_Name],A258)</f>
        <v>20</v>
      </c>
      <c r="E258" s="3">
        <f>SUMIFS(tbl_raw[Net_Profit],tbl_raw[Product_Name],A258)</f>
        <v>7700</v>
      </c>
      <c r="F258" s="2">
        <f>SUMIFS(tbl_raw[Return_Flag],tbl_raw[Product_Name],A258)</f>
        <v>0</v>
      </c>
      <c r="G258" s="3" cm="1">
        <f t="array" ref="G258">SUMPRODUCT((tbl_raw[Product_Name]=A258)*(tbl_raw[MRP]-tbl_raw[Selling_Price])*tbl_raw[Units_Sold])</f>
        <v>4880</v>
      </c>
      <c r="H258" s="83">
        <f>AVERAGEIFS(tbl_raw[Discount_Pct],tbl_raw[Product_Name],A258)</f>
        <v>0.17</v>
      </c>
    </row>
    <row r="259" spans="1:8" hidden="1" x14ac:dyDescent="0.25">
      <c r="A259" s="2" t="str">
        <v>Fiction - Model 437</v>
      </c>
      <c r="B259" s="2" t="str">
        <f>_xlfn.XLOOKUP(A259,tbl_raw[Product_Name],tbl_raw[Category])</f>
        <v>Books</v>
      </c>
      <c r="C259" s="2">
        <f>COUNTIF(tbl_raw[Product_Name],A259)</f>
        <v>1</v>
      </c>
      <c r="D259" s="2">
        <f>SUMIFS(tbl_raw[Units_Sold],tbl_raw[Product_Name],A259)</f>
        <v>18</v>
      </c>
      <c r="E259" s="3">
        <f>SUMIFS(tbl_raw[Net_Profit],tbl_raw[Product_Name],A259)</f>
        <v>19116</v>
      </c>
      <c r="F259" s="2">
        <f>SUMIFS(tbl_raw[Return_Flag],tbl_raw[Product_Name],A259)</f>
        <v>0</v>
      </c>
      <c r="G259" s="3" cm="1">
        <f t="array" ref="G259">SUMPRODUCT((tbl_raw[Product_Name]=A259)*(tbl_raw[MRP]-tbl_raw[Selling_Price])*tbl_raw[Units_Sold])</f>
        <v>12852</v>
      </c>
      <c r="H259" s="83">
        <f>AVERAGEIFS(tbl_raw[Discount_Pct],tbl_raw[Product_Name],A259)</f>
        <v>0.13</v>
      </c>
    </row>
    <row r="260" spans="1:8" hidden="1" x14ac:dyDescent="0.25">
      <c r="A260" s="2" t="str">
        <v>Bedsheet - Model 417</v>
      </c>
      <c r="B260" s="2" t="str">
        <f>_xlfn.XLOOKUP(A260,tbl_raw[Product_Name],tbl_raw[Category])</f>
        <v>Home &amp; Kitchen</v>
      </c>
      <c r="C260" s="2">
        <f>COUNTIF(tbl_raw[Product_Name],A260)</f>
        <v>1</v>
      </c>
      <c r="D260" s="2">
        <f>SUMIFS(tbl_raw[Units_Sold],tbl_raw[Product_Name],A260)</f>
        <v>5</v>
      </c>
      <c r="E260" s="3">
        <f>SUMIFS(tbl_raw[Net_Profit],tbl_raw[Product_Name],A260)</f>
        <v>1300</v>
      </c>
      <c r="F260" s="2">
        <f>SUMIFS(tbl_raw[Return_Flag],tbl_raw[Product_Name],A260)</f>
        <v>0</v>
      </c>
      <c r="G260" s="3" cm="1">
        <f t="array" ref="G260">SUMPRODUCT((tbl_raw[Product_Name]=A260)*(tbl_raw[MRP]-tbl_raw[Selling_Price])*tbl_raw[Units_Sold])</f>
        <v>10165</v>
      </c>
      <c r="H260" s="83">
        <f>AVERAGEIFS(tbl_raw[Discount_Pct],tbl_raw[Product_Name],A260)</f>
        <v>0.42</v>
      </c>
    </row>
    <row r="261" spans="1:8" hidden="1" x14ac:dyDescent="0.25">
      <c r="A261" s="2" t="str">
        <v>Shoes - Model 620</v>
      </c>
      <c r="B261" s="2" t="str">
        <f>_xlfn.XLOOKUP(A261,tbl_raw[Product_Name],tbl_raw[Category])</f>
        <v>Fashion</v>
      </c>
      <c r="C261" s="2">
        <f>COUNTIF(tbl_raw[Product_Name],A261)</f>
        <v>1</v>
      </c>
      <c r="D261" s="2">
        <f>SUMIFS(tbl_raw[Units_Sold],tbl_raw[Product_Name],A261)</f>
        <v>1</v>
      </c>
      <c r="E261" s="3">
        <f>SUMIFS(tbl_raw[Net_Profit],tbl_raw[Product_Name],A261)</f>
        <v>1176</v>
      </c>
      <c r="F261" s="2">
        <f>SUMIFS(tbl_raw[Return_Flag],tbl_raw[Product_Name],A261)</f>
        <v>0</v>
      </c>
      <c r="G261" s="3" cm="1">
        <f t="array" ref="G261">SUMPRODUCT((tbl_raw[Product_Name]=A261)*(tbl_raw[MRP]-tbl_raw[Selling_Price])*tbl_raw[Units_Sold])</f>
        <v>242</v>
      </c>
      <c r="H261" s="83">
        <f>AVERAGEIFS(tbl_raw[Discount_Pct],tbl_raw[Product_Name],A261)</f>
        <v>0.08</v>
      </c>
    </row>
    <row r="262" spans="1:8" hidden="1" x14ac:dyDescent="0.25">
      <c r="A262" s="2" t="str">
        <v>Shoes - Model 619</v>
      </c>
      <c r="B262" s="2" t="str">
        <f>_xlfn.XLOOKUP(A262,tbl_raw[Product_Name],tbl_raw[Category])</f>
        <v>Sports</v>
      </c>
      <c r="C262" s="2">
        <f>COUNTIF(tbl_raw[Product_Name],A262)</f>
        <v>1</v>
      </c>
      <c r="D262" s="2">
        <f>SUMIFS(tbl_raw[Units_Sold],tbl_raw[Product_Name],A262)</f>
        <v>17</v>
      </c>
      <c r="E262" s="3">
        <f>SUMIFS(tbl_raw[Net_Profit],tbl_raw[Product_Name],A262)</f>
        <v>680</v>
      </c>
      <c r="F262" s="2">
        <f>SUMIFS(tbl_raw[Return_Flag],tbl_raw[Product_Name],A262)</f>
        <v>0</v>
      </c>
      <c r="G262" s="3" cm="1">
        <f t="array" ref="G262">SUMPRODUCT((tbl_raw[Product_Name]=A262)*(tbl_raw[MRP]-tbl_raw[Selling_Price])*tbl_raw[Units_Sold])</f>
        <v>1258</v>
      </c>
      <c r="H262" s="83">
        <f>AVERAGEIFS(tbl_raw[Discount_Pct],tbl_raw[Product_Name],A262)</f>
        <v>0.15</v>
      </c>
    </row>
    <row r="263" spans="1:8" hidden="1" x14ac:dyDescent="0.25">
      <c r="A263" s="2" t="str">
        <v>Curtain - Model 144</v>
      </c>
      <c r="B263" s="2" t="str">
        <f>_xlfn.XLOOKUP(A263,tbl_raw[Product_Name],tbl_raw[Category])</f>
        <v>Home &amp; Kitchen</v>
      </c>
      <c r="C263" s="2">
        <f>COUNTIF(tbl_raw[Product_Name],A263)</f>
        <v>1</v>
      </c>
      <c r="D263" s="2">
        <f>SUMIFS(tbl_raw[Units_Sold],tbl_raw[Product_Name],A263)</f>
        <v>12</v>
      </c>
      <c r="E263" s="3">
        <f>SUMIFS(tbl_raw[Net_Profit],tbl_raw[Product_Name],A263)</f>
        <v>21108</v>
      </c>
      <c r="F263" s="2">
        <f>SUMIFS(tbl_raw[Return_Flag],tbl_raw[Product_Name],A263)</f>
        <v>0</v>
      </c>
      <c r="G263" s="3" cm="1">
        <f t="array" ref="G263">SUMPRODUCT((tbl_raw[Product_Name]=A263)*(tbl_raw[MRP]-tbl_raw[Selling_Price])*tbl_raw[Units_Sold])</f>
        <v>7224</v>
      </c>
      <c r="H263" s="83">
        <f>AVERAGEIFS(tbl_raw[Discount_Pct],tbl_raw[Product_Name],A263)</f>
        <v>0.11</v>
      </c>
    </row>
    <row r="264" spans="1:8" hidden="1" x14ac:dyDescent="0.25">
      <c r="A264" s="2" t="str">
        <v>Lipstick - Model 794</v>
      </c>
      <c r="B264" s="2" t="str">
        <f>_xlfn.XLOOKUP(A264,tbl_raw[Product_Name],tbl_raw[Category])</f>
        <v>Beauty</v>
      </c>
      <c r="C264" s="2">
        <f>COUNTIF(tbl_raw[Product_Name],A264)</f>
        <v>1</v>
      </c>
      <c r="D264" s="2">
        <f>SUMIFS(tbl_raw[Units_Sold],tbl_raw[Product_Name],A264)</f>
        <v>15</v>
      </c>
      <c r="E264" s="3">
        <f>SUMIFS(tbl_raw[Net_Profit],tbl_raw[Product_Name],A264)</f>
        <v>17550</v>
      </c>
      <c r="F264" s="2">
        <f>SUMIFS(tbl_raw[Return_Flag],tbl_raw[Product_Name],A264)</f>
        <v>0</v>
      </c>
      <c r="G264" s="3" cm="1">
        <f t="array" ref="G264">SUMPRODUCT((tbl_raw[Product_Name]=A264)*(tbl_raw[MRP]-tbl_raw[Selling_Price])*tbl_raw[Units_Sold])</f>
        <v>7410</v>
      </c>
      <c r="H264" s="83">
        <f>AVERAGEIFS(tbl_raw[Discount_Pct],tbl_raw[Product_Name],A264)</f>
        <v>0.13</v>
      </c>
    </row>
    <row r="265" spans="1:8" hidden="1" x14ac:dyDescent="0.25">
      <c r="A265" s="2" t="str">
        <v>Shoes - Model 756</v>
      </c>
      <c r="B265" s="2" t="str">
        <f>_xlfn.XLOOKUP(A265,tbl_raw[Product_Name],tbl_raw[Category])</f>
        <v>Sports</v>
      </c>
      <c r="C265" s="2">
        <f>COUNTIF(tbl_raw[Product_Name],A265)</f>
        <v>1</v>
      </c>
      <c r="D265" s="2">
        <f>SUMIFS(tbl_raw[Units_Sold],tbl_raw[Product_Name],A265)</f>
        <v>12</v>
      </c>
      <c r="E265" s="3">
        <f>SUMIFS(tbl_raw[Net_Profit],tbl_raw[Product_Name],A265)</f>
        <v>11892</v>
      </c>
      <c r="F265" s="2">
        <f>SUMIFS(tbl_raw[Return_Flag],tbl_raw[Product_Name],A265)</f>
        <v>0</v>
      </c>
      <c r="G265" s="3" cm="1">
        <f t="array" ref="G265">SUMPRODUCT((tbl_raw[Product_Name]=A265)*(tbl_raw[MRP]-tbl_raw[Selling_Price])*tbl_raw[Units_Sold])</f>
        <v>2712</v>
      </c>
      <c r="H265" s="83">
        <f>AVERAGEIFS(tbl_raw[Discount_Pct],tbl_raw[Product_Name],A265)</f>
        <v>0.05</v>
      </c>
    </row>
    <row r="266" spans="1:8" hidden="1" x14ac:dyDescent="0.25">
      <c r="A266" s="2" t="str">
        <v>Curtain - Model 193</v>
      </c>
      <c r="B266" s="2" t="str">
        <f>_xlfn.XLOOKUP(A266,tbl_raw[Product_Name],tbl_raw[Category])</f>
        <v>Home &amp; Kitchen</v>
      </c>
      <c r="C266" s="2">
        <f>COUNTIF(tbl_raw[Product_Name],A266)</f>
        <v>1</v>
      </c>
      <c r="D266" s="2">
        <f>SUMIFS(tbl_raw[Units_Sold],tbl_raw[Product_Name],A266)</f>
        <v>15</v>
      </c>
      <c r="E266" s="3">
        <f>SUMIFS(tbl_raw[Net_Profit],tbl_raw[Product_Name],A266)</f>
        <v>2370</v>
      </c>
      <c r="F266" s="2">
        <f>SUMIFS(tbl_raw[Return_Flag],tbl_raw[Product_Name],A266)</f>
        <v>0</v>
      </c>
      <c r="G266" s="3" cm="1">
        <f t="array" ref="G266">SUMPRODUCT((tbl_raw[Product_Name]=A266)*(tbl_raw[MRP]-tbl_raw[Selling_Price])*tbl_raw[Units_Sold])</f>
        <v>44730</v>
      </c>
      <c r="H266" s="83">
        <f>AVERAGEIFS(tbl_raw[Discount_Pct],tbl_raw[Product_Name],A266)</f>
        <v>0.42</v>
      </c>
    </row>
    <row r="267" spans="1:8" hidden="1" x14ac:dyDescent="0.25">
      <c r="A267" s="2" t="str">
        <v>Headphones - Model 201</v>
      </c>
      <c r="B267" s="2" t="str">
        <f>_xlfn.XLOOKUP(A267,tbl_raw[Product_Name],tbl_raw[Category])</f>
        <v>Electronics</v>
      </c>
      <c r="C267" s="2">
        <f>COUNTIF(tbl_raw[Product_Name],A267)</f>
        <v>1</v>
      </c>
      <c r="D267" s="2">
        <f>SUMIFS(tbl_raw[Units_Sold],tbl_raw[Product_Name],A267)</f>
        <v>5</v>
      </c>
      <c r="E267" s="3">
        <f>SUMIFS(tbl_raw[Net_Profit],tbl_raw[Product_Name],A267)</f>
        <v>475</v>
      </c>
      <c r="F267" s="2">
        <f>SUMIFS(tbl_raw[Return_Flag],tbl_raw[Product_Name],A267)</f>
        <v>0</v>
      </c>
      <c r="G267" s="3" cm="1">
        <f t="array" ref="G267">SUMPRODUCT((tbl_raw[Product_Name]=A267)*(tbl_raw[MRP]-tbl_raw[Selling_Price])*tbl_raw[Units_Sold])</f>
        <v>825</v>
      </c>
      <c r="H267" s="83">
        <f>AVERAGEIFS(tbl_raw[Discount_Pct],tbl_raw[Product_Name],A267)</f>
        <v>0.13</v>
      </c>
    </row>
    <row r="268" spans="1:8" hidden="1" x14ac:dyDescent="0.25">
      <c r="A268" s="2" t="str">
        <v>Kurta - Model 362</v>
      </c>
      <c r="B268" s="2" t="str">
        <f>_xlfn.XLOOKUP(A268,tbl_raw[Product_Name],tbl_raw[Category])</f>
        <v>Fashion</v>
      </c>
      <c r="C268" s="2">
        <f>COUNTIF(tbl_raw[Product_Name],A268)</f>
        <v>1</v>
      </c>
      <c r="D268" s="2">
        <f>SUMIFS(tbl_raw[Units_Sold],tbl_raw[Product_Name],A268)</f>
        <v>5</v>
      </c>
      <c r="E268" s="3">
        <f>SUMIFS(tbl_raw[Net_Profit],tbl_raw[Product_Name],A268)</f>
        <v>1675</v>
      </c>
      <c r="F268" s="2">
        <f>SUMIFS(tbl_raw[Return_Flag],tbl_raw[Product_Name],A268)</f>
        <v>0</v>
      </c>
      <c r="G268" s="3" cm="1">
        <f t="array" ref="G268">SUMPRODUCT((tbl_raw[Product_Name]=A268)*(tbl_raw[MRP]-tbl_raw[Selling_Price])*tbl_raw[Units_Sold])</f>
        <v>7395</v>
      </c>
      <c r="H268" s="83">
        <f>AVERAGEIFS(tbl_raw[Discount_Pct],tbl_raw[Product_Name],A268)</f>
        <v>0.33</v>
      </c>
    </row>
    <row r="269" spans="1:8" hidden="1" x14ac:dyDescent="0.25">
      <c r="A269" s="2" t="str">
        <v>Atta - Model 213</v>
      </c>
      <c r="B269" s="2" t="str">
        <f>_xlfn.XLOOKUP(A269,tbl_raw[Product_Name],tbl_raw[Category])</f>
        <v>Grocery</v>
      </c>
      <c r="C269" s="2">
        <f>COUNTIF(tbl_raw[Product_Name],A269)</f>
        <v>1</v>
      </c>
      <c r="D269" s="2">
        <f>SUMIFS(tbl_raw[Units_Sold],tbl_raw[Product_Name],A269)</f>
        <v>20</v>
      </c>
      <c r="E269" s="3">
        <f>SUMIFS(tbl_raw[Net_Profit],tbl_raw[Product_Name],A269)</f>
        <v>7640</v>
      </c>
      <c r="F269" s="2">
        <f>SUMIFS(tbl_raw[Return_Flag],tbl_raw[Product_Name],A269)</f>
        <v>0</v>
      </c>
      <c r="G269" s="3" cm="1">
        <f t="array" ref="G269">SUMPRODUCT((tbl_raw[Product_Name]=A269)*(tbl_raw[MRP]-tbl_raw[Selling_Price])*tbl_raw[Units_Sold])</f>
        <v>24540</v>
      </c>
      <c r="H269" s="83">
        <f>AVERAGEIFS(tbl_raw[Discount_Pct],tbl_raw[Product_Name],A269)</f>
        <v>0.28000000000000003</v>
      </c>
    </row>
    <row r="270" spans="1:8" hidden="1" x14ac:dyDescent="0.25">
      <c r="A270" s="2" t="str">
        <v>Board Game - Model 780</v>
      </c>
      <c r="B270" s="2" t="str">
        <f>_xlfn.XLOOKUP(A270,tbl_raw[Product_Name],tbl_raw[Category])</f>
        <v>Toys</v>
      </c>
      <c r="C270" s="2">
        <f>COUNTIF(tbl_raw[Product_Name],A270)</f>
        <v>1</v>
      </c>
      <c r="D270" s="2">
        <f>SUMIFS(tbl_raw[Units_Sold],tbl_raw[Product_Name],A270)</f>
        <v>17</v>
      </c>
      <c r="E270" s="3">
        <f>SUMIFS(tbl_raw[Net_Profit],tbl_raw[Product_Name],A270)</f>
        <v>49385</v>
      </c>
      <c r="F270" s="2">
        <f>SUMIFS(tbl_raw[Return_Flag],tbl_raw[Product_Name],A270)</f>
        <v>0</v>
      </c>
      <c r="G270" s="3" cm="1">
        <f t="array" ref="G270">SUMPRODUCT((tbl_raw[Product_Name]=A270)*(tbl_raw[MRP]-tbl_raw[Selling_Price])*tbl_raw[Units_Sold])</f>
        <v>3978</v>
      </c>
      <c r="H270" s="83">
        <f>AVERAGEIFS(tbl_raw[Discount_Pct],tbl_raw[Product_Name],A270)</f>
        <v>0.03</v>
      </c>
    </row>
    <row r="271" spans="1:8" hidden="1" x14ac:dyDescent="0.25">
      <c r="A271" s="2" t="str">
        <v>Puzzle - Model 359</v>
      </c>
      <c r="B271" s="2" t="str">
        <f>_xlfn.XLOOKUP(A271,tbl_raw[Product_Name],tbl_raw[Category])</f>
        <v>Toys</v>
      </c>
      <c r="C271" s="2">
        <f>COUNTIF(tbl_raw[Product_Name],A271)</f>
        <v>1</v>
      </c>
      <c r="D271" s="2">
        <f>SUMIFS(tbl_raw[Units_Sold],tbl_raw[Product_Name],A271)</f>
        <v>12</v>
      </c>
      <c r="E271" s="3">
        <f>SUMIFS(tbl_raw[Net_Profit],tbl_raw[Product_Name],A271)</f>
        <v>12492</v>
      </c>
      <c r="F271" s="2">
        <f>SUMIFS(tbl_raw[Return_Flag],tbl_raw[Product_Name],A271)</f>
        <v>0</v>
      </c>
      <c r="G271" s="3" cm="1">
        <f t="array" ref="G271">SUMPRODUCT((tbl_raw[Product_Name]=A271)*(tbl_raw[MRP]-tbl_raw[Selling_Price])*tbl_raw[Units_Sold])</f>
        <v>12192</v>
      </c>
      <c r="H271" s="83">
        <f>AVERAGEIFS(tbl_raw[Discount_Pct],tbl_raw[Product_Name],A271)</f>
        <v>0.16</v>
      </c>
    </row>
    <row r="272" spans="1:8" hidden="1" x14ac:dyDescent="0.25">
      <c r="A272" s="2" t="str">
        <v>Self-Help - Model 950</v>
      </c>
      <c r="B272" s="2" t="str">
        <f>_xlfn.XLOOKUP(A272,tbl_raw[Product_Name],tbl_raw[Category])</f>
        <v>Books</v>
      </c>
      <c r="C272" s="2">
        <f>COUNTIF(tbl_raw[Product_Name],A272)</f>
        <v>1</v>
      </c>
      <c r="D272" s="2">
        <f>SUMIFS(tbl_raw[Units_Sold],tbl_raw[Product_Name],A272)</f>
        <v>16</v>
      </c>
      <c r="E272" s="3">
        <f>SUMIFS(tbl_raw[Net_Profit],tbl_raw[Product_Name],A272)</f>
        <v>14736</v>
      </c>
      <c r="F272" s="2">
        <f>SUMIFS(tbl_raw[Return_Flag],tbl_raw[Product_Name],A272)</f>
        <v>0</v>
      </c>
      <c r="G272" s="3" cm="1">
        <f t="array" ref="G272">SUMPRODUCT((tbl_raw[Product_Name]=A272)*(tbl_raw[MRP]-tbl_raw[Selling_Price])*tbl_raw[Units_Sold])</f>
        <v>30352</v>
      </c>
      <c r="H272" s="83">
        <f>AVERAGEIFS(tbl_raw[Discount_Pct],tbl_raw[Product_Name],A272)</f>
        <v>0.37</v>
      </c>
    </row>
    <row r="273" spans="1:8" hidden="1" x14ac:dyDescent="0.25">
      <c r="A273" s="2" t="str">
        <v>Textbook - Model 627</v>
      </c>
      <c r="B273" s="2" t="str">
        <f>_xlfn.XLOOKUP(A273,tbl_raw[Product_Name],tbl_raw[Category])</f>
        <v>Books</v>
      </c>
      <c r="C273" s="2">
        <f>COUNTIF(tbl_raw[Product_Name],A273)</f>
        <v>1</v>
      </c>
      <c r="D273" s="2">
        <f>SUMIFS(tbl_raw[Units_Sold],tbl_raw[Product_Name],A273)</f>
        <v>18</v>
      </c>
      <c r="E273" s="3">
        <f>SUMIFS(tbl_raw[Net_Profit],tbl_raw[Product_Name],A273)</f>
        <v>23454</v>
      </c>
      <c r="F273" s="2">
        <f>SUMIFS(tbl_raw[Return_Flag],tbl_raw[Product_Name],A273)</f>
        <v>0</v>
      </c>
      <c r="G273" s="3" cm="1">
        <f t="array" ref="G273">SUMPRODUCT((tbl_raw[Product_Name]=A273)*(tbl_raw[MRP]-tbl_raw[Selling_Price])*tbl_raw[Units_Sold])</f>
        <v>1404</v>
      </c>
      <c r="H273" s="83">
        <f>AVERAGEIFS(tbl_raw[Discount_Pct],tbl_raw[Product_Name],A273)</f>
        <v>0.02</v>
      </c>
    </row>
    <row r="274" spans="1:8" hidden="1" x14ac:dyDescent="0.25">
      <c r="A274" s="2" t="str">
        <v>Children - Model 509</v>
      </c>
      <c r="B274" s="2" t="str">
        <f>_xlfn.XLOOKUP(A274,tbl_raw[Product_Name],tbl_raw[Category])</f>
        <v>Books</v>
      </c>
      <c r="C274" s="2">
        <f>COUNTIF(tbl_raw[Product_Name],A274)</f>
        <v>1</v>
      </c>
      <c r="D274" s="2">
        <f>SUMIFS(tbl_raw[Units_Sold],tbl_raw[Product_Name],A274)</f>
        <v>13</v>
      </c>
      <c r="E274" s="3">
        <f>SUMIFS(tbl_raw[Net_Profit],tbl_raw[Product_Name],A274)</f>
        <v>9165</v>
      </c>
      <c r="F274" s="2">
        <f>SUMIFS(tbl_raw[Return_Flag],tbl_raw[Product_Name],A274)</f>
        <v>0</v>
      </c>
      <c r="G274" s="3" cm="1">
        <f t="array" ref="G274">SUMPRODUCT((tbl_raw[Product_Name]=A274)*(tbl_raw[MRP]-tbl_raw[Selling_Price])*tbl_raw[Units_Sold])</f>
        <v>2964</v>
      </c>
      <c r="H274" s="83">
        <f>AVERAGEIFS(tbl_raw[Discount_Pct],tbl_raw[Product_Name],A274)</f>
        <v>0.08</v>
      </c>
    </row>
    <row r="275" spans="1:8" hidden="1" x14ac:dyDescent="0.25">
      <c r="A275" s="2" t="str">
        <v>Doll - Model 942</v>
      </c>
      <c r="B275" s="2" t="str">
        <f>_xlfn.XLOOKUP(A275,tbl_raw[Product_Name],tbl_raw[Category])</f>
        <v>Toys</v>
      </c>
      <c r="C275" s="2">
        <f>COUNTIF(tbl_raw[Product_Name],A275)</f>
        <v>1</v>
      </c>
      <c r="D275" s="2">
        <f>SUMIFS(tbl_raw[Units_Sold],tbl_raw[Product_Name],A275)</f>
        <v>18</v>
      </c>
      <c r="E275" s="3">
        <f>SUMIFS(tbl_raw[Net_Profit],tbl_raw[Product_Name],A275)</f>
        <v>18180</v>
      </c>
      <c r="F275" s="2">
        <f>SUMIFS(tbl_raw[Return_Flag],tbl_raw[Product_Name],A275)</f>
        <v>0</v>
      </c>
      <c r="G275" s="3" cm="1">
        <f t="array" ref="G275">SUMPRODUCT((tbl_raw[Product_Name]=A275)*(tbl_raw[MRP]-tbl_raw[Selling_Price])*tbl_raw[Units_Sold])</f>
        <v>2250</v>
      </c>
      <c r="H275" s="83">
        <f>AVERAGEIFS(tbl_raw[Discount_Pct],tbl_raw[Product_Name],A275)</f>
        <v>0.05</v>
      </c>
    </row>
    <row r="276" spans="1:8" hidden="1" x14ac:dyDescent="0.25">
      <c r="A276" s="2" t="str">
        <v>Children - Model 143</v>
      </c>
      <c r="B276" s="2" t="str">
        <f>_xlfn.XLOOKUP(A276,tbl_raw[Product_Name],tbl_raw[Category])</f>
        <v>Books</v>
      </c>
      <c r="C276" s="2">
        <f>COUNTIF(tbl_raw[Product_Name],A276)</f>
        <v>1</v>
      </c>
      <c r="D276" s="2">
        <f>SUMIFS(tbl_raw[Units_Sold],tbl_raw[Product_Name],A276)</f>
        <v>20</v>
      </c>
      <c r="E276" s="3">
        <f>SUMIFS(tbl_raw[Net_Profit],tbl_raw[Product_Name],A276)</f>
        <v>18440</v>
      </c>
      <c r="F276" s="2">
        <f>SUMIFS(tbl_raw[Return_Flag],tbl_raw[Product_Name],A276)</f>
        <v>0</v>
      </c>
      <c r="G276" s="3" cm="1">
        <f t="array" ref="G276">SUMPRODUCT((tbl_raw[Product_Name]=A276)*(tbl_raw[MRP]-tbl_raw[Selling_Price])*tbl_raw[Units_Sold])</f>
        <v>19160</v>
      </c>
      <c r="H276" s="83">
        <f>AVERAGEIFS(tbl_raw[Discount_Pct],tbl_raw[Product_Name],A276)</f>
        <v>0.12</v>
      </c>
    </row>
    <row r="277" spans="1:8" hidden="1" x14ac:dyDescent="0.25">
      <c r="A277" s="2" t="str">
        <v>Mixer - Model 246</v>
      </c>
      <c r="B277" s="2" t="str">
        <f>_xlfn.XLOOKUP(A277,tbl_raw[Product_Name],tbl_raw[Category])</f>
        <v>Home &amp; Kitchen</v>
      </c>
      <c r="C277" s="2">
        <f>COUNTIF(tbl_raw[Product_Name],A277)</f>
        <v>1</v>
      </c>
      <c r="D277" s="2">
        <f>SUMIFS(tbl_raw[Units_Sold],tbl_raw[Product_Name],A277)</f>
        <v>15</v>
      </c>
      <c r="E277" s="3">
        <f>SUMIFS(tbl_raw[Net_Profit],tbl_raw[Product_Name],A277)</f>
        <v>825</v>
      </c>
      <c r="F277" s="2">
        <f>SUMIFS(tbl_raw[Return_Flag],tbl_raw[Product_Name],A277)</f>
        <v>0</v>
      </c>
      <c r="G277" s="3" cm="1">
        <f t="array" ref="G277">SUMPRODUCT((tbl_raw[Product_Name]=A277)*(tbl_raw[MRP]-tbl_raw[Selling_Price])*tbl_raw[Units_Sold])</f>
        <v>210</v>
      </c>
      <c r="H277" s="83">
        <f>AVERAGEIFS(tbl_raw[Discount_Pct],tbl_raw[Product_Name],A277)</f>
        <v>0.03</v>
      </c>
    </row>
    <row r="278" spans="1:8" hidden="1" x14ac:dyDescent="0.25">
      <c r="A278" s="2" t="str">
        <v>Rice - Model 480</v>
      </c>
      <c r="B278" s="2" t="str">
        <f>_xlfn.XLOOKUP(A278,tbl_raw[Product_Name],tbl_raw[Category])</f>
        <v>Grocery</v>
      </c>
      <c r="C278" s="2">
        <f>COUNTIF(tbl_raw[Product_Name],A278)</f>
        <v>1</v>
      </c>
      <c r="D278" s="2">
        <f>SUMIFS(tbl_raw[Units_Sold],tbl_raw[Product_Name],A278)</f>
        <v>3</v>
      </c>
      <c r="E278" s="3">
        <f>SUMIFS(tbl_raw[Net_Profit],tbl_raw[Product_Name],A278)</f>
        <v>2718</v>
      </c>
      <c r="F278" s="2">
        <f>SUMIFS(tbl_raw[Return_Flag],tbl_raw[Product_Name],A278)</f>
        <v>0</v>
      </c>
      <c r="G278" s="3" cm="1">
        <f t="array" ref="G278">SUMPRODUCT((tbl_raw[Product_Name]=A278)*(tbl_raw[MRP]-tbl_raw[Selling_Price])*tbl_raw[Units_Sold])</f>
        <v>3366</v>
      </c>
      <c r="H278" s="83">
        <f>AVERAGEIFS(tbl_raw[Discount_Pct],tbl_raw[Product_Name],A278)</f>
        <v>0.24</v>
      </c>
    </row>
    <row r="279" spans="1:8" hidden="1" x14ac:dyDescent="0.25">
      <c r="A279" s="2" t="str">
        <v>Doll - Model 220</v>
      </c>
      <c r="B279" s="2" t="str">
        <f>_xlfn.XLOOKUP(A279,tbl_raw[Product_Name],tbl_raw[Category])</f>
        <v>Toys</v>
      </c>
      <c r="C279" s="2">
        <f>COUNTIF(tbl_raw[Product_Name],A279)</f>
        <v>1</v>
      </c>
      <c r="D279" s="2">
        <f>SUMIFS(tbl_raw[Units_Sold],tbl_raw[Product_Name],A279)</f>
        <v>9</v>
      </c>
      <c r="E279" s="3">
        <f>SUMIFS(tbl_raw[Net_Profit],tbl_raw[Product_Name],A279)</f>
        <v>13437</v>
      </c>
      <c r="F279" s="2">
        <f>SUMIFS(tbl_raw[Return_Flag],tbl_raw[Product_Name],A279)</f>
        <v>0</v>
      </c>
      <c r="G279" s="3" cm="1">
        <f t="array" ref="G279">SUMPRODUCT((tbl_raw[Product_Name]=A279)*(tbl_raw[MRP]-tbl_raw[Selling_Price])*tbl_raw[Units_Sold])</f>
        <v>5121</v>
      </c>
      <c r="H279" s="83">
        <f>AVERAGEIFS(tbl_raw[Discount_Pct],tbl_raw[Product_Name],A279)</f>
        <v>0.1</v>
      </c>
    </row>
    <row r="280" spans="1:8" hidden="1" x14ac:dyDescent="0.25">
      <c r="A280" s="2" t="str">
        <v>Curtain - Model 189</v>
      </c>
      <c r="B280" s="2" t="str">
        <f>_xlfn.XLOOKUP(A280,tbl_raw[Product_Name],tbl_raw[Category])</f>
        <v>Home &amp; Kitchen</v>
      </c>
      <c r="C280" s="2">
        <f>COUNTIF(tbl_raw[Product_Name],A280)</f>
        <v>1</v>
      </c>
      <c r="D280" s="2">
        <f>SUMIFS(tbl_raw[Units_Sold],tbl_raw[Product_Name],A280)</f>
        <v>12</v>
      </c>
      <c r="E280" s="3">
        <f>SUMIFS(tbl_raw[Net_Profit],tbl_raw[Product_Name],A280)</f>
        <v>16188</v>
      </c>
      <c r="F280" s="2">
        <f>SUMIFS(tbl_raw[Return_Flag],tbl_raw[Product_Name],A280)</f>
        <v>0</v>
      </c>
      <c r="G280" s="3" cm="1">
        <f t="array" ref="G280">SUMPRODUCT((tbl_raw[Product_Name]=A280)*(tbl_raw[MRP]-tbl_raw[Selling_Price])*tbl_raw[Units_Sold])</f>
        <v>17208</v>
      </c>
      <c r="H280" s="83">
        <f>AVERAGEIFS(tbl_raw[Discount_Pct],tbl_raw[Product_Name],A280)</f>
        <v>0.25</v>
      </c>
    </row>
    <row r="281" spans="1:8" hidden="1" x14ac:dyDescent="0.25">
      <c r="A281" s="2" t="str">
        <v>Comic - Model 329</v>
      </c>
      <c r="B281" s="2" t="str">
        <f>_xlfn.XLOOKUP(A281,tbl_raw[Product_Name],tbl_raw[Category])</f>
        <v>Books</v>
      </c>
      <c r="C281" s="2">
        <f>COUNTIF(tbl_raw[Product_Name],A281)</f>
        <v>1</v>
      </c>
      <c r="D281" s="2">
        <f>SUMIFS(tbl_raw[Units_Sold],tbl_raw[Product_Name],A281)</f>
        <v>7</v>
      </c>
      <c r="E281" s="3">
        <f>SUMIFS(tbl_raw[Net_Profit],tbl_raw[Product_Name],A281)</f>
        <v>13566</v>
      </c>
      <c r="F281" s="2">
        <f>SUMIFS(tbl_raw[Return_Flag],tbl_raw[Product_Name],A281)</f>
        <v>1</v>
      </c>
      <c r="G281" s="3" cm="1">
        <f t="array" ref="G281">SUMPRODUCT((tbl_raw[Product_Name]=A281)*(tbl_raw[MRP]-tbl_raw[Selling_Price])*tbl_raw[Units_Sold])</f>
        <v>4914</v>
      </c>
      <c r="H281" s="83">
        <f>AVERAGEIFS(tbl_raw[Discount_Pct],tbl_raw[Product_Name],A281)</f>
        <v>0.11</v>
      </c>
    </row>
    <row r="282" spans="1:8" hidden="1" x14ac:dyDescent="0.25">
      <c r="A282" s="2" t="str">
        <v>Kurta - Model 416</v>
      </c>
      <c r="B282" s="2" t="str">
        <f>_xlfn.XLOOKUP(A282,tbl_raw[Product_Name],tbl_raw[Category])</f>
        <v>Fashion</v>
      </c>
      <c r="C282" s="2">
        <f>COUNTIF(tbl_raw[Product_Name],A282)</f>
        <v>1</v>
      </c>
      <c r="D282" s="2">
        <f>SUMIFS(tbl_raw[Units_Sold],tbl_raw[Product_Name],A282)</f>
        <v>16</v>
      </c>
      <c r="E282" s="3">
        <f>SUMIFS(tbl_raw[Net_Profit],tbl_raw[Product_Name],A282)</f>
        <v>-3280</v>
      </c>
      <c r="F282" s="2">
        <f>SUMIFS(tbl_raw[Return_Flag],tbl_raw[Product_Name],A282)</f>
        <v>0</v>
      </c>
      <c r="G282" s="3" cm="1">
        <f t="array" ref="G282">SUMPRODUCT((tbl_raw[Product_Name]=A282)*(tbl_raw[MRP]-tbl_raw[Selling_Price])*tbl_raw[Units_Sold])</f>
        <v>24080</v>
      </c>
      <c r="H282" s="83">
        <f>AVERAGEIFS(tbl_raw[Discount_Pct],tbl_raw[Product_Name],A282)</f>
        <v>0.35</v>
      </c>
    </row>
    <row r="283" spans="1:8" hidden="1" x14ac:dyDescent="0.25">
      <c r="A283" s="2" t="str">
        <v>Self-Help - Model 999</v>
      </c>
      <c r="B283" s="2" t="str">
        <f>_xlfn.XLOOKUP(A283,tbl_raw[Product_Name],tbl_raw[Category])</f>
        <v>Books</v>
      </c>
      <c r="C283" s="2">
        <f>COUNTIF(tbl_raw[Product_Name],A283)</f>
        <v>1</v>
      </c>
      <c r="D283" s="2">
        <f>SUMIFS(tbl_raw[Units_Sold],tbl_raw[Product_Name],A283)</f>
        <v>19</v>
      </c>
      <c r="E283" s="3">
        <f>SUMIFS(tbl_raw[Net_Profit],tbl_raw[Product_Name],A283)</f>
        <v>-2603</v>
      </c>
      <c r="F283" s="2">
        <f>SUMIFS(tbl_raw[Return_Flag],tbl_raw[Product_Name],A283)</f>
        <v>0</v>
      </c>
      <c r="G283" s="3" cm="1">
        <f t="array" ref="G283">SUMPRODUCT((tbl_raw[Product_Name]=A283)*(tbl_raw[MRP]-tbl_raw[Selling_Price])*tbl_raw[Units_Sold])</f>
        <v>13224</v>
      </c>
      <c r="H283" s="83">
        <f>AVERAGEIFS(tbl_raw[Discount_Pct],tbl_raw[Product_Name],A283)</f>
        <v>0.43</v>
      </c>
    </row>
    <row r="284" spans="1:8" hidden="1" x14ac:dyDescent="0.25">
      <c r="A284" s="2" t="str">
        <v>Bedsheet - Model 826</v>
      </c>
      <c r="B284" s="2" t="str">
        <f>_xlfn.XLOOKUP(A284,tbl_raw[Product_Name],tbl_raw[Category])</f>
        <v>Home &amp; Kitchen</v>
      </c>
      <c r="C284" s="2">
        <f>COUNTIF(tbl_raw[Product_Name],A284)</f>
        <v>1</v>
      </c>
      <c r="D284" s="2">
        <f>SUMIFS(tbl_raw[Units_Sold],tbl_raw[Product_Name],A284)</f>
        <v>12</v>
      </c>
      <c r="E284" s="3">
        <f>SUMIFS(tbl_raw[Net_Profit],tbl_raw[Product_Name],A284)</f>
        <v>24132</v>
      </c>
      <c r="F284" s="2">
        <f>SUMIFS(tbl_raw[Return_Flag],tbl_raw[Product_Name],A284)</f>
        <v>0</v>
      </c>
      <c r="G284" s="3" cm="1">
        <f t="array" ref="G284">SUMPRODUCT((tbl_raw[Product_Name]=A284)*(tbl_raw[MRP]-tbl_raw[Selling_Price])*tbl_raw[Units_Sold])</f>
        <v>20952</v>
      </c>
      <c r="H284" s="83">
        <f>AVERAGEIFS(tbl_raw[Discount_Pct],tbl_raw[Product_Name],A284)</f>
        <v>0.23</v>
      </c>
    </row>
    <row r="285" spans="1:8" hidden="1" x14ac:dyDescent="0.25">
      <c r="A285" s="2" t="str">
        <v>Cycle - Model 646</v>
      </c>
      <c r="B285" s="2" t="str">
        <f>_xlfn.XLOOKUP(A285,tbl_raw[Product_Name],tbl_raw[Category])</f>
        <v>Sports</v>
      </c>
      <c r="C285" s="2">
        <f>COUNTIF(tbl_raw[Product_Name],A285)</f>
        <v>1</v>
      </c>
      <c r="D285" s="2">
        <f>SUMIFS(tbl_raw[Units_Sold],tbl_raw[Product_Name],A285)</f>
        <v>17</v>
      </c>
      <c r="E285" s="3">
        <f>SUMIFS(tbl_raw[Net_Profit],tbl_raw[Product_Name],A285)</f>
        <v>10251</v>
      </c>
      <c r="F285" s="2">
        <f>SUMIFS(tbl_raw[Return_Flag],tbl_raw[Product_Name],A285)</f>
        <v>0</v>
      </c>
      <c r="G285" s="3" cm="1">
        <f t="array" ref="G285">SUMPRODUCT((tbl_raw[Product_Name]=A285)*(tbl_raw[MRP]-tbl_raw[Selling_Price])*tbl_raw[Units_Sold])</f>
        <v>23868</v>
      </c>
      <c r="H285" s="83">
        <f>AVERAGEIFS(tbl_raw[Discount_Pct],tbl_raw[Product_Name],A285)</f>
        <v>0.27</v>
      </c>
    </row>
    <row r="286" spans="1:8" hidden="1" x14ac:dyDescent="0.25">
      <c r="A286" s="2" t="str">
        <v>Mobile - Model 146</v>
      </c>
      <c r="B286" s="2" t="str">
        <f>_xlfn.XLOOKUP(A286,tbl_raw[Product_Name],tbl_raw[Category])</f>
        <v>Electronics</v>
      </c>
      <c r="C286" s="2">
        <f>COUNTIF(tbl_raw[Product_Name],A286)</f>
        <v>1</v>
      </c>
      <c r="D286" s="2">
        <f>SUMIFS(tbl_raw[Units_Sold],tbl_raw[Product_Name],A286)</f>
        <v>9</v>
      </c>
      <c r="E286" s="3">
        <f>SUMIFS(tbl_raw[Net_Profit],tbl_raw[Product_Name],A286)</f>
        <v>3816</v>
      </c>
      <c r="F286" s="2">
        <f>SUMIFS(tbl_raw[Return_Flag],tbl_raw[Product_Name],A286)</f>
        <v>0</v>
      </c>
      <c r="G286" s="3" cm="1">
        <f t="array" ref="G286">SUMPRODUCT((tbl_raw[Product_Name]=A286)*(tbl_raw[MRP]-tbl_raw[Selling_Price])*tbl_raw[Units_Sold])</f>
        <v>16632</v>
      </c>
      <c r="H286" s="83">
        <f>AVERAGEIFS(tbl_raw[Discount_Pct],tbl_raw[Product_Name],A286)</f>
        <v>0.35</v>
      </c>
    </row>
    <row r="287" spans="1:8" hidden="1" x14ac:dyDescent="0.25">
      <c r="A287" s="2" t="str">
        <v>Oil - Model 924</v>
      </c>
      <c r="B287" s="2" t="str">
        <f>_xlfn.XLOOKUP(A287,tbl_raw[Product_Name],tbl_raw[Category])</f>
        <v>Grocery</v>
      </c>
      <c r="C287" s="2">
        <f>COUNTIF(tbl_raw[Product_Name],A287)</f>
        <v>1</v>
      </c>
      <c r="D287" s="2">
        <f>SUMIFS(tbl_raw[Units_Sold],tbl_raw[Product_Name],A287)</f>
        <v>10</v>
      </c>
      <c r="E287" s="3">
        <f>SUMIFS(tbl_raw[Net_Profit],tbl_raw[Product_Name],A287)</f>
        <v>7850</v>
      </c>
      <c r="F287" s="2">
        <f>SUMIFS(tbl_raw[Return_Flag],tbl_raw[Product_Name],A287)</f>
        <v>0</v>
      </c>
      <c r="G287" s="3" cm="1">
        <f t="array" ref="G287">SUMPRODUCT((tbl_raw[Product_Name]=A287)*(tbl_raw[MRP]-tbl_raw[Selling_Price])*tbl_raw[Units_Sold])</f>
        <v>11590</v>
      </c>
      <c r="H287" s="83">
        <f>AVERAGEIFS(tbl_raw[Discount_Pct],tbl_raw[Product_Name],A287)</f>
        <v>0.31</v>
      </c>
    </row>
    <row r="288" spans="1:8" hidden="1" x14ac:dyDescent="0.25">
      <c r="A288" s="2" t="str">
        <v>Textbook - Model 508</v>
      </c>
      <c r="B288" s="2" t="str">
        <f>_xlfn.XLOOKUP(A288,tbl_raw[Product_Name],tbl_raw[Category])</f>
        <v>Books</v>
      </c>
      <c r="C288" s="2">
        <f>COUNTIF(tbl_raw[Product_Name],A288)</f>
        <v>1</v>
      </c>
      <c r="D288" s="2">
        <f>SUMIFS(tbl_raw[Units_Sold],tbl_raw[Product_Name],A288)</f>
        <v>12</v>
      </c>
      <c r="E288" s="3">
        <f>SUMIFS(tbl_raw[Net_Profit],tbl_raw[Product_Name],A288)</f>
        <v>22968</v>
      </c>
      <c r="F288" s="2">
        <f>SUMIFS(tbl_raw[Return_Flag],tbl_raw[Product_Name],A288)</f>
        <v>0</v>
      </c>
      <c r="G288" s="3" cm="1">
        <f t="array" ref="G288">SUMPRODUCT((tbl_raw[Product_Name]=A288)*(tbl_raw[MRP]-tbl_raw[Selling_Price])*tbl_raw[Units_Sold])</f>
        <v>2532</v>
      </c>
      <c r="H288" s="83">
        <f>AVERAGEIFS(tbl_raw[Discount_Pct],tbl_raw[Product_Name],A288)</f>
        <v>0.05</v>
      </c>
    </row>
    <row r="289" spans="1:8" hidden="1" x14ac:dyDescent="0.25">
      <c r="A289" s="2" t="str">
        <v>Board Game - Model 986</v>
      </c>
      <c r="B289" s="2" t="str">
        <f>_xlfn.XLOOKUP(A289,tbl_raw[Product_Name],tbl_raw[Category])</f>
        <v>Toys</v>
      </c>
      <c r="C289" s="2">
        <f>COUNTIF(tbl_raw[Product_Name],A289)</f>
        <v>1</v>
      </c>
      <c r="D289" s="2">
        <f>SUMIFS(tbl_raw[Units_Sold],tbl_raw[Product_Name],A289)</f>
        <v>11</v>
      </c>
      <c r="E289" s="3">
        <f>SUMIFS(tbl_raw[Net_Profit],tbl_raw[Product_Name],A289)</f>
        <v>16984</v>
      </c>
      <c r="F289" s="2">
        <f>SUMIFS(tbl_raw[Return_Flag],tbl_raw[Product_Name],A289)</f>
        <v>0</v>
      </c>
      <c r="G289" s="3" cm="1">
        <f t="array" ref="G289">SUMPRODUCT((tbl_raw[Product_Name]=A289)*(tbl_raw[MRP]-tbl_raw[Selling_Price])*tbl_raw[Units_Sold])</f>
        <v>26345</v>
      </c>
      <c r="H289" s="83">
        <f>AVERAGEIFS(tbl_raw[Discount_Pct],tbl_raw[Product_Name],A289)</f>
        <v>0.32</v>
      </c>
    </row>
    <row r="290" spans="1:8" hidden="1" x14ac:dyDescent="0.25">
      <c r="A290" s="2" t="str">
        <v>Shoes - Model 617</v>
      </c>
      <c r="B290" s="2" t="str">
        <f>_xlfn.XLOOKUP(A290,tbl_raw[Product_Name],tbl_raw[Category])</f>
        <v>Fashion</v>
      </c>
      <c r="C290" s="2">
        <f>COUNTIF(tbl_raw[Product_Name],A290)</f>
        <v>1</v>
      </c>
      <c r="D290" s="2">
        <f>SUMIFS(tbl_raw[Units_Sold],tbl_raw[Product_Name],A290)</f>
        <v>8</v>
      </c>
      <c r="E290" s="3">
        <f>SUMIFS(tbl_raw[Net_Profit],tbl_raw[Product_Name],A290)</f>
        <v>5520</v>
      </c>
      <c r="F290" s="2">
        <f>SUMIFS(tbl_raw[Return_Flag],tbl_raw[Product_Name],A290)</f>
        <v>0</v>
      </c>
      <c r="G290" s="3" cm="1">
        <f t="array" ref="G290">SUMPRODUCT((tbl_raw[Product_Name]=A290)*(tbl_raw[MRP]-tbl_raw[Selling_Price])*tbl_raw[Units_Sold])</f>
        <v>2400</v>
      </c>
      <c r="H290" s="83">
        <f>AVERAGEIFS(tbl_raw[Discount_Pct],tbl_raw[Product_Name],A290)</f>
        <v>0.16</v>
      </c>
    </row>
    <row r="291" spans="1:8" hidden="1" x14ac:dyDescent="0.25">
      <c r="A291" s="2" t="str">
        <v>Bedsheet - Model 844</v>
      </c>
      <c r="B291" s="2" t="str">
        <f>_xlfn.XLOOKUP(A291,tbl_raw[Product_Name],tbl_raw[Category])</f>
        <v>Home &amp; Kitchen</v>
      </c>
      <c r="C291" s="2">
        <f>COUNTIF(tbl_raw[Product_Name],A291)</f>
        <v>1</v>
      </c>
      <c r="D291" s="2">
        <f>SUMIFS(tbl_raw[Units_Sold],tbl_raw[Product_Name],A291)</f>
        <v>13</v>
      </c>
      <c r="E291" s="3">
        <f>SUMIFS(tbl_raw[Net_Profit],tbl_raw[Product_Name],A291)</f>
        <v>7982</v>
      </c>
      <c r="F291" s="2">
        <f>SUMIFS(tbl_raw[Return_Flag],tbl_raw[Product_Name],A291)</f>
        <v>0</v>
      </c>
      <c r="G291" s="3" cm="1">
        <f t="array" ref="G291">SUMPRODUCT((tbl_raw[Product_Name]=A291)*(tbl_raw[MRP]-tbl_raw[Selling_Price])*tbl_raw[Units_Sold])</f>
        <v>7150</v>
      </c>
      <c r="H291" s="83">
        <f>AVERAGEIFS(tbl_raw[Discount_Pct],tbl_raw[Product_Name],A291)</f>
        <v>0.18</v>
      </c>
    </row>
    <row r="292" spans="1:8" hidden="1" x14ac:dyDescent="0.25">
      <c r="A292" s="2" t="str">
        <v>Cycle - Model 796</v>
      </c>
      <c r="B292" s="2" t="str">
        <f>_xlfn.XLOOKUP(A292,tbl_raw[Product_Name],tbl_raw[Category])</f>
        <v>Sports</v>
      </c>
      <c r="C292" s="2">
        <f>COUNTIF(tbl_raw[Product_Name],A292)</f>
        <v>1</v>
      </c>
      <c r="D292" s="2">
        <f>SUMIFS(tbl_raw[Units_Sold],tbl_raw[Product_Name],A292)</f>
        <v>4</v>
      </c>
      <c r="E292" s="3">
        <f>SUMIFS(tbl_raw[Net_Profit],tbl_raw[Product_Name],A292)</f>
        <v>1356</v>
      </c>
      <c r="F292" s="2">
        <f>SUMIFS(tbl_raw[Return_Flag],tbl_raw[Product_Name],A292)</f>
        <v>1</v>
      </c>
      <c r="G292" s="3" cm="1">
        <f t="array" ref="G292">SUMPRODUCT((tbl_raw[Product_Name]=A292)*(tbl_raw[MRP]-tbl_raw[Selling_Price])*tbl_raw[Units_Sold])</f>
        <v>192</v>
      </c>
      <c r="H292" s="83">
        <f>AVERAGEIFS(tbl_raw[Discount_Pct],tbl_raw[Product_Name],A292)</f>
        <v>0.04</v>
      </c>
    </row>
    <row r="293" spans="1:8" hidden="1" x14ac:dyDescent="0.25">
      <c r="A293" s="2" t="str">
        <v>Doll - Model 141</v>
      </c>
      <c r="B293" s="2" t="str">
        <f>_xlfn.XLOOKUP(A293,tbl_raw[Product_Name],tbl_raw[Category])</f>
        <v>Toys</v>
      </c>
      <c r="C293" s="2">
        <f>COUNTIF(tbl_raw[Product_Name],A293)</f>
        <v>1</v>
      </c>
      <c r="D293" s="2">
        <f>SUMIFS(tbl_raw[Units_Sold],tbl_raw[Product_Name],A293)</f>
        <v>2</v>
      </c>
      <c r="E293" s="3">
        <f>SUMIFS(tbl_raw[Net_Profit],tbl_raw[Product_Name],A293)</f>
        <v>524</v>
      </c>
      <c r="F293" s="2">
        <f>SUMIFS(tbl_raw[Return_Flag],tbl_raw[Product_Name],A293)</f>
        <v>0</v>
      </c>
      <c r="G293" s="3" cm="1">
        <f t="array" ref="G293">SUMPRODUCT((tbl_raw[Product_Name]=A293)*(tbl_raw[MRP]-tbl_raw[Selling_Price])*tbl_raw[Units_Sold])</f>
        <v>380</v>
      </c>
      <c r="H293" s="83">
        <f>AVERAGEIFS(tbl_raw[Discount_Pct],tbl_raw[Product_Name],A293)</f>
        <v>0.15</v>
      </c>
    </row>
    <row r="294" spans="1:8" hidden="1" x14ac:dyDescent="0.25">
      <c r="A294" s="2" t="str">
        <v>Curtain - Model 731</v>
      </c>
      <c r="B294" s="2" t="str">
        <f>_xlfn.XLOOKUP(A294,tbl_raw[Product_Name],tbl_raw[Category])</f>
        <v>Home &amp; Kitchen</v>
      </c>
      <c r="C294" s="2">
        <f>COUNTIF(tbl_raw[Product_Name],A294)</f>
        <v>1</v>
      </c>
      <c r="D294" s="2">
        <f>SUMIFS(tbl_raw[Units_Sold],tbl_raw[Product_Name],A294)</f>
        <v>19</v>
      </c>
      <c r="E294" s="3">
        <f>SUMIFS(tbl_raw[Net_Profit],tbl_raw[Product_Name],A294)</f>
        <v>-247</v>
      </c>
      <c r="F294" s="2">
        <f>SUMIFS(tbl_raw[Return_Flag],tbl_raw[Product_Name],A294)</f>
        <v>0</v>
      </c>
      <c r="G294" s="3" cm="1">
        <f t="array" ref="G294">SUMPRODUCT((tbl_raw[Product_Name]=A294)*(tbl_raw[MRP]-tbl_raw[Selling_Price])*tbl_raw[Units_Sold])</f>
        <v>19855</v>
      </c>
      <c r="H294" s="83">
        <f>AVERAGEIFS(tbl_raw[Discount_Pct],tbl_raw[Product_Name],A294)</f>
        <v>0.37</v>
      </c>
    </row>
    <row r="295" spans="1:8" hidden="1" x14ac:dyDescent="0.25">
      <c r="A295" s="2" t="str">
        <v>Shoes - Model 697</v>
      </c>
      <c r="B295" s="2" t="str">
        <f>_xlfn.XLOOKUP(A295,tbl_raw[Product_Name],tbl_raw[Category])</f>
        <v>Fashion</v>
      </c>
      <c r="C295" s="2">
        <f>COUNTIF(tbl_raw[Product_Name],A295)</f>
        <v>1</v>
      </c>
      <c r="D295" s="2">
        <f>SUMIFS(tbl_raw[Units_Sold],tbl_raw[Product_Name],A295)</f>
        <v>1</v>
      </c>
      <c r="E295" s="3">
        <f>SUMIFS(tbl_raw[Net_Profit],tbl_raw[Product_Name],A295)</f>
        <v>1040</v>
      </c>
      <c r="F295" s="2">
        <f>SUMIFS(tbl_raw[Return_Flag],tbl_raw[Product_Name],A295)</f>
        <v>0</v>
      </c>
      <c r="G295" s="3" cm="1">
        <f t="array" ref="G295">SUMPRODUCT((tbl_raw[Product_Name]=A295)*(tbl_raw[MRP]-tbl_raw[Selling_Price])*tbl_raw[Units_Sold])</f>
        <v>583</v>
      </c>
      <c r="H295" s="83">
        <f>AVERAGEIFS(tbl_raw[Discount_Pct],tbl_raw[Product_Name],A295)</f>
        <v>0.12</v>
      </c>
    </row>
    <row r="296" spans="1:8" hidden="1" x14ac:dyDescent="0.25">
      <c r="A296" s="2" t="str">
        <v>Lamp - Model 744</v>
      </c>
      <c r="B296" s="2" t="str">
        <f>_xlfn.XLOOKUP(A296,tbl_raw[Product_Name],tbl_raw[Category])</f>
        <v>Home &amp; Kitchen</v>
      </c>
      <c r="C296" s="2">
        <f>COUNTIF(tbl_raw[Product_Name],A296)</f>
        <v>1</v>
      </c>
      <c r="D296" s="2">
        <f>SUMIFS(tbl_raw[Units_Sold],tbl_raw[Product_Name],A296)</f>
        <v>13</v>
      </c>
      <c r="E296" s="3">
        <f>SUMIFS(tbl_raw[Net_Profit],tbl_raw[Product_Name],A296)</f>
        <v>2678</v>
      </c>
      <c r="F296" s="2">
        <f>SUMIFS(tbl_raw[Return_Flag],tbl_raw[Product_Name],A296)</f>
        <v>0</v>
      </c>
      <c r="G296" s="3" cm="1">
        <f t="array" ref="G296">SUMPRODUCT((tbl_raw[Product_Name]=A296)*(tbl_raw[MRP]-tbl_raw[Selling_Price])*tbl_raw[Units_Sold])</f>
        <v>5447</v>
      </c>
      <c r="H296" s="83">
        <f>AVERAGEIFS(tbl_raw[Discount_Pct],tbl_raw[Product_Name],A296)</f>
        <v>0.31</v>
      </c>
    </row>
    <row r="297" spans="1:8" hidden="1" x14ac:dyDescent="0.25">
      <c r="A297" s="2" t="str">
        <v>Board Game - Model 520</v>
      </c>
      <c r="B297" s="2" t="str">
        <f>_xlfn.XLOOKUP(A297,tbl_raw[Product_Name],tbl_raw[Category])</f>
        <v>Toys</v>
      </c>
      <c r="C297" s="2">
        <f>COUNTIF(tbl_raw[Product_Name],A297)</f>
        <v>1</v>
      </c>
      <c r="D297" s="2">
        <f>SUMIFS(tbl_raw[Units_Sold],tbl_raw[Product_Name],A297)</f>
        <v>20</v>
      </c>
      <c r="E297" s="3">
        <f>SUMIFS(tbl_raw[Net_Profit],tbl_raw[Product_Name],A297)</f>
        <v>-7800</v>
      </c>
      <c r="F297" s="2">
        <f>SUMIFS(tbl_raw[Return_Flag],tbl_raw[Product_Name],A297)</f>
        <v>0</v>
      </c>
      <c r="G297" s="3" cm="1">
        <f t="array" ref="G297">SUMPRODUCT((tbl_raw[Product_Name]=A297)*(tbl_raw[MRP]-tbl_raw[Selling_Price])*tbl_raw[Units_Sold])</f>
        <v>57560</v>
      </c>
      <c r="H297" s="83">
        <f>AVERAGEIFS(tbl_raw[Discount_Pct],tbl_raw[Product_Name],A297)</f>
        <v>0.39</v>
      </c>
    </row>
    <row r="298" spans="1:8" hidden="1" x14ac:dyDescent="0.25">
      <c r="A298" s="2" t="str">
        <v>Puzzle - Model 277</v>
      </c>
      <c r="B298" s="2" t="str">
        <f>_xlfn.XLOOKUP(A298,tbl_raw[Product_Name],tbl_raw[Category])</f>
        <v>Toys</v>
      </c>
      <c r="C298" s="2">
        <f>COUNTIF(tbl_raw[Product_Name],A298)</f>
        <v>1</v>
      </c>
      <c r="D298" s="2">
        <f>SUMIFS(tbl_raw[Units_Sold],tbl_raw[Product_Name],A298)</f>
        <v>18</v>
      </c>
      <c r="E298" s="3">
        <f>SUMIFS(tbl_raw[Net_Profit],tbl_raw[Product_Name],A298)</f>
        <v>6300</v>
      </c>
      <c r="F298" s="2">
        <f>SUMIFS(tbl_raw[Return_Flag],tbl_raw[Product_Name],A298)</f>
        <v>0</v>
      </c>
      <c r="G298" s="3" cm="1">
        <f t="array" ref="G298">SUMPRODUCT((tbl_raw[Product_Name]=A298)*(tbl_raw[MRP]-tbl_raw[Selling_Price])*tbl_raw[Units_Sold])</f>
        <v>8262</v>
      </c>
      <c r="H298" s="83">
        <f>AVERAGEIFS(tbl_raw[Discount_Pct],tbl_raw[Product_Name],A298)</f>
        <v>0.16</v>
      </c>
    </row>
    <row r="299" spans="1:8" hidden="1" x14ac:dyDescent="0.25">
      <c r="A299" s="2" t="str">
        <v>Cricket Bat - Model 404</v>
      </c>
      <c r="B299" s="2" t="str">
        <f>_xlfn.XLOOKUP(A299,tbl_raw[Product_Name],tbl_raw[Category])</f>
        <v>Sports</v>
      </c>
      <c r="C299" s="2">
        <f>COUNTIF(tbl_raw[Product_Name],A299)</f>
        <v>1</v>
      </c>
      <c r="D299" s="2">
        <f>SUMIFS(tbl_raw[Units_Sold],tbl_raw[Product_Name],A299)</f>
        <v>7</v>
      </c>
      <c r="E299" s="3">
        <f>SUMIFS(tbl_raw[Net_Profit],tbl_raw[Product_Name],A299)</f>
        <v>7497</v>
      </c>
      <c r="F299" s="2">
        <f>SUMIFS(tbl_raw[Return_Flag],tbl_raw[Product_Name],A299)</f>
        <v>0</v>
      </c>
      <c r="G299" s="3" cm="1">
        <f t="array" ref="G299">SUMPRODUCT((tbl_raw[Product_Name]=A299)*(tbl_raw[MRP]-tbl_raw[Selling_Price])*tbl_raw[Units_Sold])</f>
        <v>8596</v>
      </c>
      <c r="H299" s="83">
        <f>AVERAGEIFS(tbl_raw[Discount_Pct],tbl_raw[Product_Name],A299)</f>
        <v>0.22</v>
      </c>
    </row>
    <row r="300" spans="1:8" hidden="1" x14ac:dyDescent="0.25">
      <c r="A300" s="2" t="str">
        <v>Puzzle - Model 891</v>
      </c>
      <c r="B300" s="2" t="str">
        <f>_xlfn.XLOOKUP(A300,tbl_raw[Product_Name],tbl_raw[Category])</f>
        <v>Toys</v>
      </c>
      <c r="C300" s="2">
        <f>COUNTIF(tbl_raw[Product_Name],A300)</f>
        <v>1</v>
      </c>
      <c r="D300" s="2">
        <f>SUMIFS(tbl_raw[Units_Sold],tbl_raw[Product_Name],A300)</f>
        <v>10</v>
      </c>
      <c r="E300" s="3">
        <f>SUMIFS(tbl_raw[Net_Profit],tbl_raw[Product_Name],A300)</f>
        <v>-940</v>
      </c>
      <c r="F300" s="2">
        <f>SUMIFS(tbl_raw[Return_Flag],tbl_raw[Product_Name],A300)</f>
        <v>0</v>
      </c>
      <c r="G300" s="3" cm="1">
        <f t="array" ref="G300">SUMPRODUCT((tbl_raw[Product_Name]=A300)*(tbl_raw[MRP]-tbl_raw[Selling_Price])*tbl_raw[Units_Sold])</f>
        <v>2270</v>
      </c>
      <c r="H300" s="83">
        <f>AVERAGEIFS(tbl_raw[Discount_Pct],tbl_raw[Product_Name],A300)</f>
        <v>0.43</v>
      </c>
    </row>
    <row r="301" spans="1:8" hidden="1" x14ac:dyDescent="0.25">
      <c r="A301" s="2" t="str">
        <v>Cricket Bat - Model 211</v>
      </c>
      <c r="B301" s="2" t="str">
        <f>_xlfn.XLOOKUP(A301,tbl_raw[Product_Name],tbl_raw[Category])</f>
        <v>Sports</v>
      </c>
      <c r="C301" s="2">
        <f>COUNTIF(tbl_raw[Product_Name],A301)</f>
        <v>1</v>
      </c>
      <c r="D301" s="2">
        <f>SUMIFS(tbl_raw[Units_Sold],tbl_raw[Product_Name],A301)</f>
        <v>19</v>
      </c>
      <c r="E301" s="3">
        <f>SUMIFS(tbl_raw[Net_Profit],tbl_raw[Product_Name],A301)</f>
        <v>9120</v>
      </c>
      <c r="F301" s="2">
        <f>SUMIFS(tbl_raw[Return_Flag],tbl_raw[Product_Name],A301)</f>
        <v>0</v>
      </c>
      <c r="G301" s="3" cm="1">
        <f t="array" ref="G301">SUMPRODUCT((tbl_raw[Product_Name]=A301)*(tbl_raw[MRP]-tbl_raw[Selling_Price])*tbl_raw[Units_Sold])</f>
        <v>779</v>
      </c>
      <c r="H301" s="83">
        <f>AVERAGEIFS(tbl_raw[Discount_Pct],tbl_raw[Product_Name],A301)</f>
        <v>0.02</v>
      </c>
    </row>
    <row r="302" spans="1:8" hidden="1" x14ac:dyDescent="0.25">
      <c r="A302" s="2" t="str">
        <v>Jeans - Model 105</v>
      </c>
      <c r="B302" s="2" t="str">
        <f>_xlfn.XLOOKUP(A302,tbl_raw[Product_Name],tbl_raw[Category])</f>
        <v>Fashion</v>
      </c>
      <c r="C302" s="2">
        <f>COUNTIF(tbl_raw[Product_Name],A302)</f>
        <v>1</v>
      </c>
      <c r="D302" s="2">
        <f>SUMIFS(tbl_raw[Units_Sold],tbl_raw[Product_Name],A302)</f>
        <v>6</v>
      </c>
      <c r="E302" s="3">
        <f>SUMIFS(tbl_raw[Net_Profit],tbl_raw[Product_Name],A302)</f>
        <v>-3192</v>
      </c>
      <c r="F302" s="2">
        <f>SUMIFS(tbl_raw[Return_Flag],tbl_raw[Product_Name],A302)</f>
        <v>0</v>
      </c>
      <c r="G302" s="3" cm="1">
        <f t="array" ref="G302">SUMPRODUCT((tbl_raw[Product_Name]=A302)*(tbl_raw[MRP]-tbl_raw[Selling_Price])*tbl_raw[Units_Sold])</f>
        <v>8502</v>
      </c>
      <c r="H302" s="83">
        <f>AVERAGEIFS(tbl_raw[Discount_Pct],tbl_raw[Product_Name],A302)</f>
        <v>0.42</v>
      </c>
    </row>
    <row r="303" spans="1:8" hidden="1" x14ac:dyDescent="0.25">
      <c r="A303" s="2" t="str">
        <v>Mobile - Model 767</v>
      </c>
      <c r="B303" s="2" t="str">
        <f>_xlfn.XLOOKUP(A303,tbl_raw[Product_Name],tbl_raw[Category])</f>
        <v>Electronics</v>
      </c>
      <c r="C303" s="2">
        <f>COUNTIF(tbl_raw[Product_Name],A303)</f>
        <v>1</v>
      </c>
      <c r="D303" s="2">
        <f>SUMIFS(tbl_raw[Units_Sold],tbl_raw[Product_Name],A303)</f>
        <v>8</v>
      </c>
      <c r="E303" s="3">
        <f>SUMIFS(tbl_raw[Net_Profit],tbl_raw[Product_Name],A303)</f>
        <v>-3360</v>
      </c>
      <c r="F303" s="2">
        <f>SUMIFS(tbl_raw[Return_Flag],tbl_raw[Product_Name],A303)</f>
        <v>0</v>
      </c>
      <c r="G303" s="3" cm="1">
        <f t="array" ref="G303">SUMPRODUCT((tbl_raw[Product_Name]=A303)*(tbl_raw[MRP]-tbl_raw[Selling_Price])*tbl_raw[Units_Sold])</f>
        <v>11544</v>
      </c>
      <c r="H303" s="83">
        <f>AVERAGEIFS(tbl_raw[Discount_Pct],tbl_raw[Product_Name],A303)</f>
        <v>0.33</v>
      </c>
    </row>
    <row r="304" spans="1:8" hidden="1" x14ac:dyDescent="0.25">
      <c r="A304" s="2" t="str">
        <v>Remote Car - Model 290</v>
      </c>
      <c r="B304" s="2" t="str">
        <f>_xlfn.XLOOKUP(A304,tbl_raw[Product_Name],tbl_raw[Category])</f>
        <v>Toys</v>
      </c>
      <c r="C304" s="2">
        <f>COUNTIF(tbl_raw[Product_Name],A304)</f>
        <v>1</v>
      </c>
      <c r="D304" s="2">
        <f>SUMIFS(tbl_raw[Units_Sold],tbl_raw[Product_Name],A304)</f>
        <v>2</v>
      </c>
      <c r="E304" s="3">
        <f>SUMIFS(tbl_raw[Net_Profit],tbl_raw[Product_Name],A304)</f>
        <v>-190</v>
      </c>
      <c r="F304" s="2">
        <f>SUMIFS(tbl_raw[Return_Flag],tbl_raw[Product_Name],A304)</f>
        <v>0</v>
      </c>
      <c r="G304" s="3" cm="1">
        <f t="array" ref="G304">SUMPRODUCT((tbl_raw[Product_Name]=A304)*(tbl_raw[MRP]-tbl_raw[Selling_Price])*tbl_raw[Units_Sold])</f>
        <v>142</v>
      </c>
      <c r="H304" s="83">
        <f>AVERAGEIFS(tbl_raw[Discount_Pct],tbl_raw[Product_Name],A304)</f>
        <v>0.26</v>
      </c>
    </row>
    <row r="305" spans="1:8" hidden="1" x14ac:dyDescent="0.25">
      <c r="A305" s="2" t="str">
        <v>Lamp - Model 579</v>
      </c>
      <c r="B305" s="2" t="str">
        <f>_xlfn.XLOOKUP(A305,tbl_raw[Product_Name],tbl_raw[Category])</f>
        <v>Home &amp; Kitchen</v>
      </c>
      <c r="C305" s="2">
        <f>COUNTIF(tbl_raw[Product_Name],A305)</f>
        <v>1</v>
      </c>
      <c r="D305" s="2">
        <f>SUMIFS(tbl_raw[Units_Sold],tbl_raw[Product_Name],A305)</f>
        <v>7</v>
      </c>
      <c r="E305" s="3">
        <f>SUMIFS(tbl_raw[Net_Profit],tbl_raw[Product_Name],A305)</f>
        <v>7959</v>
      </c>
      <c r="F305" s="2">
        <f>SUMIFS(tbl_raw[Return_Flag],tbl_raw[Product_Name],A305)</f>
        <v>0</v>
      </c>
      <c r="G305" s="3" cm="1">
        <f t="array" ref="G305">SUMPRODUCT((tbl_raw[Product_Name]=A305)*(tbl_raw[MRP]-tbl_raw[Selling_Price])*tbl_raw[Units_Sold])</f>
        <v>6832</v>
      </c>
      <c r="H305" s="83">
        <f>AVERAGEIFS(tbl_raw[Discount_Pct],tbl_raw[Product_Name],A305)</f>
        <v>0.15</v>
      </c>
    </row>
    <row r="306" spans="1:8" hidden="1" x14ac:dyDescent="0.25">
      <c r="A306" s="2" t="str">
        <v>Serum - Model 725</v>
      </c>
      <c r="B306" s="2" t="str">
        <f>_xlfn.XLOOKUP(A306,tbl_raw[Product_Name],tbl_raw[Category])</f>
        <v>Beauty</v>
      </c>
      <c r="C306" s="2">
        <f>COUNTIF(tbl_raw[Product_Name],A306)</f>
        <v>1</v>
      </c>
      <c r="D306" s="2">
        <f>SUMIFS(tbl_raw[Units_Sold],tbl_raw[Product_Name],A306)</f>
        <v>14</v>
      </c>
      <c r="E306" s="3">
        <f>SUMIFS(tbl_raw[Net_Profit],tbl_raw[Product_Name],A306)</f>
        <v>18424</v>
      </c>
      <c r="F306" s="2">
        <f>SUMIFS(tbl_raw[Return_Flag],tbl_raw[Product_Name],A306)</f>
        <v>0</v>
      </c>
      <c r="G306" s="3" cm="1">
        <f t="array" ref="G306">SUMPRODUCT((tbl_raw[Product_Name]=A306)*(tbl_raw[MRP]-tbl_raw[Selling_Price])*tbl_raw[Units_Sold])</f>
        <v>2366</v>
      </c>
      <c r="H306" s="83">
        <f>AVERAGEIFS(tbl_raw[Discount_Pct],tbl_raw[Product_Name],A306)</f>
        <v>0.04</v>
      </c>
    </row>
    <row r="307" spans="1:8" hidden="1" x14ac:dyDescent="0.25">
      <c r="A307" s="2" t="str">
        <v>Board Game - Model 557</v>
      </c>
      <c r="B307" s="2" t="str">
        <f>_xlfn.XLOOKUP(A307,tbl_raw[Product_Name],tbl_raw[Category])</f>
        <v>Toys</v>
      </c>
      <c r="C307" s="2">
        <f>COUNTIF(tbl_raw[Product_Name],A307)</f>
        <v>1</v>
      </c>
      <c r="D307" s="2">
        <f>SUMIFS(tbl_raw[Units_Sold],tbl_raw[Product_Name],A307)</f>
        <v>11</v>
      </c>
      <c r="E307" s="3">
        <f>SUMIFS(tbl_raw[Net_Profit],tbl_raw[Product_Name],A307)</f>
        <v>6072</v>
      </c>
      <c r="F307" s="2">
        <f>SUMIFS(tbl_raw[Return_Flag],tbl_raw[Product_Name],A307)</f>
        <v>0</v>
      </c>
      <c r="G307" s="3" cm="1">
        <f t="array" ref="G307">SUMPRODUCT((tbl_raw[Product_Name]=A307)*(tbl_raw[MRP]-tbl_raw[Selling_Price])*tbl_raw[Units_Sold])</f>
        <v>9273</v>
      </c>
      <c r="H307" s="83">
        <f>AVERAGEIFS(tbl_raw[Discount_Pct],tbl_raw[Product_Name],A307)</f>
        <v>0.33</v>
      </c>
    </row>
    <row r="308" spans="1:8" hidden="1" x14ac:dyDescent="0.25">
      <c r="A308" s="2" t="str">
        <v>Doll - Model 820</v>
      </c>
      <c r="B308" s="2" t="str">
        <f>_xlfn.XLOOKUP(A308,tbl_raw[Product_Name],tbl_raw[Category])</f>
        <v>Toys</v>
      </c>
      <c r="C308" s="2">
        <f>COUNTIF(tbl_raw[Product_Name],A308)</f>
        <v>1</v>
      </c>
      <c r="D308" s="2">
        <f>SUMIFS(tbl_raw[Units_Sold],tbl_raw[Product_Name],A308)</f>
        <v>4</v>
      </c>
      <c r="E308" s="3">
        <f>SUMIFS(tbl_raw[Net_Profit],tbl_raw[Product_Name],A308)</f>
        <v>816</v>
      </c>
      <c r="F308" s="2">
        <f>SUMIFS(tbl_raw[Return_Flag],tbl_raw[Product_Name],A308)</f>
        <v>0</v>
      </c>
      <c r="G308" s="3" cm="1">
        <f t="array" ref="G308">SUMPRODUCT((tbl_raw[Product_Name]=A308)*(tbl_raw[MRP]-tbl_raw[Selling_Price])*tbl_raw[Units_Sold])</f>
        <v>8704</v>
      </c>
      <c r="H308" s="83">
        <f>AVERAGEIFS(tbl_raw[Discount_Pct],tbl_raw[Product_Name],A308)</f>
        <v>0.42</v>
      </c>
    </row>
    <row r="309" spans="1:8" hidden="1" x14ac:dyDescent="0.25">
      <c r="A309" s="2" t="str">
        <v>Doll - Model 582</v>
      </c>
      <c r="B309" s="2" t="str">
        <f>_xlfn.XLOOKUP(A309,tbl_raw[Product_Name],tbl_raw[Category])</f>
        <v>Toys</v>
      </c>
      <c r="C309" s="2">
        <f>COUNTIF(tbl_raw[Product_Name],A309)</f>
        <v>1</v>
      </c>
      <c r="D309" s="2">
        <f>SUMIFS(tbl_raw[Units_Sold],tbl_raw[Product_Name],A309)</f>
        <v>7</v>
      </c>
      <c r="E309" s="3">
        <f>SUMIFS(tbl_raw[Net_Profit],tbl_raw[Product_Name],A309)</f>
        <v>2471</v>
      </c>
      <c r="F309" s="2">
        <f>SUMIFS(tbl_raw[Return_Flag],tbl_raw[Product_Name],A309)</f>
        <v>0</v>
      </c>
      <c r="G309" s="3" cm="1">
        <f t="array" ref="G309">SUMPRODUCT((tbl_raw[Product_Name]=A309)*(tbl_raw[MRP]-tbl_raw[Selling_Price])*tbl_raw[Units_Sold])</f>
        <v>13328</v>
      </c>
      <c r="H309" s="83">
        <f>AVERAGEIFS(tbl_raw[Discount_Pct],tbl_raw[Product_Name],A309)</f>
        <v>0.31</v>
      </c>
    </row>
    <row r="310" spans="1:8" hidden="1" x14ac:dyDescent="0.25">
      <c r="A310" s="2" t="str">
        <v>Kurta - Model 948</v>
      </c>
      <c r="B310" s="2" t="str">
        <f>_xlfn.XLOOKUP(A310,tbl_raw[Product_Name],tbl_raw[Category])</f>
        <v>Fashion</v>
      </c>
      <c r="C310" s="2">
        <f>COUNTIF(tbl_raw[Product_Name],A310)</f>
        <v>1</v>
      </c>
      <c r="D310" s="2">
        <f>SUMIFS(tbl_raw[Units_Sold],tbl_raw[Product_Name],A310)</f>
        <v>17</v>
      </c>
      <c r="E310" s="3">
        <f>SUMIFS(tbl_raw[Net_Profit],tbl_raw[Product_Name],A310)</f>
        <v>6460</v>
      </c>
      <c r="F310" s="2">
        <f>SUMIFS(tbl_raw[Return_Flag],tbl_raw[Product_Name],A310)</f>
        <v>0</v>
      </c>
      <c r="G310" s="3" cm="1">
        <f t="array" ref="G310">SUMPRODUCT((tbl_raw[Product_Name]=A310)*(tbl_raw[MRP]-tbl_raw[Selling_Price])*tbl_raw[Units_Sold])</f>
        <v>7242</v>
      </c>
      <c r="H310" s="83">
        <f>AVERAGEIFS(tbl_raw[Discount_Pct],tbl_raw[Product_Name],A310)</f>
        <v>0.24</v>
      </c>
    </row>
    <row r="311" spans="1:8" hidden="1" x14ac:dyDescent="0.25">
      <c r="A311" s="2" t="str">
        <v>Jacket - Model 556</v>
      </c>
      <c r="B311" s="2" t="str">
        <f>_xlfn.XLOOKUP(A311,tbl_raw[Product_Name],tbl_raw[Category])</f>
        <v>Fashion</v>
      </c>
      <c r="C311" s="2">
        <f>COUNTIF(tbl_raw[Product_Name],A311)</f>
        <v>1</v>
      </c>
      <c r="D311" s="2">
        <f>SUMIFS(tbl_raw[Units_Sold],tbl_raw[Product_Name],A311)</f>
        <v>15</v>
      </c>
      <c r="E311" s="3">
        <f>SUMIFS(tbl_raw[Net_Profit],tbl_raw[Product_Name],A311)</f>
        <v>2205</v>
      </c>
      <c r="F311" s="2">
        <f>SUMIFS(tbl_raw[Return_Flag],tbl_raw[Product_Name],A311)</f>
        <v>0</v>
      </c>
      <c r="G311" s="3" cm="1">
        <f t="array" ref="G311">SUMPRODUCT((tbl_raw[Product_Name]=A311)*(tbl_raw[MRP]-tbl_raw[Selling_Price])*tbl_raw[Units_Sold])</f>
        <v>3510</v>
      </c>
      <c r="H311" s="83">
        <f>AVERAGEIFS(tbl_raw[Discount_Pct],tbl_raw[Product_Name],A311)</f>
        <v>0.19</v>
      </c>
    </row>
    <row r="312" spans="1:8" hidden="1" x14ac:dyDescent="0.25">
      <c r="A312" s="2" t="str">
        <v>Sunscreen - Model 174</v>
      </c>
      <c r="B312" s="2" t="str">
        <f>_xlfn.XLOOKUP(A312,tbl_raw[Product_Name],tbl_raw[Category])</f>
        <v>Beauty</v>
      </c>
      <c r="C312" s="2">
        <f>COUNTIF(tbl_raw[Product_Name],A312)</f>
        <v>1</v>
      </c>
      <c r="D312" s="2">
        <f>SUMIFS(tbl_raw[Units_Sold],tbl_raw[Product_Name],A312)</f>
        <v>14</v>
      </c>
      <c r="E312" s="3">
        <f>SUMIFS(tbl_raw[Net_Profit],tbl_raw[Product_Name],A312)</f>
        <v>6594</v>
      </c>
      <c r="F312" s="2">
        <f>SUMIFS(tbl_raw[Return_Flag],tbl_raw[Product_Name],A312)</f>
        <v>0</v>
      </c>
      <c r="G312" s="3" cm="1">
        <f t="array" ref="G312">SUMPRODUCT((tbl_raw[Product_Name]=A312)*(tbl_raw[MRP]-tbl_raw[Selling_Price])*tbl_raw[Units_Sold])</f>
        <v>1218</v>
      </c>
      <c r="H312" s="83">
        <f>AVERAGEIFS(tbl_raw[Discount_Pct],tbl_raw[Product_Name],A312)</f>
        <v>0.03</v>
      </c>
    </row>
    <row r="313" spans="1:8" hidden="1" x14ac:dyDescent="0.25">
      <c r="A313" s="2" t="str">
        <v>Pressure Cooker - Model 884</v>
      </c>
      <c r="B313" s="2" t="str">
        <f>_xlfn.XLOOKUP(A313,tbl_raw[Product_Name],tbl_raw[Category])</f>
        <v>Home &amp; Kitchen</v>
      </c>
      <c r="C313" s="2">
        <f>COUNTIF(tbl_raw[Product_Name],A313)</f>
        <v>1</v>
      </c>
      <c r="D313" s="2">
        <f>SUMIFS(tbl_raw[Units_Sold],tbl_raw[Product_Name],A313)</f>
        <v>12</v>
      </c>
      <c r="E313" s="3">
        <f>SUMIFS(tbl_raw[Net_Profit],tbl_raw[Product_Name],A313)</f>
        <v>9996</v>
      </c>
      <c r="F313" s="2">
        <f>SUMIFS(tbl_raw[Return_Flag],tbl_raw[Product_Name],A313)</f>
        <v>0</v>
      </c>
      <c r="G313" s="3" cm="1">
        <f t="array" ref="G313">SUMPRODUCT((tbl_raw[Product_Name]=A313)*(tbl_raw[MRP]-tbl_raw[Selling_Price])*tbl_raw[Units_Sold])</f>
        <v>16200</v>
      </c>
      <c r="H313" s="83">
        <f>AVERAGEIFS(tbl_raw[Discount_Pct],tbl_raw[Product_Name],A313)</f>
        <v>0.17</v>
      </c>
    </row>
    <row r="314" spans="1:8" hidden="1" x14ac:dyDescent="0.25">
      <c r="A314" s="2" t="str">
        <v>Fiction - Model 282</v>
      </c>
      <c r="B314" s="2" t="str">
        <f>_xlfn.XLOOKUP(A314,tbl_raw[Product_Name],tbl_raw[Category])</f>
        <v>Books</v>
      </c>
      <c r="C314" s="2">
        <f>COUNTIF(tbl_raw[Product_Name],A314)</f>
        <v>1</v>
      </c>
      <c r="D314" s="2">
        <f>SUMIFS(tbl_raw[Units_Sold],tbl_raw[Product_Name],A314)</f>
        <v>13</v>
      </c>
      <c r="E314" s="3">
        <f>SUMIFS(tbl_raw[Net_Profit],tbl_raw[Product_Name],A314)</f>
        <v>10400</v>
      </c>
      <c r="F314" s="2">
        <f>SUMIFS(tbl_raw[Return_Flag],tbl_raw[Product_Name],A314)</f>
        <v>0</v>
      </c>
      <c r="G314" s="3" cm="1">
        <f t="array" ref="G314">SUMPRODUCT((tbl_raw[Product_Name]=A314)*(tbl_raw[MRP]-tbl_raw[Selling_Price])*tbl_raw[Units_Sold])</f>
        <v>18551</v>
      </c>
      <c r="H314" s="83">
        <f>AVERAGEIFS(tbl_raw[Discount_Pct],tbl_raw[Product_Name],A314)</f>
        <v>0.33</v>
      </c>
    </row>
    <row r="315" spans="1:8" hidden="1" x14ac:dyDescent="0.25">
      <c r="A315" s="2" t="str">
        <v>Doll - Model 488</v>
      </c>
      <c r="B315" s="2" t="str">
        <f>_xlfn.XLOOKUP(A315,tbl_raw[Product_Name],tbl_raw[Category])</f>
        <v>Toys</v>
      </c>
      <c r="C315" s="2">
        <f>COUNTIF(tbl_raw[Product_Name],A315)</f>
        <v>1</v>
      </c>
      <c r="D315" s="2">
        <f>SUMIFS(tbl_raw[Units_Sold],tbl_raw[Product_Name],A315)</f>
        <v>8</v>
      </c>
      <c r="E315" s="3">
        <f>SUMIFS(tbl_raw[Net_Profit],tbl_raw[Product_Name],A315)</f>
        <v>12792</v>
      </c>
      <c r="F315" s="2">
        <f>SUMIFS(tbl_raw[Return_Flag],tbl_raw[Product_Name],A315)</f>
        <v>0</v>
      </c>
      <c r="G315" s="3" cm="1">
        <f t="array" ref="G315">SUMPRODUCT((tbl_raw[Product_Name]=A315)*(tbl_raw[MRP]-tbl_raw[Selling_Price])*tbl_raw[Units_Sold])</f>
        <v>2128</v>
      </c>
      <c r="H315" s="83">
        <f>AVERAGEIFS(tbl_raw[Discount_Pct],tbl_raw[Product_Name],A315)</f>
        <v>7.0000000000000007E-2</v>
      </c>
    </row>
    <row r="316" spans="1:8" hidden="1" x14ac:dyDescent="0.25">
      <c r="A316" s="2" t="str">
        <v>Laptop - Model 311</v>
      </c>
      <c r="B316" s="2" t="str">
        <f>_xlfn.XLOOKUP(A316,tbl_raw[Product_Name],tbl_raw[Category])</f>
        <v>Electronics</v>
      </c>
      <c r="C316" s="2">
        <f>COUNTIF(tbl_raw[Product_Name],A316)</f>
        <v>1</v>
      </c>
      <c r="D316" s="2">
        <f>SUMIFS(tbl_raw[Units_Sold],tbl_raw[Product_Name],A316)</f>
        <v>4</v>
      </c>
      <c r="E316" s="3">
        <f>SUMIFS(tbl_raw[Net_Profit],tbl_raw[Product_Name],A316)</f>
        <v>2540</v>
      </c>
      <c r="F316" s="2">
        <f>SUMIFS(tbl_raw[Return_Flag],tbl_raw[Product_Name],A316)</f>
        <v>0</v>
      </c>
      <c r="G316" s="3" cm="1">
        <f t="array" ref="G316">SUMPRODUCT((tbl_raw[Product_Name]=A316)*(tbl_raw[MRP]-tbl_raw[Selling_Price])*tbl_raw[Units_Sold])</f>
        <v>3868</v>
      </c>
      <c r="H316" s="83">
        <f>AVERAGEIFS(tbl_raw[Discount_Pct],tbl_raw[Product_Name],A316)</f>
        <v>0.2</v>
      </c>
    </row>
    <row r="317" spans="1:8" hidden="1" x14ac:dyDescent="0.25">
      <c r="A317" s="2" t="str">
        <v>Moisturizer - Model 243</v>
      </c>
      <c r="B317" s="2" t="str">
        <f>_xlfn.XLOOKUP(A317,tbl_raw[Product_Name],tbl_raw[Category])</f>
        <v>Beauty</v>
      </c>
      <c r="C317" s="2">
        <f>COUNTIF(tbl_raw[Product_Name],A317)</f>
        <v>1</v>
      </c>
      <c r="D317" s="2">
        <f>SUMIFS(tbl_raw[Units_Sold],tbl_raw[Product_Name],A317)</f>
        <v>10</v>
      </c>
      <c r="E317" s="3">
        <f>SUMIFS(tbl_raw[Net_Profit],tbl_raw[Product_Name],A317)</f>
        <v>-1410</v>
      </c>
      <c r="F317" s="2">
        <f>SUMIFS(tbl_raw[Return_Flag],tbl_raw[Product_Name],A317)</f>
        <v>0</v>
      </c>
      <c r="G317" s="3" cm="1">
        <f t="array" ref="G317">SUMPRODUCT((tbl_raw[Product_Name]=A317)*(tbl_raw[MRP]-tbl_raw[Selling_Price])*tbl_raw[Units_Sold])</f>
        <v>8310</v>
      </c>
      <c r="H317" s="83">
        <f>AVERAGEIFS(tbl_raw[Discount_Pct],tbl_raw[Product_Name],A317)</f>
        <v>0.41</v>
      </c>
    </row>
    <row r="318" spans="1:8" hidden="1" x14ac:dyDescent="0.25">
      <c r="A318" s="2" t="str">
        <v>Perfume - Model 407</v>
      </c>
      <c r="B318" s="2" t="str">
        <f>_xlfn.XLOOKUP(A318,tbl_raw[Product_Name],tbl_raw[Category])</f>
        <v>Beauty</v>
      </c>
      <c r="C318" s="2">
        <f>COUNTIF(tbl_raw[Product_Name],A318)</f>
        <v>1</v>
      </c>
      <c r="D318" s="2">
        <f>SUMIFS(tbl_raw[Units_Sold],tbl_raw[Product_Name],A318)</f>
        <v>2</v>
      </c>
      <c r="E318" s="3">
        <f>SUMIFS(tbl_raw[Net_Profit],tbl_raw[Product_Name],A318)</f>
        <v>548</v>
      </c>
      <c r="F318" s="2">
        <f>SUMIFS(tbl_raw[Return_Flag],tbl_raw[Product_Name],A318)</f>
        <v>0</v>
      </c>
      <c r="G318" s="3" cm="1">
        <f t="array" ref="G318">SUMPRODUCT((tbl_raw[Product_Name]=A318)*(tbl_raw[MRP]-tbl_raw[Selling_Price])*tbl_raw[Units_Sold])</f>
        <v>2452</v>
      </c>
      <c r="H318" s="83">
        <f>AVERAGEIFS(tbl_raw[Discount_Pct],tbl_raw[Product_Name],A318)</f>
        <v>0.27</v>
      </c>
    </row>
    <row r="319" spans="1:8" hidden="1" x14ac:dyDescent="0.25">
      <c r="A319" s="2" t="str">
        <v>Doll - Model 426</v>
      </c>
      <c r="B319" s="2" t="str">
        <f>_xlfn.XLOOKUP(A319,tbl_raw[Product_Name],tbl_raw[Category])</f>
        <v>Toys</v>
      </c>
      <c r="C319" s="2">
        <f>COUNTIF(tbl_raw[Product_Name],A319)</f>
        <v>1</v>
      </c>
      <c r="D319" s="2">
        <f>SUMIFS(tbl_raw[Units_Sold],tbl_raw[Product_Name],A319)</f>
        <v>14</v>
      </c>
      <c r="E319" s="3">
        <f>SUMIFS(tbl_raw[Net_Profit],tbl_raw[Product_Name],A319)</f>
        <v>1750</v>
      </c>
      <c r="F319" s="2">
        <f>SUMIFS(tbl_raw[Return_Flag],tbl_raw[Product_Name],A319)</f>
        <v>1</v>
      </c>
      <c r="G319" s="3" cm="1">
        <f t="array" ref="G319">SUMPRODUCT((tbl_raw[Product_Name]=A319)*(tbl_raw[MRP]-tbl_raw[Selling_Price])*tbl_raw[Units_Sold])</f>
        <v>3248</v>
      </c>
      <c r="H319" s="83">
        <f>AVERAGEIFS(tbl_raw[Discount_Pct],tbl_raw[Product_Name],A319)</f>
        <v>0.17</v>
      </c>
    </row>
    <row r="320" spans="1:8" hidden="1" x14ac:dyDescent="0.25">
      <c r="A320" s="2" t="str">
        <v>Remote Car - Model 670</v>
      </c>
      <c r="B320" s="2" t="str">
        <f>_xlfn.XLOOKUP(A320,tbl_raw[Product_Name],tbl_raw[Category])</f>
        <v>Toys</v>
      </c>
      <c r="C320" s="2">
        <f>COUNTIF(tbl_raw[Product_Name],A320)</f>
        <v>1</v>
      </c>
      <c r="D320" s="2">
        <f>SUMIFS(tbl_raw[Units_Sold],tbl_raw[Product_Name],A320)</f>
        <v>5</v>
      </c>
      <c r="E320" s="3">
        <f>SUMIFS(tbl_raw[Net_Profit],tbl_raw[Product_Name],A320)</f>
        <v>5840</v>
      </c>
      <c r="F320" s="2">
        <f>SUMIFS(tbl_raw[Return_Flag],tbl_raw[Product_Name],A320)</f>
        <v>0</v>
      </c>
      <c r="G320" s="3" cm="1">
        <f t="array" ref="G320">SUMPRODUCT((tbl_raw[Product_Name]=A320)*(tbl_raw[MRP]-tbl_raw[Selling_Price])*tbl_raw[Units_Sold])</f>
        <v>1775</v>
      </c>
      <c r="H320" s="83">
        <f>AVERAGEIFS(tbl_raw[Discount_Pct],tbl_raw[Product_Name],A320)</f>
        <v>0.11</v>
      </c>
    </row>
    <row r="321" spans="1:8" hidden="1" x14ac:dyDescent="0.25">
      <c r="A321" s="2" t="str">
        <v>Moisturizer - Model 374</v>
      </c>
      <c r="B321" s="2" t="str">
        <f>_xlfn.XLOOKUP(A321,tbl_raw[Product_Name],tbl_raw[Category])</f>
        <v>Beauty</v>
      </c>
      <c r="C321" s="2">
        <f>COUNTIF(tbl_raw[Product_Name],A321)</f>
        <v>1</v>
      </c>
      <c r="D321" s="2">
        <f>SUMIFS(tbl_raw[Units_Sold],tbl_raw[Product_Name],A321)</f>
        <v>20</v>
      </c>
      <c r="E321" s="3">
        <f>SUMIFS(tbl_raw[Net_Profit],tbl_raw[Product_Name],A321)</f>
        <v>11260</v>
      </c>
      <c r="F321" s="2">
        <f>SUMIFS(tbl_raw[Return_Flag],tbl_raw[Product_Name],A321)</f>
        <v>0</v>
      </c>
      <c r="G321" s="3" cm="1">
        <f t="array" ref="G321">SUMPRODUCT((tbl_raw[Product_Name]=A321)*(tbl_raw[MRP]-tbl_raw[Selling_Price])*tbl_raw[Units_Sold])</f>
        <v>38240</v>
      </c>
      <c r="H321" s="83">
        <f>AVERAGEIFS(tbl_raw[Discount_Pct],tbl_raw[Product_Name],A321)</f>
        <v>0.39</v>
      </c>
    </row>
    <row r="322" spans="1:8" hidden="1" x14ac:dyDescent="0.25">
      <c r="A322" s="2" t="str">
        <v>Laptop - Model 294</v>
      </c>
      <c r="B322" s="2" t="str">
        <f>_xlfn.XLOOKUP(A322,tbl_raw[Product_Name],tbl_raw[Category])</f>
        <v>Electronics</v>
      </c>
      <c r="C322" s="2">
        <f>COUNTIF(tbl_raw[Product_Name],A322)</f>
        <v>1</v>
      </c>
      <c r="D322" s="2">
        <f>SUMIFS(tbl_raw[Units_Sold],tbl_raw[Product_Name],A322)</f>
        <v>16</v>
      </c>
      <c r="E322" s="3">
        <f>SUMIFS(tbl_raw[Net_Profit],tbl_raw[Product_Name],A322)</f>
        <v>3712</v>
      </c>
      <c r="F322" s="2">
        <f>SUMIFS(tbl_raw[Return_Flag],tbl_raw[Product_Name],A322)</f>
        <v>0</v>
      </c>
      <c r="G322" s="3" cm="1">
        <f t="array" ref="G322">SUMPRODUCT((tbl_raw[Product_Name]=A322)*(tbl_raw[MRP]-tbl_raw[Selling_Price])*tbl_raw[Units_Sold])</f>
        <v>36368</v>
      </c>
      <c r="H322" s="83">
        <f>AVERAGEIFS(tbl_raw[Discount_Pct],tbl_raw[Product_Name],A322)</f>
        <v>0.31</v>
      </c>
    </row>
    <row r="323" spans="1:8" hidden="1" x14ac:dyDescent="0.25">
      <c r="A323" s="2" t="str">
        <v>Textbook - Model 367</v>
      </c>
      <c r="B323" s="2" t="str">
        <f>_xlfn.XLOOKUP(A323,tbl_raw[Product_Name],tbl_raw[Category])</f>
        <v>Books</v>
      </c>
      <c r="C323" s="2">
        <f>COUNTIF(tbl_raw[Product_Name],A323)</f>
        <v>1</v>
      </c>
      <c r="D323" s="2">
        <f>SUMIFS(tbl_raw[Units_Sold],tbl_raw[Product_Name],A323)</f>
        <v>17</v>
      </c>
      <c r="E323" s="3">
        <f>SUMIFS(tbl_raw[Net_Profit],tbl_raw[Product_Name],A323)</f>
        <v>10795</v>
      </c>
      <c r="F323" s="2">
        <f>SUMIFS(tbl_raw[Return_Flag],tbl_raw[Product_Name],A323)</f>
        <v>0</v>
      </c>
      <c r="G323" s="3" cm="1">
        <f t="array" ref="G323">SUMPRODUCT((tbl_raw[Product_Name]=A323)*(tbl_raw[MRP]-tbl_raw[Selling_Price])*tbl_raw[Units_Sold])</f>
        <v>25296</v>
      </c>
      <c r="H323" s="83">
        <f>AVERAGEIFS(tbl_raw[Discount_Pct],tbl_raw[Product_Name],A323)</f>
        <v>0.21</v>
      </c>
    </row>
    <row r="324" spans="1:8" hidden="1" x14ac:dyDescent="0.25">
      <c r="A324" s="2" t="str">
        <v>Serum - Model 116</v>
      </c>
      <c r="B324" s="2" t="str">
        <f>_xlfn.XLOOKUP(A324,tbl_raw[Product_Name],tbl_raw[Category])</f>
        <v>Beauty</v>
      </c>
      <c r="C324" s="2">
        <f>COUNTIF(tbl_raw[Product_Name],A324)</f>
        <v>1</v>
      </c>
      <c r="D324" s="2">
        <f>SUMIFS(tbl_raw[Units_Sold],tbl_raw[Product_Name],A324)</f>
        <v>18</v>
      </c>
      <c r="E324" s="3">
        <f>SUMIFS(tbl_raw[Net_Profit],tbl_raw[Product_Name],A324)</f>
        <v>25182</v>
      </c>
      <c r="F324" s="2">
        <f>SUMIFS(tbl_raw[Return_Flag],tbl_raw[Product_Name],A324)</f>
        <v>0</v>
      </c>
      <c r="G324" s="3" cm="1">
        <f t="array" ref="G324">SUMPRODUCT((tbl_raw[Product_Name]=A324)*(tbl_raw[MRP]-tbl_raw[Selling_Price])*tbl_raw[Units_Sold])</f>
        <v>35064</v>
      </c>
      <c r="H324" s="83">
        <f>AVERAGEIFS(tbl_raw[Discount_Pct],tbl_raw[Product_Name],A324)</f>
        <v>0.26</v>
      </c>
    </row>
    <row r="325" spans="1:8" hidden="1" x14ac:dyDescent="0.25">
      <c r="A325" s="2" t="str">
        <v>Textbook - Model 881</v>
      </c>
      <c r="B325" s="2" t="str">
        <f>_xlfn.XLOOKUP(A325,tbl_raw[Product_Name],tbl_raw[Category])</f>
        <v>Books</v>
      </c>
      <c r="C325" s="2">
        <f>COUNTIF(tbl_raw[Product_Name],A325)</f>
        <v>1</v>
      </c>
      <c r="D325" s="2">
        <f>SUMIFS(tbl_raw[Units_Sold],tbl_raw[Product_Name],A325)</f>
        <v>16</v>
      </c>
      <c r="E325" s="3">
        <f>SUMIFS(tbl_raw[Net_Profit],tbl_raw[Product_Name],A325)</f>
        <v>8096</v>
      </c>
      <c r="F325" s="2">
        <f>SUMIFS(tbl_raw[Return_Flag],tbl_raw[Product_Name],A325)</f>
        <v>0</v>
      </c>
      <c r="G325" s="3" cm="1">
        <f t="array" ref="G325">SUMPRODUCT((tbl_raw[Product_Name]=A325)*(tbl_raw[MRP]-tbl_raw[Selling_Price])*tbl_raw[Units_Sold])</f>
        <v>20032</v>
      </c>
      <c r="H325" s="83">
        <f>AVERAGEIFS(tbl_raw[Discount_Pct],tbl_raw[Product_Name],A325)</f>
        <v>0.33</v>
      </c>
    </row>
    <row r="326" spans="1:8" hidden="1" x14ac:dyDescent="0.25">
      <c r="A326" s="2" t="str">
        <v>Tablet - Model 134</v>
      </c>
      <c r="B326" s="2" t="str">
        <f>_xlfn.XLOOKUP(A326,tbl_raw[Product_Name],tbl_raw[Category])</f>
        <v>Electronics</v>
      </c>
      <c r="C326" s="2">
        <f>COUNTIF(tbl_raw[Product_Name],A326)</f>
        <v>1</v>
      </c>
      <c r="D326" s="2">
        <f>SUMIFS(tbl_raw[Units_Sold],tbl_raw[Product_Name],A326)</f>
        <v>2</v>
      </c>
      <c r="E326" s="3">
        <f>SUMIFS(tbl_raw[Net_Profit],tbl_raw[Product_Name],A326)</f>
        <v>1288</v>
      </c>
      <c r="F326" s="2">
        <f>SUMIFS(tbl_raw[Return_Flag],tbl_raw[Product_Name],A326)</f>
        <v>0</v>
      </c>
      <c r="G326" s="3" cm="1">
        <f t="array" ref="G326">SUMPRODUCT((tbl_raw[Product_Name]=A326)*(tbl_raw[MRP]-tbl_raw[Selling_Price])*tbl_raw[Units_Sold])</f>
        <v>2342</v>
      </c>
      <c r="H326" s="83">
        <f>AVERAGEIFS(tbl_raw[Discount_Pct],tbl_raw[Product_Name],A326)</f>
        <v>0.19</v>
      </c>
    </row>
    <row r="327" spans="1:8" hidden="1" x14ac:dyDescent="0.25">
      <c r="A327" s="2" t="str">
        <v>Pulses - Model 116</v>
      </c>
      <c r="B327" s="2" t="str">
        <f>_xlfn.XLOOKUP(A327,tbl_raw[Product_Name],tbl_raw[Category])</f>
        <v>Grocery</v>
      </c>
      <c r="C327" s="2">
        <f>COUNTIF(tbl_raw[Product_Name],A327)</f>
        <v>1</v>
      </c>
      <c r="D327" s="2">
        <f>SUMIFS(tbl_raw[Units_Sold],tbl_raw[Product_Name],A327)</f>
        <v>18</v>
      </c>
      <c r="E327" s="3">
        <f>SUMIFS(tbl_raw[Net_Profit],tbl_raw[Product_Name],A327)</f>
        <v>31518</v>
      </c>
      <c r="F327" s="2">
        <f>SUMIFS(tbl_raw[Return_Flag],tbl_raw[Product_Name],A327)</f>
        <v>1</v>
      </c>
      <c r="G327" s="3" cm="1">
        <f t="array" ref="G327">SUMPRODUCT((tbl_raw[Product_Name]=A327)*(tbl_raw[MRP]-tbl_raw[Selling_Price])*tbl_raw[Units_Sold])</f>
        <v>810</v>
      </c>
      <c r="H327" s="83">
        <f>AVERAGEIFS(tbl_raw[Discount_Pct],tbl_raw[Product_Name],A327)</f>
        <v>0.01</v>
      </c>
    </row>
    <row r="328" spans="1:8" hidden="1" x14ac:dyDescent="0.25">
      <c r="A328" s="2" t="str">
        <v>Mixer - Model 198</v>
      </c>
      <c r="B328" s="2" t="str">
        <f>_xlfn.XLOOKUP(A328,tbl_raw[Product_Name],tbl_raw[Category])</f>
        <v>Home &amp; Kitchen</v>
      </c>
      <c r="C328" s="2">
        <f>COUNTIF(tbl_raw[Product_Name],A328)</f>
        <v>1</v>
      </c>
      <c r="D328" s="2">
        <f>SUMIFS(tbl_raw[Units_Sold],tbl_raw[Product_Name],A328)</f>
        <v>5</v>
      </c>
      <c r="E328" s="3">
        <f>SUMIFS(tbl_raw[Net_Profit],tbl_raw[Product_Name],A328)</f>
        <v>1995</v>
      </c>
      <c r="F328" s="2">
        <f>SUMIFS(tbl_raw[Return_Flag],tbl_raw[Product_Name],A328)</f>
        <v>0</v>
      </c>
      <c r="G328" s="3" cm="1">
        <f t="array" ref="G328">SUMPRODUCT((tbl_raw[Product_Name]=A328)*(tbl_raw[MRP]-tbl_raw[Selling_Price])*tbl_raw[Units_Sold])</f>
        <v>2910</v>
      </c>
      <c r="H328" s="83">
        <f>AVERAGEIFS(tbl_raw[Discount_Pct],tbl_raw[Product_Name],A328)</f>
        <v>0.28000000000000003</v>
      </c>
    </row>
    <row r="329" spans="1:8" hidden="1" x14ac:dyDescent="0.25">
      <c r="A329" s="2" t="str">
        <v>Serum - Model 407</v>
      </c>
      <c r="B329" s="2" t="str">
        <f>_xlfn.XLOOKUP(A329,tbl_raw[Product_Name],tbl_raw[Category])</f>
        <v>Beauty</v>
      </c>
      <c r="C329" s="2">
        <f>COUNTIF(tbl_raw[Product_Name],A329)</f>
        <v>2</v>
      </c>
      <c r="D329" s="2">
        <f>SUMIFS(tbl_raw[Units_Sold],tbl_raw[Product_Name],A329)</f>
        <v>13</v>
      </c>
      <c r="E329" s="3">
        <f>SUMIFS(tbl_raw[Net_Profit],tbl_raw[Product_Name],A329)</f>
        <v>4390</v>
      </c>
      <c r="F329" s="2">
        <f>SUMIFS(tbl_raw[Return_Flag],tbl_raw[Product_Name],A329)</f>
        <v>0</v>
      </c>
      <c r="G329" s="3" cm="1">
        <f t="array" ref="G329">SUMPRODUCT((tbl_raw[Product_Name]=A329)*(tbl_raw[MRP]-tbl_raw[Selling_Price])*tbl_raw[Units_Sold])</f>
        <v>5123</v>
      </c>
      <c r="H329" s="83">
        <f>AVERAGEIFS(tbl_raw[Discount_Pct],tbl_raw[Product_Name],A329)</f>
        <v>0.18</v>
      </c>
    </row>
    <row r="330" spans="1:8" hidden="1" x14ac:dyDescent="0.25">
      <c r="A330" s="2" t="str">
        <v>Comic - Model 978</v>
      </c>
      <c r="B330" s="2" t="str">
        <f>_xlfn.XLOOKUP(A330,tbl_raw[Product_Name],tbl_raw[Category])</f>
        <v>Books</v>
      </c>
      <c r="C330" s="2">
        <f>COUNTIF(tbl_raw[Product_Name],A330)</f>
        <v>1</v>
      </c>
      <c r="D330" s="2">
        <f>SUMIFS(tbl_raw[Units_Sold],tbl_raw[Product_Name],A330)</f>
        <v>17</v>
      </c>
      <c r="E330" s="3">
        <f>SUMIFS(tbl_raw[Net_Profit],tbl_raw[Product_Name],A330)</f>
        <v>20842</v>
      </c>
      <c r="F330" s="2">
        <f>SUMIFS(tbl_raw[Return_Flag],tbl_raw[Product_Name],A330)</f>
        <v>0</v>
      </c>
      <c r="G330" s="3" cm="1">
        <f t="array" ref="G330">SUMPRODUCT((tbl_raw[Product_Name]=A330)*(tbl_raw[MRP]-tbl_raw[Selling_Price])*tbl_raw[Units_Sold])</f>
        <v>12529</v>
      </c>
      <c r="H330" s="83">
        <f>AVERAGEIFS(tbl_raw[Discount_Pct],tbl_raw[Product_Name],A330)</f>
        <v>0.1</v>
      </c>
    </row>
    <row r="331" spans="1:8" hidden="1" x14ac:dyDescent="0.25">
      <c r="A331" s="2" t="str">
        <v>Cycle - Model 677</v>
      </c>
      <c r="B331" s="2" t="str">
        <f>_xlfn.XLOOKUP(A331,tbl_raw[Product_Name],tbl_raw[Category])</f>
        <v>Sports</v>
      </c>
      <c r="C331" s="2">
        <f>COUNTIF(tbl_raw[Product_Name],A331)</f>
        <v>1</v>
      </c>
      <c r="D331" s="2">
        <f>SUMIFS(tbl_raw[Units_Sold],tbl_raw[Product_Name],A331)</f>
        <v>6</v>
      </c>
      <c r="E331" s="3">
        <f>SUMIFS(tbl_raw[Net_Profit],tbl_raw[Product_Name],A331)</f>
        <v>4806</v>
      </c>
      <c r="F331" s="2">
        <f>SUMIFS(tbl_raw[Return_Flag],tbl_raw[Product_Name],A331)</f>
        <v>0</v>
      </c>
      <c r="G331" s="3" cm="1">
        <f t="array" ref="G331">SUMPRODUCT((tbl_raw[Product_Name]=A331)*(tbl_raw[MRP]-tbl_raw[Selling_Price])*tbl_raw[Units_Sold])</f>
        <v>6252</v>
      </c>
      <c r="H331" s="83">
        <f>AVERAGEIFS(tbl_raw[Discount_Pct],tbl_raw[Product_Name],A331)</f>
        <v>0.14000000000000001</v>
      </c>
    </row>
    <row r="332" spans="1:8" hidden="1" x14ac:dyDescent="0.25">
      <c r="A332" s="2" t="str">
        <v>Doll - Model 439</v>
      </c>
      <c r="B332" s="2" t="str">
        <f>_xlfn.XLOOKUP(A332,tbl_raw[Product_Name],tbl_raw[Category])</f>
        <v>Toys</v>
      </c>
      <c r="C332" s="2">
        <f>COUNTIF(tbl_raw[Product_Name],A332)</f>
        <v>1</v>
      </c>
      <c r="D332" s="2">
        <f>SUMIFS(tbl_raw[Units_Sold],tbl_raw[Product_Name],A332)</f>
        <v>5</v>
      </c>
      <c r="E332" s="3">
        <f>SUMIFS(tbl_raw[Net_Profit],tbl_raw[Product_Name],A332)</f>
        <v>7650</v>
      </c>
      <c r="F332" s="2">
        <f>SUMIFS(tbl_raw[Return_Flag],tbl_raw[Product_Name],A332)</f>
        <v>0</v>
      </c>
      <c r="G332" s="3" cm="1">
        <f t="array" ref="G332">SUMPRODUCT((tbl_raw[Product_Name]=A332)*(tbl_raw[MRP]-tbl_raw[Selling_Price])*tbl_raw[Units_Sold])</f>
        <v>9865</v>
      </c>
      <c r="H332" s="83">
        <f>AVERAGEIFS(tbl_raw[Discount_Pct],tbl_raw[Product_Name],A332)</f>
        <v>0.31</v>
      </c>
    </row>
    <row r="333" spans="1:8" hidden="1" x14ac:dyDescent="0.25">
      <c r="A333" s="2" t="str">
        <v>Puzzle - Model 130</v>
      </c>
      <c r="B333" s="2" t="str">
        <f>_xlfn.XLOOKUP(A333,tbl_raw[Product_Name],tbl_raw[Category])</f>
        <v>Toys</v>
      </c>
      <c r="C333" s="2">
        <f>COUNTIF(tbl_raw[Product_Name],A333)</f>
        <v>1</v>
      </c>
      <c r="D333" s="2">
        <f>SUMIFS(tbl_raw[Units_Sold],tbl_raw[Product_Name],A333)</f>
        <v>15</v>
      </c>
      <c r="E333" s="3">
        <f>SUMIFS(tbl_raw[Net_Profit],tbl_raw[Product_Name],A333)</f>
        <v>5265</v>
      </c>
      <c r="F333" s="2">
        <f>SUMIFS(tbl_raw[Return_Flag],tbl_raw[Product_Name],A333)</f>
        <v>0</v>
      </c>
      <c r="G333" s="3" cm="1">
        <f t="array" ref="G333">SUMPRODUCT((tbl_raw[Product_Name]=A333)*(tbl_raw[MRP]-tbl_raw[Selling_Price])*tbl_raw[Units_Sold])</f>
        <v>9660</v>
      </c>
      <c r="H333" s="83">
        <f>AVERAGEIFS(tbl_raw[Discount_Pct],tbl_raw[Product_Name],A333)</f>
        <v>0.16</v>
      </c>
    </row>
    <row r="334" spans="1:8" hidden="1" x14ac:dyDescent="0.25">
      <c r="A334" s="2" t="str">
        <v>Moisturizer - Model 184</v>
      </c>
      <c r="B334" s="2" t="str">
        <f>_xlfn.XLOOKUP(A334,tbl_raw[Product_Name],tbl_raw[Category])</f>
        <v>Beauty</v>
      </c>
      <c r="C334" s="2">
        <f>COUNTIF(tbl_raw[Product_Name],A334)</f>
        <v>1</v>
      </c>
      <c r="D334" s="2">
        <f>SUMIFS(tbl_raw[Units_Sold],tbl_raw[Product_Name],A334)</f>
        <v>5</v>
      </c>
      <c r="E334" s="3">
        <f>SUMIFS(tbl_raw[Net_Profit],tbl_raw[Product_Name],A334)</f>
        <v>2665</v>
      </c>
      <c r="F334" s="2">
        <f>SUMIFS(tbl_raw[Return_Flag],tbl_raw[Product_Name],A334)</f>
        <v>0</v>
      </c>
      <c r="G334" s="3" cm="1">
        <f t="array" ref="G334">SUMPRODUCT((tbl_raw[Product_Name]=A334)*(tbl_raw[MRP]-tbl_raw[Selling_Price])*tbl_raw[Units_Sold])</f>
        <v>5535</v>
      </c>
      <c r="H334" s="83">
        <f>AVERAGEIFS(tbl_raw[Discount_Pct],tbl_raw[Product_Name],A334)</f>
        <v>0.35</v>
      </c>
    </row>
    <row r="335" spans="1:8" hidden="1" x14ac:dyDescent="0.25">
      <c r="A335" s="2" t="str">
        <v>Textbook - Model 204</v>
      </c>
      <c r="B335" s="2" t="str">
        <f>_xlfn.XLOOKUP(A335,tbl_raw[Product_Name],tbl_raw[Category])</f>
        <v>Books</v>
      </c>
      <c r="C335" s="2">
        <f>COUNTIF(tbl_raw[Product_Name],A335)</f>
        <v>1</v>
      </c>
      <c r="D335" s="2">
        <f>SUMIFS(tbl_raw[Units_Sold],tbl_raw[Product_Name],A335)</f>
        <v>3</v>
      </c>
      <c r="E335" s="3">
        <f>SUMIFS(tbl_raw[Net_Profit],tbl_raw[Product_Name],A335)</f>
        <v>756</v>
      </c>
      <c r="F335" s="2">
        <f>SUMIFS(tbl_raw[Return_Flag],tbl_raw[Product_Name],A335)</f>
        <v>0</v>
      </c>
      <c r="G335" s="3" cm="1">
        <f t="array" ref="G335">SUMPRODUCT((tbl_raw[Product_Name]=A335)*(tbl_raw[MRP]-tbl_raw[Selling_Price])*tbl_raw[Units_Sold])</f>
        <v>996</v>
      </c>
      <c r="H335" s="83">
        <f>AVERAGEIFS(tbl_raw[Discount_Pct],tbl_raw[Product_Name],A335)</f>
        <v>0.2</v>
      </c>
    </row>
    <row r="336" spans="1:8" hidden="1" x14ac:dyDescent="0.25">
      <c r="A336" s="2" t="str">
        <v>Children - Model 112</v>
      </c>
      <c r="B336" s="2" t="str">
        <f>_xlfn.XLOOKUP(A336,tbl_raw[Product_Name],tbl_raw[Category])</f>
        <v>Books</v>
      </c>
      <c r="C336" s="2">
        <f>COUNTIF(tbl_raw[Product_Name],A336)</f>
        <v>1</v>
      </c>
      <c r="D336" s="2">
        <f>SUMIFS(tbl_raw[Units_Sold],tbl_raw[Product_Name],A336)</f>
        <v>14</v>
      </c>
      <c r="E336" s="3">
        <f>SUMIFS(tbl_raw[Net_Profit],tbl_raw[Product_Name],A336)</f>
        <v>8722</v>
      </c>
      <c r="F336" s="2">
        <f>SUMIFS(tbl_raw[Return_Flag],tbl_raw[Product_Name],A336)</f>
        <v>0</v>
      </c>
      <c r="G336" s="3" cm="1">
        <f t="array" ref="G336">SUMPRODUCT((tbl_raw[Product_Name]=A336)*(tbl_raw[MRP]-tbl_raw[Selling_Price])*tbl_raw[Units_Sold])</f>
        <v>1806</v>
      </c>
      <c r="H336" s="83">
        <f>AVERAGEIFS(tbl_raw[Discount_Pct],tbl_raw[Product_Name],A336)</f>
        <v>0.04</v>
      </c>
    </row>
    <row r="337" spans="1:8" hidden="1" x14ac:dyDescent="0.25">
      <c r="A337" s="2" t="str">
        <v>Bedsheet - Model 408</v>
      </c>
      <c r="B337" s="2" t="str">
        <f>_xlfn.XLOOKUP(A337,tbl_raw[Product_Name],tbl_raw[Category])</f>
        <v>Home &amp; Kitchen</v>
      </c>
      <c r="C337" s="2">
        <f>COUNTIF(tbl_raw[Product_Name],A337)</f>
        <v>1</v>
      </c>
      <c r="D337" s="2">
        <f>SUMIFS(tbl_raw[Units_Sold],tbl_raw[Product_Name],A337)</f>
        <v>16</v>
      </c>
      <c r="E337" s="3">
        <f>SUMIFS(tbl_raw[Net_Profit],tbl_raw[Product_Name],A337)</f>
        <v>7872</v>
      </c>
      <c r="F337" s="2">
        <f>SUMIFS(tbl_raw[Return_Flag],tbl_raw[Product_Name],A337)</f>
        <v>0</v>
      </c>
      <c r="G337" s="3" cm="1">
        <f t="array" ref="G337">SUMPRODUCT((tbl_raw[Product_Name]=A337)*(tbl_raw[MRP]-tbl_raw[Selling_Price])*tbl_raw[Units_Sold])</f>
        <v>1712</v>
      </c>
      <c r="H337" s="83">
        <f>AVERAGEIFS(tbl_raw[Discount_Pct],tbl_raw[Product_Name],A337)</f>
        <v>0.08</v>
      </c>
    </row>
    <row r="338" spans="1:8" hidden="1" x14ac:dyDescent="0.25">
      <c r="A338" s="2" t="str">
        <v>Spices - Model 731</v>
      </c>
      <c r="B338" s="2" t="str">
        <f>_xlfn.XLOOKUP(A338,tbl_raw[Product_Name],tbl_raw[Category])</f>
        <v>Grocery</v>
      </c>
      <c r="C338" s="2">
        <f>COUNTIF(tbl_raw[Product_Name],A338)</f>
        <v>1</v>
      </c>
      <c r="D338" s="2">
        <f>SUMIFS(tbl_raw[Units_Sold],tbl_raw[Product_Name],A338)</f>
        <v>15</v>
      </c>
      <c r="E338" s="3">
        <f>SUMIFS(tbl_raw[Net_Profit],tbl_raw[Product_Name],A338)</f>
        <v>780</v>
      </c>
      <c r="F338" s="2">
        <f>SUMIFS(tbl_raw[Return_Flag],tbl_raw[Product_Name],A338)</f>
        <v>0</v>
      </c>
      <c r="G338" s="3" cm="1">
        <f t="array" ref="G338">SUMPRODUCT((tbl_raw[Product_Name]=A338)*(tbl_raw[MRP]-tbl_raw[Selling_Price])*tbl_raw[Units_Sold])</f>
        <v>2175</v>
      </c>
      <c r="H338" s="83">
        <f>AVERAGEIFS(tbl_raw[Discount_Pct],tbl_raw[Product_Name],A338)</f>
        <v>0.14000000000000001</v>
      </c>
    </row>
    <row r="339" spans="1:8" hidden="1" x14ac:dyDescent="0.25">
      <c r="A339" s="2" t="str">
        <v>Doll - Model 239</v>
      </c>
      <c r="B339" s="2" t="str">
        <f>_xlfn.XLOOKUP(A339,tbl_raw[Product_Name],tbl_raw[Category])</f>
        <v>Toys</v>
      </c>
      <c r="C339" s="2">
        <f>COUNTIF(tbl_raw[Product_Name],A339)</f>
        <v>1</v>
      </c>
      <c r="D339" s="2">
        <f>SUMIFS(tbl_raw[Units_Sold],tbl_raw[Product_Name],A339)</f>
        <v>11</v>
      </c>
      <c r="E339" s="3">
        <f>SUMIFS(tbl_raw[Net_Profit],tbl_raw[Product_Name],A339)</f>
        <v>5973</v>
      </c>
      <c r="F339" s="2">
        <f>SUMIFS(tbl_raw[Return_Flag],tbl_raw[Product_Name],A339)</f>
        <v>0</v>
      </c>
      <c r="G339" s="3" cm="1">
        <f t="array" ref="G339">SUMPRODUCT((tbl_raw[Product_Name]=A339)*(tbl_raw[MRP]-tbl_raw[Selling_Price])*tbl_raw[Units_Sold])</f>
        <v>16731</v>
      </c>
      <c r="H339" s="83">
        <f>AVERAGEIFS(tbl_raw[Discount_Pct],tbl_raw[Product_Name],A339)</f>
        <v>0.31</v>
      </c>
    </row>
    <row r="340" spans="1:8" hidden="1" x14ac:dyDescent="0.25">
      <c r="A340" s="2" t="str">
        <v>Spices - Model 900</v>
      </c>
      <c r="B340" s="2" t="str">
        <f>_xlfn.XLOOKUP(A340,tbl_raw[Product_Name],tbl_raw[Category])</f>
        <v>Grocery</v>
      </c>
      <c r="C340" s="2">
        <f>COUNTIF(tbl_raw[Product_Name],A340)</f>
        <v>1</v>
      </c>
      <c r="D340" s="2">
        <f>SUMIFS(tbl_raw[Units_Sold],tbl_raw[Product_Name],A340)</f>
        <v>11</v>
      </c>
      <c r="E340" s="3">
        <f>SUMIFS(tbl_raw[Net_Profit],tbl_raw[Product_Name],A340)</f>
        <v>2673</v>
      </c>
      <c r="F340" s="2">
        <f>SUMIFS(tbl_raw[Return_Flag],tbl_raw[Product_Name],A340)</f>
        <v>0</v>
      </c>
      <c r="G340" s="3" cm="1">
        <f t="array" ref="G340">SUMPRODUCT((tbl_raw[Product_Name]=A340)*(tbl_raw[MRP]-tbl_raw[Selling_Price])*tbl_raw[Units_Sold])</f>
        <v>12749</v>
      </c>
      <c r="H340" s="83">
        <f>AVERAGEIFS(tbl_raw[Discount_Pct],tbl_raw[Product_Name],A340)</f>
        <v>0.37</v>
      </c>
    </row>
    <row r="341" spans="1:8" hidden="1" x14ac:dyDescent="0.25">
      <c r="A341" s="2" t="str">
        <v>Smartwatch - Model 825</v>
      </c>
      <c r="B341" s="2" t="str">
        <f>_xlfn.XLOOKUP(A341,tbl_raw[Product_Name],tbl_raw[Category])</f>
        <v>Electronics</v>
      </c>
      <c r="C341" s="2">
        <f>COUNTIF(tbl_raw[Product_Name],A341)</f>
        <v>1</v>
      </c>
      <c r="D341" s="2">
        <f>SUMIFS(tbl_raw[Units_Sold],tbl_raw[Product_Name],A341)</f>
        <v>15</v>
      </c>
      <c r="E341" s="3">
        <f>SUMIFS(tbl_raw[Net_Profit],tbl_raw[Product_Name],A341)</f>
        <v>17475</v>
      </c>
      <c r="F341" s="2">
        <f>SUMIFS(tbl_raw[Return_Flag],tbl_raw[Product_Name],A341)</f>
        <v>0</v>
      </c>
      <c r="G341" s="3" cm="1">
        <f t="array" ref="G341">SUMPRODUCT((tbl_raw[Product_Name]=A341)*(tbl_raw[MRP]-tbl_raw[Selling_Price])*tbl_raw[Units_Sold])</f>
        <v>35640</v>
      </c>
      <c r="H341" s="83">
        <f>AVERAGEIFS(tbl_raw[Discount_Pct],tbl_raw[Product_Name],A341)</f>
        <v>0.37</v>
      </c>
    </row>
    <row r="342" spans="1:8" hidden="1" x14ac:dyDescent="0.25">
      <c r="A342" s="2" t="str">
        <v>Cricket Bat - Model 832</v>
      </c>
      <c r="B342" s="2" t="str">
        <f>_xlfn.XLOOKUP(A342,tbl_raw[Product_Name],tbl_raw[Category])</f>
        <v>Sports</v>
      </c>
      <c r="C342" s="2">
        <f>COUNTIF(tbl_raw[Product_Name],A342)</f>
        <v>1</v>
      </c>
      <c r="D342" s="2">
        <f>SUMIFS(tbl_raw[Units_Sold],tbl_raw[Product_Name],A342)</f>
        <v>13</v>
      </c>
      <c r="E342" s="3">
        <f>SUMIFS(tbl_raw[Net_Profit],tbl_raw[Product_Name],A342)</f>
        <v>-1352</v>
      </c>
      <c r="F342" s="2">
        <f>SUMIFS(tbl_raw[Return_Flag],tbl_raw[Product_Name],A342)</f>
        <v>0</v>
      </c>
      <c r="G342" s="3" cm="1">
        <f t="array" ref="G342">SUMPRODUCT((tbl_raw[Product_Name]=A342)*(tbl_raw[MRP]-tbl_raw[Selling_Price])*tbl_raw[Units_Sold])</f>
        <v>4550</v>
      </c>
      <c r="H342" s="83">
        <f>AVERAGEIFS(tbl_raw[Discount_Pct],tbl_raw[Product_Name],A342)</f>
        <v>0.45</v>
      </c>
    </row>
    <row r="343" spans="1:8" hidden="1" x14ac:dyDescent="0.25">
      <c r="A343" s="2" t="str">
        <v>Headphones - Model 818</v>
      </c>
      <c r="B343" s="2" t="str">
        <f>_xlfn.XLOOKUP(A343,tbl_raw[Product_Name],tbl_raw[Category])</f>
        <v>Electronics</v>
      </c>
      <c r="C343" s="2">
        <f>COUNTIF(tbl_raw[Product_Name],A343)</f>
        <v>1</v>
      </c>
      <c r="D343" s="2">
        <f>SUMIFS(tbl_raw[Units_Sold],tbl_raw[Product_Name],A343)</f>
        <v>20</v>
      </c>
      <c r="E343" s="3">
        <f>SUMIFS(tbl_raw[Net_Profit],tbl_raw[Product_Name],A343)</f>
        <v>27540</v>
      </c>
      <c r="F343" s="2">
        <f>SUMIFS(tbl_raw[Return_Flag],tbl_raw[Product_Name],A343)</f>
        <v>0</v>
      </c>
      <c r="G343" s="3" cm="1">
        <f t="array" ref="G343">SUMPRODUCT((tbl_raw[Product_Name]=A343)*(tbl_raw[MRP]-tbl_raw[Selling_Price])*tbl_raw[Units_Sold])</f>
        <v>4140</v>
      </c>
      <c r="H343" s="83">
        <f>AVERAGEIFS(tbl_raw[Discount_Pct],tbl_raw[Product_Name],A343)</f>
        <v>0.04</v>
      </c>
    </row>
    <row r="344" spans="1:8" hidden="1" x14ac:dyDescent="0.25">
      <c r="A344" s="2" t="str">
        <v>Puzzle - Model 915</v>
      </c>
      <c r="B344" s="2" t="str">
        <f>_xlfn.XLOOKUP(A344,tbl_raw[Product_Name],tbl_raw[Category])</f>
        <v>Toys</v>
      </c>
      <c r="C344" s="2">
        <f>COUNTIF(tbl_raw[Product_Name],A344)</f>
        <v>2</v>
      </c>
      <c r="D344" s="2">
        <f>SUMIFS(tbl_raw[Units_Sold],tbl_raw[Product_Name],A344)</f>
        <v>10</v>
      </c>
      <c r="E344" s="3">
        <f>SUMIFS(tbl_raw[Net_Profit],tbl_raw[Product_Name],A344)</f>
        <v>5428</v>
      </c>
      <c r="F344" s="2">
        <f>SUMIFS(tbl_raw[Return_Flag],tbl_raw[Product_Name],A344)</f>
        <v>0</v>
      </c>
      <c r="G344" s="3" cm="1">
        <f t="array" ref="G344">SUMPRODUCT((tbl_raw[Product_Name]=A344)*(tbl_raw[MRP]-tbl_raw[Selling_Price])*tbl_raw[Units_Sold])</f>
        <v>4072</v>
      </c>
      <c r="H344" s="83">
        <f>AVERAGEIFS(tbl_raw[Discount_Pct],tbl_raw[Product_Name],A344)</f>
        <v>0.125</v>
      </c>
    </row>
    <row r="345" spans="1:8" hidden="1" x14ac:dyDescent="0.25">
      <c r="A345" s="2" t="str">
        <v>Spices - Model 807</v>
      </c>
      <c r="B345" s="2" t="str">
        <f>_xlfn.XLOOKUP(A345,tbl_raw[Product_Name],tbl_raw[Category])</f>
        <v>Grocery</v>
      </c>
      <c r="C345" s="2">
        <f>COUNTIF(tbl_raw[Product_Name],A345)</f>
        <v>1</v>
      </c>
      <c r="D345" s="2">
        <f>SUMIFS(tbl_raw[Units_Sold],tbl_raw[Product_Name],A345)</f>
        <v>5</v>
      </c>
      <c r="E345" s="3">
        <f>SUMIFS(tbl_raw[Net_Profit],tbl_raw[Product_Name],A345)</f>
        <v>7540</v>
      </c>
      <c r="F345" s="2">
        <f>SUMIFS(tbl_raw[Return_Flag],tbl_raw[Product_Name],A345)</f>
        <v>0</v>
      </c>
      <c r="G345" s="3" cm="1">
        <f t="array" ref="G345">SUMPRODUCT((tbl_raw[Product_Name]=A345)*(tbl_raw[MRP]-tbl_raw[Selling_Price])*tbl_raw[Units_Sold])</f>
        <v>145</v>
      </c>
      <c r="H345" s="83">
        <f>AVERAGEIFS(tbl_raw[Discount_Pct],tbl_raw[Product_Name],A345)</f>
        <v>0.01</v>
      </c>
    </row>
    <row r="346" spans="1:8" hidden="1" x14ac:dyDescent="0.25">
      <c r="A346" s="2" t="str">
        <v>Yoga Mat - Model 566</v>
      </c>
      <c r="B346" s="2" t="str">
        <f>_xlfn.XLOOKUP(A346,tbl_raw[Product_Name],tbl_raw[Category])</f>
        <v>Sports</v>
      </c>
      <c r="C346" s="2">
        <f>COUNTIF(tbl_raw[Product_Name],A346)</f>
        <v>1</v>
      </c>
      <c r="D346" s="2">
        <f>SUMIFS(tbl_raw[Units_Sold],tbl_raw[Product_Name],A346)</f>
        <v>17</v>
      </c>
      <c r="E346" s="3">
        <f>SUMIFS(tbl_raw[Net_Profit],tbl_raw[Product_Name],A346)</f>
        <v>13668</v>
      </c>
      <c r="F346" s="2">
        <f>SUMIFS(tbl_raw[Return_Flag],tbl_raw[Product_Name],A346)</f>
        <v>0</v>
      </c>
      <c r="G346" s="3" cm="1">
        <f t="array" ref="G346">SUMPRODUCT((tbl_raw[Product_Name]=A346)*(tbl_raw[MRP]-tbl_raw[Selling_Price])*tbl_raw[Units_Sold])</f>
        <v>14161</v>
      </c>
      <c r="H346" s="83">
        <f>AVERAGEIFS(tbl_raw[Discount_Pct],tbl_raw[Product_Name],A346)</f>
        <v>0.21</v>
      </c>
    </row>
    <row r="347" spans="1:8" hidden="1" x14ac:dyDescent="0.25">
      <c r="A347" s="2" t="str">
        <v>Headphones - Model 763</v>
      </c>
      <c r="B347" s="2" t="str">
        <f>_xlfn.XLOOKUP(A347,tbl_raw[Product_Name],tbl_raw[Category])</f>
        <v>Electronics</v>
      </c>
      <c r="C347" s="2">
        <f>COUNTIF(tbl_raw[Product_Name],A347)</f>
        <v>1</v>
      </c>
      <c r="D347" s="2">
        <f>SUMIFS(tbl_raw[Units_Sold],tbl_raw[Product_Name],A347)</f>
        <v>6</v>
      </c>
      <c r="E347" s="3">
        <f>SUMIFS(tbl_raw[Net_Profit],tbl_raw[Product_Name],A347)</f>
        <v>3324</v>
      </c>
      <c r="F347" s="2">
        <f>SUMIFS(tbl_raw[Return_Flag],tbl_raw[Product_Name],A347)</f>
        <v>0</v>
      </c>
      <c r="G347" s="3" cm="1">
        <f t="array" ref="G347">SUMPRODUCT((tbl_raw[Product_Name]=A347)*(tbl_raw[MRP]-tbl_raw[Selling_Price])*tbl_raw[Units_Sold])</f>
        <v>14754</v>
      </c>
      <c r="H347" s="83">
        <f>AVERAGEIFS(tbl_raw[Discount_Pct],tbl_raw[Product_Name],A347)</f>
        <v>0.33</v>
      </c>
    </row>
    <row r="348" spans="1:8" hidden="1" x14ac:dyDescent="0.25">
      <c r="A348" s="2" t="str">
        <v>Board Game - Model 290</v>
      </c>
      <c r="B348" s="2" t="str">
        <f>_xlfn.XLOOKUP(A348,tbl_raw[Product_Name],tbl_raw[Category])</f>
        <v>Toys</v>
      </c>
      <c r="C348" s="2">
        <f>COUNTIF(tbl_raw[Product_Name],A348)</f>
        <v>1</v>
      </c>
      <c r="D348" s="2">
        <f>SUMIFS(tbl_raw[Units_Sold],tbl_raw[Product_Name],A348)</f>
        <v>13</v>
      </c>
      <c r="E348" s="3">
        <f>SUMIFS(tbl_raw[Net_Profit],tbl_raw[Product_Name],A348)</f>
        <v>-156</v>
      </c>
      <c r="F348" s="2">
        <f>SUMIFS(tbl_raw[Return_Flag],tbl_raw[Product_Name],A348)</f>
        <v>0</v>
      </c>
      <c r="G348" s="3" cm="1">
        <f t="array" ref="G348">SUMPRODUCT((tbl_raw[Product_Name]=A348)*(tbl_raw[MRP]-tbl_raw[Selling_Price])*tbl_raw[Units_Sold])</f>
        <v>1560</v>
      </c>
      <c r="H348" s="83">
        <f>AVERAGEIFS(tbl_raw[Discount_Pct],tbl_raw[Product_Name],A348)</f>
        <v>0.28000000000000003</v>
      </c>
    </row>
    <row r="349" spans="1:8" hidden="1" x14ac:dyDescent="0.25">
      <c r="A349" s="2" t="str">
        <v>Jacket - Model 204</v>
      </c>
      <c r="B349" s="2" t="str">
        <f>_xlfn.XLOOKUP(A349,tbl_raw[Product_Name],tbl_raw[Category])</f>
        <v>Fashion</v>
      </c>
      <c r="C349" s="2">
        <f>COUNTIF(tbl_raw[Product_Name],A349)</f>
        <v>1</v>
      </c>
      <c r="D349" s="2">
        <f>SUMIFS(tbl_raw[Units_Sold],tbl_raw[Product_Name],A349)</f>
        <v>6</v>
      </c>
      <c r="E349" s="3">
        <f>SUMIFS(tbl_raw[Net_Profit],tbl_raw[Product_Name],A349)</f>
        <v>7824</v>
      </c>
      <c r="F349" s="2">
        <f>SUMIFS(tbl_raw[Return_Flag],tbl_raw[Product_Name],A349)</f>
        <v>0</v>
      </c>
      <c r="G349" s="3" cm="1">
        <f t="array" ref="G349">SUMPRODUCT((tbl_raw[Product_Name]=A349)*(tbl_raw[MRP]-tbl_raw[Selling_Price])*tbl_raw[Units_Sold])</f>
        <v>1650</v>
      </c>
      <c r="H349" s="83">
        <f>AVERAGEIFS(tbl_raw[Discount_Pct],tbl_raw[Product_Name],A349)</f>
        <v>0.09</v>
      </c>
    </row>
    <row r="350" spans="1:8" hidden="1" x14ac:dyDescent="0.25">
      <c r="A350" s="2" t="str">
        <v>Doll - Model 216</v>
      </c>
      <c r="B350" s="2" t="str">
        <f>_xlfn.XLOOKUP(A350,tbl_raw[Product_Name],tbl_raw[Category])</f>
        <v>Toys</v>
      </c>
      <c r="C350" s="2">
        <f>COUNTIF(tbl_raw[Product_Name],A350)</f>
        <v>1</v>
      </c>
      <c r="D350" s="2">
        <f>SUMIFS(tbl_raw[Units_Sold],tbl_raw[Product_Name],A350)</f>
        <v>12</v>
      </c>
      <c r="E350" s="3">
        <f>SUMIFS(tbl_raw[Net_Profit],tbl_raw[Product_Name],A350)</f>
        <v>1236</v>
      </c>
      <c r="F350" s="2">
        <f>SUMIFS(tbl_raw[Return_Flag],tbl_raw[Product_Name],A350)</f>
        <v>0</v>
      </c>
      <c r="G350" s="3" cm="1">
        <f t="array" ref="G350">SUMPRODUCT((tbl_raw[Product_Name]=A350)*(tbl_raw[MRP]-tbl_raw[Selling_Price])*tbl_raw[Units_Sold])</f>
        <v>22836</v>
      </c>
      <c r="H350" s="83">
        <f>AVERAGEIFS(tbl_raw[Discount_Pct],tbl_raw[Product_Name],A350)</f>
        <v>0.28000000000000003</v>
      </c>
    </row>
    <row r="351" spans="1:8" hidden="1" x14ac:dyDescent="0.25">
      <c r="A351" s="2" t="str">
        <v>Fiction - Model 344</v>
      </c>
      <c r="B351" s="2" t="str">
        <f>_xlfn.XLOOKUP(A351,tbl_raw[Product_Name],tbl_raw[Category])</f>
        <v>Books</v>
      </c>
      <c r="C351" s="2">
        <f>COUNTIF(tbl_raw[Product_Name],A351)</f>
        <v>1</v>
      </c>
      <c r="D351" s="2">
        <f>SUMIFS(tbl_raw[Units_Sold],tbl_raw[Product_Name],A351)</f>
        <v>4</v>
      </c>
      <c r="E351" s="3">
        <f>SUMIFS(tbl_raw[Net_Profit],tbl_raw[Product_Name],A351)</f>
        <v>352</v>
      </c>
      <c r="F351" s="2">
        <f>SUMIFS(tbl_raw[Return_Flag],tbl_raw[Product_Name],A351)</f>
        <v>0</v>
      </c>
      <c r="G351" s="3" cm="1">
        <f t="array" ref="G351">SUMPRODUCT((tbl_raw[Product_Name]=A351)*(tbl_raw[MRP]-tbl_raw[Selling_Price])*tbl_raw[Units_Sold])</f>
        <v>2020</v>
      </c>
      <c r="H351" s="83">
        <f>AVERAGEIFS(tbl_raw[Discount_Pct],tbl_raw[Product_Name],A351)</f>
        <v>0.31</v>
      </c>
    </row>
    <row r="352" spans="1:8" hidden="1" x14ac:dyDescent="0.25">
      <c r="A352" s="2" t="str">
        <v>Lamp - Model 270</v>
      </c>
      <c r="B352" s="2" t="str">
        <f>_xlfn.XLOOKUP(A352,tbl_raw[Product_Name],tbl_raw[Category])</f>
        <v>Home &amp; Kitchen</v>
      </c>
      <c r="C352" s="2">
        <f>COUNTIF(tbl_raw[Product_Name],A352)</f>
        <v>1</v>
      </c>
      <c r="D352" s="2">
        <f>SUMIFS(tbl_raw[Units_Sold],tbl_raw[Product_Name],A352)</f>
        <v>10</v>
      </c>
      <c r="E352" s="3">
        <f>SUMIFS(tbl_raw[Net_Profit],tbl_raw[Product_Name],A352)</f>
        <v>3530</v>
      </c>
      <c r="F352" s="2">
        <f>SUMIFS(tbl_raw[Return_Flag],tbl_raw[Product_Name],A352)</f>
        <v>0</v>
      </c>
      <c r="G352" s="3" cm="1">
        <f t="array" ref="G352">SUMPRODUCT((tbl_raw[Product_Name]=A352)*(tbl_raw[MRP]-tbl_raw[Selling_Price])*tbl_raw[Units_Sold])</f>
        <v>1810</v>
      </c>
      <c r="H352" s="83">
        <f>AVERAGEIFS(tbl_raw[Discount_Pct],tbl_raw[Product_Name],A352)</f>
        <v>0.14000000000000001</v>
      </c>
    </row>
    <row r="353" spans="1:8" hidden="1" x14ac:dyDescent="0.25">
      <c r="A353" s="2" t="str">
        <v>Doll - Model 617</v>
      </c>
      <c r="B353" s="2" t="str">
        <f>_xlfn.XLOOKUP(A353,tbl_raw[Product_Name],tbl_raw[Category])</f>
        <v>Toys</v>
      </c>
      <c r="C353" s="2">
        <f>COUNTIF(tbl_raw[Product_Name],A353)</f>
        <v>1</v>
      </c>
      <c r="D353" s="2">
        <f>SUMIFS(tbl_raw[Units_Sold],tbl_raw[Product_Name],A353)</f>
        <v>14</v>
      </c>
      <c r="E353" s="3">
        <f>SUMIFS(tbl_raw[Net_Profit],tbl_raw[Product_Name],A353)</f>
        <v>7560</v>
      </c>
      <c r="F353" s="2">
        <f>SUMIFS(tbl_raw[Return_Flag],tbl_raw[Product_Name],A353)</f>
        <v>1</v>
      </c>
      <c r="G353" s="3" cm="1">
        <f t="array" ref="G353">SUMPRODUCT((tbl_raw[Product_Name]=A353)*(tbl_raw[MRP]-tbl_raw[Selling_Price])*tbl_raw[Units_Sold])</f>
        <v>14742</v>
      </c>
      <c r="H353" s="83">
        <f>AVERAGEIFS(tbl_raw[Discount_Pct],tbl_raw[Product_Name],A353)</f>
        <v>0.19</v>
      </c>
    </row>
    <row r="354" spans="1:8" hidden="1" x14ac:dyDescent="0.25">
      <c r="A354" s="2" t="str">
        <v>Headphones - Model 330</v>
      </c>
      <c r="B354" s="2" t="str">
        <f>_xlfn.XLOOKUP(A354,tbl_raw[Product_Name],tbl_raw[Category])</f>
        <v>Electronics</v>
      </c>
      <c r="C354" s="2">
        <f>COUNTIF(tbl_raw[Product_Name],A354)</f>
        <v>1</v>
      </c>
      <c r="D354" s="2">
        <f>SUMIFS(tbl_raw[Units_Sold],tbl_raw[Product_Name],A354)</f>
        <v>10</v>
      </c>
      <c r="E354" s="3">
        <f>SUMIFS(tbl_raw[Net_Profit],tbl_raw[Product_Name],A354)</f>
        <v>510</v>
      </c>
      <c r="F354" s="2">
        <f>SUMIFS(tbl_raw[Return_Flag],tbl_raw[Product_Name],A354)</f>
        <v>0</v>
      </c>
      <c r="G354" s="3" cm="1">
        <f t="array" ref="G354">SUMPRODUCT((tbl_raw[Product_Name]=A354)*(tbl_raw[MRP]-tbl_raw[Selling_Price])*tbl_raw[Units_Sold])</f>
        <v>3180</v>
      </c>
      <c r="H354" s="83">
        <f>AVERAGEIFS(tbl_raw[Discount_Pct],tbl_raw[Product_Name],A354)</f>
        <v>0.21</v>
      </c>
    </row>
    <row r="355" spans="1:8" hidden="1" x14ac:dyDescent="0.25">
      <c r="A355" s="2" t="str">
        <v>Comic - Model 942</v>
      </c>
      <c r="B355" s="2" t="str">
        <f>_xlfn.XLOOKUP(A355,tbl_raw[Product_Name],tbl_raw[Category])</f>
        <v>Books</v>
      </c>
      <c r="C355" s="2">
        <f>COUNTIF(tbl_raw[Product_Name],A355)</f>
        <v>1</v>
      </c>
      <c r="D355" s="2">
        <f>SUMIFS(tbl_raw[Units_Sold],tbl_raw[Product_Name],A355)</f>
        <v>15</v>
      </c>
      <c r="E355" s="3">
        <f>SUMIFS(tbl_raw[Net_Profit],tbl_raw[Product_Name],A355)</f>
        <v>5310</v>
      </c>
      <c r="F355" s="2">
        <f>SUMIFS(tbl_raw[Return_Flag],tbl_raw[Product_Name],A355)</f>
        <v>0</v>
      </c>
      <c r="G355" s="3" cm="1">
        <f t="array" ref="G355">SUMPRODUCT((tbl_raw[Product_Name]=A355)*(tbl_raw[MRP]-tbl_raw[Selling_Price])*tbl_raw[Units_Sold])</f>
        <v>30120</v>
      </c>
      <c r="H355" s="83">
        <f>AVERAGEIFS(tbl_raw[Discount_Pct],tbl_raw[Product_Name],A355)</f>
        <v>0.45</v>
      </c>
    </row>
    <row r="356" spans="1:8" hidden="1" x14ac:dyDescent="0.25">
      <c r="A356" s="2" t="str">
        <v>Fiction - Model 549</v>
      </c>
      <c r="B356" s="2" t="str">
        <f>_xlfn.XLOOKUP(A356,tbl_raw[Product_Name],tbl_raw[Category])</f>
        <v>Books</v>
      </c>
      <c r="C356" s="2">
        <f>COUNTIF(tbl_raw[Product_Name],A356)</f>
        <v>1</v>
      </c>
      <c r="D356" s="2">
        <f>SUMIFS(tbl_raw[Units_Sold],tbl_raw[Product_Name],A356)</f>
        <v>8</v>
      </c>
      <c r="E356" s="3">
        <f>SUMIFS(tbl_raw[Net_Profit],tbl_raw[Product_Name],A356)</f>
        <v>-848</v>
      </c>
      <c r="F356" s="2">
        <f>SUMIFS(tbl_raw[Return_Flag],tbl_raw[Product_Name],A356)</f>
        <v>0</v>
      </c>
      <c r="G356" s="3" cm="1">
        <f t="array" ref="G356">SUMPRODUCT((tbl_raw[Product_Name]=A356)*(tbl_raw[MRP]-tbl_raw[Selling_Price])*tbl_raw[Units_Sold])</f>
        <v>4848</v>
      </c>
      <c r="H356" s="83">
        <f>AVERAGEIFS(tbl_raw[Discount_Pct],tbl_raw[Product_Name],A356)</f>
        <v>0.33</v>
      </c>
    </row>
    <row r="357" spans="1:8" hidden="1" x14ac:dyDescent="0.25">
      <c r="A357" s="2" t="str">
        <v>Serum - Model 924</v>
      </c>
      <c r="B357" s="2" t="str">
        <f>_xlfn.XLOOKUP(A357,tbl_raw[Product_Name],tbl_raw[Category])</f>
        <v>Beauty</v>
      </c>
      <c r="C357" s="2">
        <f>COUNTIF(tbl_raw[Product_Name],A357)</f>
        <v>1</v>
      </c>
      <c r="D357" s="2">
        <f>SUMIFS(tbl_raw[Units_Sold],tbl_raw[Product_Name],A357)</f>
        <v>19</v>
      </c>
      <c r="E357" s="3">
        <f>SUMIFS(tbl_raw[Net_Profit],tbl_raw[Product_Name],A357)</f>
        <v>14193</v>
      </c>
      <c r="F357" s="2">
        <f>SUMIFS(tbl_raw[Return_Flag],tbl_raw[Product_Name],A357)</f>
        <v>0</v>
      </c>
      <c r="G357" s="3" cm="1">
        <f t="array" ref="G357">SUMPRODUCT((tbl_raw[Product_Name]=A357)*(tbl_raw[MRP]-tbl_raw[Selling_Price])*tbl_raw[Units_Sold])</f>
        <v>7258</v>
      </c>
      <c r="H357" s="83">
        <f>AVERAGEIFS(tbl_raw[Discount_Pct],tbl_raw[Product_Name],A357)</f>
        <v>0.13</v>
      </c>
    </row>
    <row r="358" spans="1:8" hidden="1" x14ac:dyDescent="0.25">
      <c r="A358" s="2" t="str">
        <v>Jeans - Model 868</v>
      </c>
      <c r="B358" s="2" t="str">
        <f>_xlfn.XLOOKUP(A358,tbl_raw[Product_Name],tbl_raw[Category])</f>
        <v>Fashion</v>
      </c>
      <c r="C358" s="2">
        <f>COUNTIF(tbl_raw[Product_Name],A358)</f>
        <v>1</v>
      </c>
      <c r="D358" s="2">
        <f>SUMIFS(tbl_raw[Units_Sold],tbl_raw[Product_Name],A358)</f>
        <v>2</v>
      </c>
      <c r="E358" s="3">
        <f>SUMIFS(tbl_raw[Net_Profit],tbl_raw[Product_Name],A358)</f>
        <v>2310</v>
      </c>
      <c r="F358" s="2">
        <f>SUMIFS(tbl_raw[Return_Flag],tbl_raw[Product_Name],A358)</f>
        <v>0</v>
      </c>
      <c r="G358" s="3" cm="1">
        <f t="array" ref="G358">SUMPRODUCT((tbl_raw[Product_Name]=A358)*(tbl_raw[MRP]-tbl_raw[Selling_Price])*tbl_raw[Units_Sold])</f>
        <v>6194</v>
      </c>
      <c r="H358" s="83">
        <f>AVERAGEIFS(tbl_raw[Discount_Pct],tbl_raw[Product_Name],A358)</f>
        <v>0.39</v>
      </c>
    </row>
    <row r="359" spans="1:8" hidden="1" x14ac:dyDescent="0.25">
      <c r="A359" s="2" t="str">
        <v>Remote Car - Model 245</v>
      </c>
      <c r="B359" s="2" t="str">
        <f>_xlfn.XLOOKUP(A359,tbl_raw[Product_Name],tbl_raw[Category])</f>
        <v>Toys</v>
      </c>
      <c r="C359" s="2">
        <f>COUNTIF(tbl_raw[Product_Name],A359)</f>
        <v>1</v>
      </c>
      <c r="D359" s="2">
        <f>SUMIFS(tbl_raw[Units_Sold],tbl_raw[Product_Name],A359)</f>
        <v>9</v>
      </c>
      <c r="E359" s="3">
        <f>SUMIFS(tbl_raw[Net_Profit],tbl_raw[Product_Name],A359)</f>
        <v>17172</v>
      </c>
      <c r="F359" s="2">
        <f>SUMIFS(tbl_raw[Return_Flag],tbl_raw[Product_Name],A359)</f>
        <v>0</v>
      </c>
      <c r="G359" s="3" cm="1">
        <f t="array" ref="G359">SUMPRODUCT((tbl_raw[Product_Name]=A359)*(tbl_raw[MRP]-tbl_raw[Selling_Price])*tbl_raw[Units_Sold])</f>
        <v>7794</v>
      </c>
      <c r="H359" s="83">
        <f>AVERAGEIFS(tbl_raw[Discount_Pct],tbl_raw[Product_Name],A359)</f>
        <v>0.17</v>
      </c>
    </row>
    <row r="360" spans="1:8" hidden="1" x14ac:dyDescent="0.25">
      <c r="A360" s="2" t="str">
        <v>Pulses - Model 435</v>
      </c>
      <c r="B360" s="2" t="str">
        <f>_xlfn.XLOOKUP(A360,tbl_raw[Product_Name],tbl_raw[Category])</f>
        <v>Grocery</v>
      </c>
      <c r="C360" s="2">
        <f>COUNTIF(tbl_raw[Product_Name],A360)</f>
        <v>1</v>
      </c>
      <c r="D360" s="2">
        <f>SUMIFS(tbl_raw[Units_Sold],tbl_raw[Product_Name],A360)</f>
        <v>1</v>
      </c>
      <c r="E360" s="3">
        <f>SUMIFS(tbl_raw[Net_Profit],tbl_raw[Product_Name],A360)</f>
        <v>1132</v>
      </c>
      <c r="F360" s="2">
        <f>SUMIFS(tbl_raw[Return_Flag],tbl_raw[Product_Name],A360)</f>
        <v>1</v>
      </c>
      <c r="G360" s="3" cm="1">
        <f t="array" ref="G360">SUMPRODUCT((tbl_raw[Product_Name]=A360)*(tbl_raw[MRP]-tbl_raw[Selling_Price])*tbl_raw[Units_Sold])</f>
        <v>2651</v>
      </c>
      <c r="H360" s="83">
        <f>AVERAGEIFS(tbl_raw[Discount_Pct],tbl_raw[Product_Name],A360)</f>
        <v>0.38</v>
      </c>
    </row>
    <row r="361" spans="1:8" hidden="1" x14ac:dyDescent="0.25">
      <c r="A361" s="2" t="str">
        <v>Board Game - Model 606</v>
      </c>
      <c r="B361" s="2" t="str">
        <f>_xlfn.XLOOKUP(A361,tbl_raw[Product_Name],tbl_raw[Category])</f>
        <v>Toys</v>
      </c>
      <c r="C361" s="2">
        <f>COUNTIF(tbl_raw[Product_Name],A361)</f>
        <v>1</v>
      </c>
      <c r="D361" s="2">
        <f>SUMIFS(tbl_raw[Units_Sold],tbl_raw[Product_Name],A361)</f>
        <v>11</v>
      </c>
      <c r="E361" s="3">
        <f>SUMIFS(tbl_raw[Net_Profit],tbl_raw[Product_Name],A361)</f>
        <v>16885</v>
      </c>
      <c r="F361" s="2">
        <f>SUMIFS(tbl_raw[Return_Flag],tbl_raw[Product_Name],A361)</f>
        <v>0</v>
      </c>
      <c r="G361" s="3" cm="1">
        <f t="array" ref="G361">SUMPRODUCT((tbl_raw[Product_Name]=A361)*(tbl_raw[MRP]-tbl_raw[Selling_Price])*tbl_raw[Units_Sold])</f>
        <v>10989</v>
      </c>
      <c r="H361" s="83">
        <f>AVERAGEIFS(tbl_raw[Discount_Pct],tbl_raw[Product_Name],A361)</f>
        <v>0.15</v>
      </c>
    </row>
    <row r="362" spans="1:8" hidden="1" x14ac:dyDescent="0.25">
      <c r="A362" s="2" t="str">
        <v>Shoes - Model 116</v>
      </c>
      <c r="B362" s="2" t="str">
        <f>_xlfn.XLOOKUP(A362,tbl_raw[Product_Name],tbl_raw[Category])</f>
        <v>Fashion</v>
      </c>
      <c r="C362" s="2">
        <f>COUNTIF(tbl_raw[Product_Name],A362)</f>
        <v>1</v>
      </c>
      <c r="D362" s="2">
        <f>SUMIFS(tbl_raw[Units_Sold],tbl_raw[Product_Name],A362)</f>
        <v>6</v>
      </c>
      <c r="E362" s="3">
        <f>SUMIFS(tbl_raw[Net_Profit],tbl_raw[Product_Name],A362)</f>
        <v>5424</v>
      </c>
      <c r="F362" s="2">
        <f>SUMIFS(tbl_raw[Return_Flag],tbl_raw[Product_Name],A362)</f>
        <v>0</v>
      </c>
      <c r="G362" s="3" cm="1">
        <f t="array" ref="G362">SUMPRODUCT((tbl_raw[Product_Name]=A362)*(tbl_raw[MRP]-tbl_raw[Selling_Price])*tbl_raw[Units_Sold])</f>
        <v>0</v>
      </c>
      <c r="H362" s="83">
        <f>AVERAGEIFS(tbl_raw[Discount_Pct],tbl_raw[Product_Name],A362)</f>
        <v>0</v>
      </c>
    </row>
    <row r="363" spans="1:8" hidden="1" x14ac:dyDescent="0.25">
      <c r="A363" s="2" t="str">
        <v>Textbook - Model 184</v>
      </c>
      <c r="B363" s="2" t="str">
        <f>_xlfn.XLOOKUP(A363,tbl_raw[Product_Name],tbl_raw[Category])</f>
        <v>Books</v>
      </c>
      <c r="C363" s="2">
        <f>COUNTIF(tbl_raw[Product_Name],A363)</f>
        <v>1</v>
      </c>
      <c r="D363" s="2">
        <f>SUMIFS(tbl_raw[Units_Sold],tbl_raw[Product_Name],A363)</f>
        <v>6</v>
      </c>
      <c r="E363" s="3">
        <f>SUMIFS(tbl_raw[Net_Profit],tbl_raw[Product_Name],A363)</f>
        <v>-618</v>
      </c>
      <c r="F363" s="2">
        <f>SUMIFS(tbl_raw[Return_Flag],tbl_raw[Product_Name],A363)</f>
        <v>0</v>
      </c>
      <c r="G363" s="3" cm="1">
        <f t="array" ref="G363">SUMPRODUCT((tbl_raw[Product_Name]=A363)*(tbl_raw[MRP]-tbl_raw[Selling_Price])*tbl_raw[Units_Sold])</f>
        <v>1014</v>
      </c>
      <c r="H363" s="83">
        <f>AVERAGEIFS(tbl_raw[Discount_Pct],tbl_raw[Product_Name],A363)</f>
        <v>0.28000000000000003</v>
      </c>
    </row>
    <row r="364" spans="1:8" hidden="1" x14ac:dyDescent="0.25">
      <c r="A364" s="2" t="str">
        <v>Atta - Model 235</v>
      </c>
      <c r="B364" s="2" t="str">
        <f>_xlfn.XLOOKUP(A364,tbl_raw[Product_Name],tbl_raw[Category])</f>
        <v>Grocery</v>
      </c>
      <c r="C364" s="2">
        <f>COUNTIF(tbl_raw[Product_Name],A364)</f>
        <v>1</v>
      </c>
      <c r="D364" s="2">
        <f>SUMIFS(tbl_raw[Units_Sold],tbl_raw[Product_Name],A364)</f>
        <v>8</v>
      </c>
      <c r="E364" s="3">
        <f>SUMIFS(tbl_raw[Net_Profit],tbl_raw[Product_Name],A364)</f>
        <v>12856</v>
      </c>
      <c r="F364" s="2">
        <f>SUMIFS(tbl_raw[Return_Flag],tbl_raw[Product_Name],A364)</f>
        <v>0</v>
      </c>
      <c r="G364" s="3" cm="1">
        <f t="array" ref="G364">SUMPRODUCT((tbl_raw[Product_Name]=A364)*(tbl_raw[MRP]-tbl_raw[Selling_Price])*tbl_raw[Units_Sold])</f>
        <v>6800</v>
      </c>
      <c r="H364" s="83">
        <f>AVERAGEIFS(tbl_raw[Discount_Pct],tbl_raw[Product_Name],A364)</f>
        <v>0.2</v>
      </c>
    </row>
    <row r="365" spans="1:8" hidden="1" x14ac:dyDescent="0.25">
      <c r="A365" s="2" t="str">
        <v>Jeans - Model 492</v>
      </c>
      <c r="B365" s="2" t="str">
        <f>_xlfn.XLOOKUP(A365,tbl_raw[Product_Name],tbl_raw[Category])</f>
        <v>Fashion</v>
      </c>
      <c r="C365" s="2">
        <f>COUNTIF(tbl_raw[Product_Name],A365)</f>
        <v>1</v>
      </c>
      <c r="D365" s="2">
        <f>SUMIFS(tbl_raw[Units_Sold],tbl_raw[Product_Name],A365)</f>
        <v>4</v>
      </c>
      <c r="E365" s="3">
        <f>SUMIFS(tbl_raw[Net_Profit],tbl_raw[Product_Name],A365)</f>
        <v>960</v>
      </c>
      <c r="F365" s="2">
        <f>SUMIFS(tbl_raw[Return_Flag],tbl_raw[Product_Name],A365)</f>
        <v>1</v>
      </c>
      <c r="G365" s="3" cm="1">
        <f t="array" ref="G365">SUMPRODUCT((tbl_raw[Product_Name]=A365)*(tbl_raw[MRP]-tbl_raw[Selling_Price])*tbl_raw[Units_Sold])</f>
        <v>684</v>
      </c>
      <c r="H365" s="83">
        <f>AVERAGEIFS(tbl_raw[Discount_Pct],tbl_raw[Product_Name],A365)</f>
        <v>0.17</v>
      </c>
    </row>
    <row r="366" spans="1:8" hidden="1" x14ac:dyDescent="0.25">
      <c r="A366" s="2" t="str">
        <v>Tablet - Model 765</v>
      </c>
      <c r="B366" s="2" t="str">
        <f>_xlfn.XLOOKUP(A366,tbl_raw[Product_Name],tbl_raw[Category])</f>
        <v>Electronics</v>
      </c>
      <c r="C366" s="2">
        <f>COUNTIF(tbl_raw[Product_Name],A366)</f>
        <v>1</v>
      </c>
      <c r="D366" s="2">
        <f>SUMIFS(tbl_raw[Units_Sold],tbl_raw[Product_Name],A366)</f>
        <v>15</v>
      </c>
      <c r="E366" s="3">
        <f>SUMIFS(tbl_raw[Net_Profit],tbl_raw[Product_Name],A366)</f>
        <v>7980</v>
      </c>
      <c r="F366" s="2">
        <f>SUMIFS(tbl_raw[Return_Flag],tbl_raw[Product_Name],A366)</f>
        <v>0</v>
      </c>
      <c r="G366" s="3" cm="1">
        <f t="array" ref="G366">SUMPRODUCT((tbl_raw[Product_Name]=A366)*(tbl_raw[MRP]-tbl_raw[Selling_Price])*tbl_raw[Units_Sold])</f>
        <v>4410</v>
      </c>
      <c r="H366" s="83">
        <f>AVERAGEIFS(tbl_raw[Discount_Pct],tbl_raw[Product_Name],A366)</f>
        <v>0.1</v>
      </c>
    </row>
    <row r="367" spans="1:8" hidden="1" x14ac:dyDescent="0.25">
      <c r="A367" s="2" t="str">
        <v>Mixer - Model 703</v>
      </c>
      <c r="B367" s="2" t="str">
        <f>_xlfn.XLOOKUP(A367,tbl_raw[Product_Name],tbl_raw[Category])</f>
        <v>Home &amp; Kitchen</v>
      </c>
      <c r="C367" s="2">
        <f>COUNTIF(tbl_raw[Product_Name],A367)</f>
        <v>1</v>
      </c>
      <c r="D367" s="2">
        <f>SUMIFS(tbl_raw[Units_Sold],tbl_raw[Product_Name],A367)</f>
        <v>12</v>
      </c>
      <c r="E367" s="3">
        <f>SUMIFS(tbl_raw[Net_Profit],tbl_raw[Product_Name],A367)</f>
        <v>37176</v>
      </c>
      <c r="F367" s="2">
        <f>SUMIFS(tbl_raw[Return_Flag],tbl_raw[Product_Name],A367)</f>
        <v>0</v>
      </c>
      <c r="G367" s="3" cm="1">
        <f t="array" ref="G367">SUMPRODUCT((tbl_raw[Product_Name]=A367)*(tbl_raw[MRP]-tbl_raw[Selling_Price])*tbl_raw[Units_Sold])</f>
        <v>12960</v>
      </c>
      <c r="H367" s="83">
        <f>AVERAGEIFS(tbl_raw[Discount_Pct],tbl_raw[Product_Name],A367)</f>
        <v>0.14000000000000001</v>
      </c>
    </row>
    <row r="368" spans="1:8" hidden="1" x14ac:dyDescent="0.25">
      <c r="A368" s="2" t="str">
        <v>Shoes - Model 968</v>
      </c>
      <c r="B368" s="2" t="str">
        <f>_xlfn.XLOOKUP(A368,tbl_raw[Product_Name],tbl_raw[Category])</f>
        <v>Sports</v>
      </c>
      <c r="C368" s="2">
        <f>COUNTIF(tbl_raw[Product_Name],A368)</f>
        <v>1</v>
      </c>
      <c r="D368" s="2">
        <f>SUMIFS(tbl_raw[Units_Sold],tbl_raw[Product_Name],A368)</f>
        <v>7</v>
      </c>
      <c r="E368" s="3">
        <f>SUMIFS(tbl_raw[Net_Profit],tbl_raw[Product_Name],A368)</f>
        <v>2695</v>
      </c>
      <c r="F368" s="2">
        <f>SUMIFS(tbl_raw[Return_Flag],tbl_raw[Product_Name],A368)</f>
        <v>1</v>
      </c>
      <c r="G368" s="3" cm="1">
        <f t="array" ref="G368">SUMPRODUCT((tbl_raw[Product_Name]=A368)*(tbl_raw[MRP]-tbl_raw[Selling_Price])*tbl_raw[Units_Sold])</f>
        <v>6825</v>
      </c>
      <c r="H368" s="83">
        <f>AVERAGEIFS(tbl_raw[Discount_Pct],tbl_raw[Product_Name],A368)</f>
        <v>0.23</v>
      </c>
    </row>
    <row r="369" spans="1:8" hidden="1" x14ac:dyDescent="0.25">
      <c r="A369" s="2" t="str">
        <v>Action Figure - Model 346</v>
      </c>
      <c r="B369" s="2" t="str">
        <f>_xlfn.XLOOKUP(A369,tbl_raw[Product_Name],tbl_raw[Category])</f>
        <v>Toys</v>
      </c>
      <c r="C369" s="2">
        <f>COUNTIF(tbl_raw[Product_Name],A369)</f>
        <v>1</v>
      </c>
      <c r="D369" s="2">
        <f>SUMIFS(tbl_raw[Units_Sold],tbl_raw[Product_Name],A369)</f>
        <v>20</v>
      </c>
      <c r="E369" s="3">
        <f>SUMIFS(tbl_raw[Net_Profit],tbl_raw[Product_Name],A369)</f>
        <v>1260</v>
      </c>
      <c r="F369" s="2">
        <f>SUMIFS(tbl_raw[Return_Flag],tbl_raw[Product_Name],A369)</f>
        <v>0</v>
      </c>
      <c r="G369" s="3" cm="1">
        <f t="array" ref="G369">SUMPRODUCT((tbl_raw[Product_Name]=A369)*(tbl_raw[MRP]-tbl_raw[Selling_Price])*tbl_raw[Units_Sold])</f>
        <v>6040</v>
      </c>
      <c r="H369" s="83">
        <f>AVERAGEIFS(tbl_raw[Discount_Pct],tbl_raw[Product_Name],A369)</f>
        <v>0.4</v>
      </c>
    </row>
    <row r="370" spans="1:8" hidden="1" x14ac:dyDescent="0.25">
      <c r="A370" s="2" t="str">
        <v>Comic - Model 799</v>
      </c>
      <c r="B370" s="2" t="str">
        <f>_xlfn.XLOOKUP(A370,tbl_raw[Product_Name],tbl_raw[Category])</f>
        <v>Books</v>
      </c>
      <c r="C370" s="2">
        <f>COUNTIF(tbl_raw[Product_Name],A370)</f>
        <v>1</v>
      </c>
      <c r="D370" s="2">
        <f>SUMIFS(tbl_raw[Units_Sold],tbl_raw[Product_Name],A370)</f>
        <v>16</v>
      </c>
      <c r="E370" s="3">
        <f>SUMIFS(tbl_raw[Net_Profit],tbl_raw[Product_Name],A370)</f>
        <v>29216</v>
      </c>
      <c r="F370" s="2">
        <f>SUMIFS(tbl_raw[Return_Flag],tbl_raw[Product_Name],A370)</f>
        <v>0</v>
      </c>
      <c r="G370" s="3" cm="1">
        <f t="array" ref="G370">SUMPRODUCT((tbl_raw[Product_Name]=A370)*(tbl_raw[MRP]-tbl_raw[Selling_Price])*tbl_raw[Units_Sold])</f>
        <v>42816</v>
      </c>
      <c r="H370" s="83">
        <f>AVERAGEIFS(tbl_raw[Discount_Pct],tbl_raw[Product_Name],A370)</f>
        <v>0.35</v>
      </c>
    </row>
    <row r="371" spans="1:8" hidden="1" x14ac:dyDescent="0.25">
      <c r="A371" s="2" t="str">
        <v>Cycle - Model 885</v>
      </c>
      <c r="B371" s="2" t="str">
        <f>_xlfn.XLOOKUP(A371,tbl_raw[Product_Name],tbl_raw[Category])</f>
        <v>Sports</v>
      </c>
      <c r="C371" s="2">
        <f>COUNTIF(tbl_raw[Product_Name],A371)</f>
        <v>1</v>
      </c>
      <c r="D371" s="2">
        <f>SUMIFS(tbl_raw[Units_Sold],tbl_raw[Product_Name],A371)</f>
        <v>14</v>
      </c>
      <c r="E371" s="3">
        <f>SUMIFS(tbl_raw[Net_Profit],tbl_raw[Product_Name],A371)</f>
        <v>27860</v>
      </c>
      <c r="F371" s="2">
        <f>SUMIFS(tbl_raw[Return_Flag],tbl_raw[Product_Name],A371)</f>
        <v>0</v>
      </c>
      <c r="G371" s="3" cm="1">
        <f t="array" ref="G371">SUMPRODUCT((tbl_raw[Product_Name]=A371)*(tbl_raw[MRP]-tbl_raw[Selling_Price])*tbl_raw[Units_Sold])</f>
        <v>3178</v>
      </c>
      <c r="H371" s="83">
        <f>AVERAGEIFS(tbl_raw[Discount_Pct],tbl_raw[Product_Name],A371)</f>
        <v>0.04</v>
      </c>
    </row>
    <row r="372" spans="1:8" hidden="1" x14ac:dyDescent="0.25">
      <c r="A372" s="2" t="str">
        <v>Lamp - Model 434</v>
      </c>
      <c r="B372" s="2" t="str">
        <f>_xlfn.XLOOKUP(A372,tbl_raw[Product_Name],tbl_raw[Category])</f>
        <v>Home &amp; Kitchen</v>
      </c>
      <c r="C372" s="2">
        <f>COUNTIF(tbl_raw[Product_Name],A372)</f>
        <v>1</v>
      </c>
      <c r="D372" s="2">
        <f>SUMIFS(tbl_raw[Units_Sold],tbl_raw[Product_Name],A372)</f>
        <v>19</v>
      </c>
      <c r="E372" s="3">
        <f>SUMIFS(tbl_raw[Net_Profit],tbl_raw[Product_Name],A372)</f>
        <v>-2565</v>
      </c>
      <c r="F372" s="2">
        <f>SUMIFS(tbl_raw[Return_Flag],tbl_raw[Product_Name],A372)</f>
        <v>0</v>
      </c>
      <c r="G372" s="3" cm="1">
        <f t="array" ref="G372">SUMPRODUCT((tbl_raw[Product_Name]=A372)*(tbl_raw[MRP]-tbl_raw[Selling_Price])*tbl_raw[Units_Sold])</f>
        <v>37164</v>
      </c>
      <c r="H372" s="83">
        <f>AVERAGEIFS(tbl_raw[Discount_Pct],tbl_raw[Product_Name],A372)</f>
        <v>0.38</v>
      </c>
    </row>
    <row r="373" spans="1:8" hidden="1" x14ac:dyDescent="0.25">
      <c r="A373" s="2" t="str">
        <v>Shoes - Model 218</v>
      </c>
      <c r="B373" s="2" t="str">
        <f>_xlfn.XLOOKUP(A373,tbl_raw[Product_Name],tbl_raw[Category])</f>
        <v>Fashion</v>
      </c>
      <c r="C373" s="2">
        <f>COUNTIF(tbl_raw[Product_Name],A373)</f>
        <v>1</v>
      </c>
      <c r="D373" s="2">
        <f>SUMIFS(tbl_raw[Units_Sold],tbl_raw[Product_Name],A373)</f>
        <v>20</v>
      </c>
      <c r="E373" s="3">
        <f>SUMIFS(tbl_raw[Net_Profit],tbl_raw[Product_Name],A373)</f>
        <v>17020</v>
      </c>
      <c r="F373" s="2">
        <f>SUMIFS(tbl_raw[Return_Flag],tbl_raw[Product_Name],A373)</f>
        <v>0</v>
      </c>
      <c r="G373" s="3" cm="1">
        <f t="array" ref="G373">SUMPRODUCT((tbl_raw[Product_Name]=A373)*(tbl_raw[MRP]-tbl_raw[Selling_Price])*tbl_raw[Units_Sold])</f>
        <v>13860</v>
      </c>
      <c r="H373" s="83">
        <f>AVERAGEIFS(tbl_raw[Discount_Pct],tbl_raw[Product_Name],A373)</f>
        <v>0.14000000000000001</v>
      </c>
    </row>
    <row r="374" spans="1:8" hidden="1" x14ac:dyDescent="0.25">
      <c r="A374" s="2" t="str">
        <v>Rice - Model 635</v>
      </c>
      <c r="B374" s="2" t="str">
        <f>_xlfn.XLOOKUP(A374,tbl_raw[Product_Name],tbl_raw[Category])</f>
        <v>Grocery</v>
      </c>
      <c r="C374" s="2">
        <f>COUNTIF(tbl_raw[Product_Name],A374)</f>
        <v>1</v>
      </c>
      <c r="D374" s="2">
        <f>SUMIFS(tbl_raw[Units_Sold],tbl_raw[Product_Name],A374)</f>
        <v>9</v>
      </c>
      <c r="E374" s="3">
        <f>SUMIFS(tbl_raw[Net_Profit],tbl_raw[Product_Name],A374)</f>
        <v>2979</v>
      </c>
      <c r="F374" s="2">
        <f>SUMIFS(tbl_raw[Return_Flag],tbl_raw[Product_Name],A374)</f>
        <v>0</v>
      </c>
      <c r="G374" s="3" cm="1">
        <f t="array" ref="G374">SUMPRODUCT((tbl_raw[Product_Name]=A374)*(tbl_raw[MRP]-tbl_raw[Selling_Price])*tbl_raw[Units_Sold])</f>
        <v>810</v>
      </c>
      <c r="H374" s="83">
        <f>AVERAGEIFS(tbl_raw[Discount_Pct],tbl_raw[Product_Name],A374)</f>
        <v>0.06</v>
      </c>
    </row>
    <row r="375" spans="1:8" hidden="1" x14ac:dyDescent="0.25">
      <c r="A375" s="2" t="str">
        <v>Saree - Model 829</v>
      </c>
      <c r="B375" s="2" t="str">
        <f>_xlfn.XLOOKUP(A375,tbl_raw[Product_Name],tbl_raw[Category])</f>
        <v>Fashion</v>
      </c>
      <c r="C375" s="2">
        <f>COUNTIF(tbl_raw[Product_Name],A375)</f>
        <v>1</v>
      </c>
      <c r="D375" s="2">
        <f>SUMIFS(tbl_raw[Units_Sold],tbl_raw[Product_Name],A375)</f>
        <v>3</v>
      </c>
      <c r="E375" s="3">
        <f>SUMIFS(tbl_raw[Net_Profit],tbl_raw[Product_Name],A375)</f>
        <v>3804</v>
      </c>
      <c r="F375" s="2">
        <f>SUMIFS(tbl_raw[Return_Flag],tbl_raw[Product_Name],A375)</f>
        <v>0</v>
      </c>
      <c r="G375" s="3" cm="1">
        <f t="array" ref="G375">SUMPRODUCT((tbl_raw[Product_Name]=A375)*(tbl_raw[MRP]-tbl_raw[Selling_Price])*tbl_raw[Units_Sold])</f>
        <v>2808</v>
      </c>
      <c r="H375" s="83">
        <f>AVERAGEIFS(tbl_raw[Discount_Pct],tbl_raw[Product_Name],A375)</f>
        <v>0.23</v>
      </c>
    </row>
    <row r="376" spans="1:8" hidden="1" x14ac:dyDescent="0.25">
      <c r="A376" s="2" t="str">
        <v>Jeans - Model 858</v>
      </c>
      <c r="B376" s="2" t="str">
        <f>_xlfn.XLOOKUP(A376,tbl_raw[Product_Name],tbl_raw[Category])</f>
        <v>Fashion</v>
      </c>
      <c r="C376" s="2">
        <f>COUNTIF(tbl_raw[Product_Name],A376)</f>
        <v>1</v>
      </c>
      <c r="D376" s="2">
        <f>SUMIFS(tbl_raw[Units_Sold],tbl_raw[Product_Name],A376)</f>
        <v>1</v>
      </c>
      <c r="E376" s="3">
        <f>SUMIFS(tbl_raw[Net_Profit],tbl_raw[Product_Name],A376)</f>
        <v>-34</v>
      </c>
      <c r="F376" s="2">
        <f>SUMIFS(tbl_raw[Return_Flag],tbl_raw[Product_Name],A376)</f>
        <v>0</v>
      </c>
      <c r="G376" s="3" cm="1">
        <f t="array" ref="G376">SUMPRODUCT((tbl_raw[Product_Name]=A376)*(tbl_raw[MRP]-tbl_raw[Selling_Price])*tbl_raw[Units_Sold])</f>
        <v>212</v>
      </c>
      <c r="H376" s="83">
        <f>AVERAGEIFS(tbl_raw[Discount_Pct],tbl_raw[Product_Name],A376)</f>
        <v>0.39</v>
      </c>
    </row>
    <row r="377" spans="1:8" hidden="1" x14ac:dyDescent="0.25">
      <c r="A377" s="2" t="str">
        <v>Board Game - Model 429</v>
      </c>
      <c r="B377" s="2" t="str">
        <f>_xlfn.XLOOKUP(A377,tbl_raw[Product_Name],tbl_raw[Category])</f>
        <v>Toys</v>
      </c>
      <c r="C377" s="2">
        <f>COUNTIF(tbl_raw[Product_Name],A377)</f>
        <v>1</v>
      </c>
      <c r="D377" s="2">
        <f>SUMIFS(tbl_raw[Units_Sold],tbl_raw[Product_Name],A377)</f>
        <v>14</v>
      </c>
      <c r="E377" s="3">
        <f>SUMIFS(tbl_raw[Net_Profit],tbl_raw[Product_Name],A377)</f>
        <v>15946</v>
      </c>
      <c r="F377" s="2">
        <f>SUMIFS(tbl_raw[Return_Flag],tbl_raw[Product_Name],A377)</f>
        <v>0</v>
      </c>
      <c r="G377" s="3" cm="1">
        <f t="array" ref="G377">SUMPRODUCT((tbl_raw[Product_Name]=A377)*(tbl_raw[MRP]-tbl_raw[Selling_Price])*tbl_raw[Units_Sold])</f>
        <v>14392</v>
      </c>
      <c r="H377" s="83">
        <f>AVERAGEIFS(tbl_raw[Discount_Pct],tbl_raw[Product_Name],A377)</f>
        <v>0.14000000000000001</v>
      </c>
    </row>
    <row r="378" spans="1:8" hidden="1" x14ac:dyDescent="0.25">
      <c r="A378" s="2" t="str">
        <v>Smartwatch - Model 170</v>
      </c>
      <c r="B378" s="2" t="str">
        <f>_xlfn.XLOOKUP(A378,tbl_raw[Product_Name],tbl_raw[Category])</f>
        <v>Electronics</v>
      </c>
      <c r="C378" s="2">
        <f>COUNTIF(tbl_raw[Product_Name],A378)</f>
        <v>1</v>
      </c>
      <c r="D378" s="2">
        <f>SUMIFS(tbl_raw[Units_Sold],tbl_raw[Product_Name],A378)</f>
        <v>10</v>
      </c>
      <c r="E378" s="3">
        <f>SUMIFS(tbl_raw[Net_Profit],tbl_raw[Product_Name],A378)</f>
        <v>25800</v>
      </c>
      <c r="F378" s="2">
        <f>SUMIFS(tbl_raw[Return_Flag],tbl_raw[Product_Name],A378)</f>
        <v>0</v>
      </c>
      <c r="G378" s="3" cm="1">
        <f t="array" ref="G378">SUMPRODUCT((tbl_raw[Product_Name]=A378)*(tbl_raw[MRP]-tbl_raw[Selling_Price])*tbl_raw[Units_Sold])</f>
        <v>8730</v>
      </c>
      <c r="H378" s="83">
        <f>AVERAGEIFS(tbl_raw[Discount_Pct],tbl_raw[Product_Name],A378)</f>
        <v>0.14000000000000001</v>
      </c>
    </row>
    <row r="379" spans="1:8" hidden="1" x14ac:dyDescent="0.25">
      <c r="A379" s="2" t="str">
        <v>Perfume - Model 477</v>
      </c>
      <c r="B379" s="2" t="str">
        <f>_xlfn.XLOOKUP(A379,tbl_raw[Product_Name],tbl_raw[Category])</f>
        <v>Beauty</v>
      </c>
      <c r="C379" s="2">
        <f>COUNTIF(tbl_raw[Product_Name],A379)</f>
        <v>1</v>
      </c>
      <c r="D379" s="2">
        <f>SUMIFS(tbl_raw[Units_Sold],tbl_raw[Product_Name],A379)</f>
        <v>16</v>
      </c>
      <c r="E379" s="3">
        <f>SUMIFS(tbl_raw[Net_Profit],tbl_raw[Product_Name],A379)</f>
        <v>-2608</v>
      </c>
      <c r="F379" s="2">
        <f>SUMIFS(tbl_raw[Return_Flag],tbl_raw[Product_Name],A379)</f>
        <v>0</v>
      </c>
      <c r="G379" s="3" cm="1">
        <f t="array" ref="G379">SUMPRODUCT((tbl_raw[Product_Name]=A379)*(tbl_raw[MRP]-tbl_raw[Selling_Price])*tbl_raw[Units_Sold])</f>
        <v>44704</v>
      </c>
      <c r="H379" s="83">
        <f>AVERAGEIFS(tbl_raw[Discount_Pct],tbl_raw[Product_Name],A379)</f>
        <v>0.35</v>
      </c>
    </row>
    <row r="380" spans="1:8" hidden="1" x14ac:dyDescent="0.25">
      <c r="A380" s="2" t="str">
        <v>Fiction - Model 443</v>
      </c>
      <c r="B380" s="2" t="str">
        <f>_xlfn.XLOOKUP(A380,tbl_raw[Product_Name],tbl_raw[Category])</f>
        <v>Books</v>
      </c>
      <c r="C380" s="2">
        <f>COUNTIF(tbl_raw[Product_Name],A380)</f>
        <v>1</v>
      </c>
      <c r="D380" s="2">
        <f>SUMIFS(tbl_raw[Units_Sold],tbl_raw[Product_Name],A380)</f>
        <v>13</v>
      </c>
      <c r="E380" s="3">
        <f>SUMIFS(tbl_raw[Net_Profit],tbl_raw[Product_Name],A380)</f>
        <v>19305</v>
      </c>
      <c r="F380" s="2">
        <f>SUMIFS(tbl_raw[Return_Flag],tbl_raw[Product_Name],A380)</f>
        <v>0</v>
      </c>
      <c r="G380" s="3" cm="1">
        <f t="array" ref="G380">SUMPRODUCT((tbl_raw[Product_Name]=A380)*(tbl_raw[MRP]-tbl_raw[Selling_Price])*tbl_raw[Units_Sold])</f>
        <v>29263</v>
      </c>
      <c r="H380" s="83">
        <f>AVERAGEIFS(tbl_raw[Discount_Pct],tbl_raw[Product_Name],A380)</f>
        <v>0.33</v>
      </c>
    </row>
    <row r="381" spans="1:8" hidden="1" x14ac:dyDescent="0.25">
      <c r="A381" s="2" t="str">
        <v>Shoes - Model 144</v>
      </c>
      <c r="B381" s="2" t="str">
        <f>_xlfn.XLOOKUP(A381,tbl_raw[Product_Name],tbl_raw[Category])</f>
        <v>Sports</v>
      </c>
      <c r="C381" s="2">
        <f>COUNTIF(tbl_raw[Product_Name],A381)</f>
        <v>1</v>
      </c>
      <c r="D381" s="2">
        <f>SUMIFS(tbl_raw[Units_Sold],tbl_raw[Product_Name],A381)</f>
        <v>17</v>
      </c>
      <c r="E381" s="3">
        <f>SUMIFS(tbl_raw[Net_Profit],tbl_raw[Product_Name],A381)</f>
        <v>-119</v>
      </c>
      <c r="F381" s="2">
        <f>SUMIFS(tbl_raw[Return_Flag],tbl_raw[Product_Name],A381)</f>
        <v>0</v>
      </c>
      <c r="G381" s="3" cm="1">
        <f t="array" ref="G381">SUMPRODUCT((tbl_raw[Product_Name]=A381)*(tbl_raw[MRP]-tbl_raw[Selling_Price])*tbl_raw[Units_Sold])</f>
        <v>23273</v>
      </c>
      <c r="H381" s="83">
        <f>AVERAGEIFS(tbl_raw[Discount_Pct],tbl_raw[Product_Name],A381)</f>
        <v>0.4</v>
      </c>
    </row>
    <row r="382" spans="1:8" hidden="1" x14ac:dyDescent="0.25">
      <c r="A382" s="2" t="str">
        <v>Smartwatch - Model 778</v>
      </c>
      <c r="B382" s="2" t="str">
        <f>_xlfn.XLOOKUP(A382,tbl_raw[Product_Name],tbl_raw[Category])</f>
        <v>Electronics</v>
      </c>
      <c r="C382" s="2">
        <f>COUNTIF(tbl_raw[Product_Name],A382)</f>
        <v>1</v>
      </c>
      <c r="D382" s="2">
        <f>SUMIFS(tbl_raw[Units_Sold],tbl_raw[Product_Name],A382)</f>
        <v>8</v>
      </c>
      <c r="E382" s="3">
        <f>SUMIFS(tbl_raw[Net_Profit],tbl_raw[Product_Name],A382)</f>
        <v>-2776</v>
      </c>
      <c r="F382" s="2">
        <f>SUMIFS(tbl_raw[Return_Flag],tbl_raw[Product_Name],A382)</f>
        <v>0</v>
      </c>
      <c r="G382" s="3" cm="1">
        <f t="array" ref="G382">SUMPRODUCT((tbl_raw[Product_Name]=A382)*(tbl_raw[MRP]-tbl_raw[Selling_Price])*tbl_raw[Units_Sold])</f>
        <v>7528</v>
      </c>
      <c r="H382" s="83">
        <f>AVERAGEIFS(tbl_raw[Discount_Pct],tbl_raw[Product_Name],A382)</f>
        <v>0.38</v>
      </c>
    </row>
    <row r="383" spans="1:8" hidden="1" x14ac:dyDescent="0.25">
      <c r="A383" s="2" t="str">
        <v>Lamp - Model 211</v>
      </c>
      <c r="B383" s="2" t="str">
        <f>_xlfn.XLOOKUP(A383,tbl_raw[Product_Name],tbl_raw[Category])</f>
        <v>Home &amp; Kitchen</v>
      </c>
      <c r="C383" s="2">
        <f>COUNTIF(tbl_raw[Product_Name],A383)</f>
        <v>1</v>
      </c>
      <c r="D383" s="2">
        <f>SUMIFS(tbl_raw[Units_Sold],tbl_raw[Product_Name],A383)</f>
        <v>4</v>
      </c>
      <c r="E383" s="3">
        <f>SUMIFS(tbl_raw[Net_Profit],tbl_raw[Product_Name],A383)</f>
        <v>1028</v>
      </c>
      <c r="F383" s="2">
        <f>SUMIFS(tbl_raw[Return_Flag],tbl_raw[Product_Name],A383)</f>
        <v>0</v>
      </c>
      <c r="G383" s="3" cm="1">
        <f t="array" ref="G383">SUMPRODUCT((tbl_raw[Product_Name]=A383)*(tbl_raw[MRP]-tbl_raw[Selling_Price])*tbl_raw[Units_Sold])</f>
        <v>1244</v>
      </c>
      <c r="H383" s="83">
        <f>AVERAGEIFS(tbl_raw[Discount_Pct],tbl_raw[Product_Name],A383)</f>
        <v>0.21</v>
      </c>
    </row>
    <row r="384" spans="1:8" hidden="1" x14ac:dyDescent="0.25">
      <c r="A384" s="2" t="str">
        <v>Bedsheet - Model 946</v>
      </c>
      <c r="B384" s="2" t="str">
        <f>_xlfn.XLOOKUP(A384,tbl_raw[Product_Name],tbl_raw[Category])</f>
        <v>Home &amp; Kitchen</v>
      </c>
      <c r="C384" s="2">
        <f>COUNTIF(tbl_raw[Product_Name],A384)</f>
        <v>1</v>
      </c>
      <c r="D384" s="2">
        <f>SUMIFS(tbl_raw[Units_Sold],tbl_raw[Product_Name],A384)</f>
        <v>2</v>
      </c>
      <c r="E384" s="3">
        <f>SUMIFS(tbl_raw[Net_Profit],tbl_raw[Product_Name],A384)</f>
        <v>320</v>
      </c>
      <c r="F384" s="2">
        <f>SUMIFS(tbl_raw[Return_Flag],tbl_raw[Product_Name],A384)</f>
        <v>0</v>
      </c>
      <c r="G384" s="3" cm="1">
        <f t="array" ref="G384">SUMPRODUCT((tbl_raw[Product_Name]=A384)*(tbl_raw[MRP]-tbl_raw[Selling_Price])*tbl_raw[Units_Sold])</f>
        <v>1464</v>
      </c>
      <c r="H384" s="83">
        <f>AVERAGEIFS(tbl_raw[Discount_Pct],tbl_raw[Product_Name],A384)</f>
        <v>0.39</v>
      </c>
    </row>
    <row r="385" spans="1:8" hidden="1" x14ac:dyDescent="0.25">
      <c r="A385" s="2" t="str">
        <v>Mixer - Model 514</v>
      </c>
      <c r="B385" s="2" t="str">
        <f>_xlfn.XLOOKUP(A385,tbl_raw[Product_Name],tbl_raw[Category])</f>
        <v>Home &amp; Kitchen</v>
      </c>
      <c r="C385" s="2">
        <f>COUNTIF(tbl_raw[Product_Name],A385)</f>
        <v>1</v>
      </c>
      <c r="D385" s="2">
        <f>SUMIFS(tbl_raw[Units_Sold],tbl_raw[Product_Name],A385)</f>
        <v>18</v>
      </c>
      <c r="E385" s="3">
        <f>SUMIFS(tbl_raw[Net_Profit],tbl_raw[Product_Name],A385)</f>
        <v>32940</v>
      </c>
      <c r="F385" s="2">
        <f>SUMIFS(tbl_raw[Return_Flag],tbl_raw[Product_Name],A385)</f>
        <v>0</v>
      </c>
      <c r="G385" s="3" cm="1">
        <f t="array" ref="G385">SUMPRODUCT((tbl_raw[Product_Name]=A385)*(tbl_raw[MRP]-tbl_raw[Selling_Price])*tbl_raw[Units_Sold])</f>
        <v>11952</v>
      </c>
      <c r="H385" s="83">
        <f>AVERAGEIFS(tbl_raw[Discount_Pct],tbl_raw[Product_Name],A385)</f>
        <v>0.11</v>
      </c>
    </row>
    <row r="386" spans="1:8" hidden="1" x14ac:dyDescent="0.25">
      <c r="A386" s="2" t="str">
        <v>Perfume - Model 481</v>
      </c>
      <c r="B386" s="2" t="str">
        <f>_xlfn.XLOOKUP(A386,tbl_raw[Product_Name],tbl_raw[Category])</f>
        <v>Beauty</v>
      </c>
      <c r="C386" s="2">
        <f>COUNTIF(tbl_raw[Product_Name],A386)</f>
        <v>1</v>
      </c>
      <c r="D386" s="2">
        <f>SUMIFS(tbl_raw[Units_Sold],tbl_raw[Product_Name],A386)</f>
        <v>19</v>
      </c>
      <c r="E386" s="3">
        <f>SUMIFS(tbl_raw[Net_Profit],tbl_raw[Product_Name],A386)</f>
        <v>11419</v>
      </c>
      <c r="F386" s="2">
        <f>SUMIFS(tbl_raw[Return_Flag],tbl_raw[Product_Name],A386)</f>
        <v>0</v>
      </c>
      <c r="G386" s="3" cm="1">
        <f t="array" ref="G386">SUMPRODUCT((tbl_raw[Product_Name]=A386)*(tbl_raw[MRP]-tbl_raw[Selling_Price])*tbl_raw[Units_Sold])</f>
        <v>37183</v>
      </c>
      <c r="H386" s="83">
        <f>AVERAGEIFS(tbl_raw[Discount_Pct],tbl_raw[Product_Name],A386)</f>
        <v>0.41</v>
      </c>
    </row>
    <row r="387" spans="1:8" hidden="1" x14ac:dyDescent="0.25">
      <c r="A387" s="2" t="str">
        <v>Fiction - Model 143</v>
      </c>
      <c r="B387" s="2" t="str">
        <f>_xlfn.XLOOKUP(A387,tbl_raw[Product_Name],tbl_raw[Category])</f>
        <v>Books</v>
      </c>
      <c r="C387" s="2">
        <f>COUNTIF(tbl_raw[Product_Name],A387)</f>
        <v>1</v>
      </c>
      <c r="D387" s="2">
        <f>SUMIFS(tbl_raw[Units_Sold],tbl_raw[Product_Name],A387)</f>
        <v>2</v>
      </c>
      <c r="E387" s="3">
        <f>SUMIFS(tbl_raw[Net_Profit],tbl_raw[Product_Name],A387)</f>
        <v>-20</v>
      </c>
      <c r="F387" s="2">
        <f>SUMIFS(tbl_raw[Return_Flag],tbl_raw[Product_Name],A387)</f>
        <v>0</v>
      </c>
      <c r="G387" s="3" cm="1">
        <f t="array" ref="G387">SUMPRODUCT((tbl_raw[Product_Name]=A387)*(tbl_raw[MRP]-tbl_raw[Selling_Price])*tbl_raw[Units_Sold])</f>
        <v>786</v>
      </c>
      <c r="H387" s="83">
        <f>AVERAGEIFS(tbl_raw[Discount_Pct],tbl_raw[Product_Name],A387)</f>
        <v>0.26</v>
      </c>
    </row>
    <row r="388" spans="1:8" hidden="1" x14ac:dyDescent="0.25">
      <c r="A388" s="2" t="str">
        <v>Bedsheet - Model 386</v>
      </c>
      <c r="B388" s="2" t="str">
        <f>_xlfn.XLOOKUP(A388,tbl_raw[Product_Name],tbl_raw[Category])</f>
        <v>Home &amp; Kitchen</v>
      </c>
      <c r="C388" s="2">
        <f>COUNTIF(tbl_raw[Product_Name],A388)</f>
        <v>1</v>
      </c>
      <c r="D388" s="2">
        <f>SUMIFS(tbl_raw[Units_Sold],tbl_raw[Product_Name],A388)</f>
        <v>5</v>
      </c>
      <c r="E388" s="3">
        <f>SUMIFS(tbl_raw[Net_Profit],tbl_raw[Product_Name],A388)</f>
        <v>180</v>
      </c>
      <c r="F388" s="2">
        <f>SUMIFS(tbl_raw[Return_Flag],tbl_raw[Product_Name],A388)</f>
        <v>0</v>
      </c>
      <c r="G388" s="3" cm="1">
        <f t="array" ref="G388">SUMPRODUCT((tbl_raw[Product_Name]=A388)*(tbl_raw[MRP]-tbl_raw[Selling_Price])*tbl_raw[Units_Sold])</f>
        <v>660</v>
      </c>
      <c r="H388" s="83">
        <f>AVERAGEIFS(tbl_raw[Discount_Pct],tbl_raw[Product_Name],A388)</f>
        <v>0.28000000000000003</v>
      </c>
    </row>
    <row r="389" spans="1:8" hidden="1" x14ac:dyDescent="0.25">
      <c r="A389" s="2" t="str">
        <v>Board Game - Model 529</v>
      </c>
      <c r="B389" s="2" t="str">
        <f>_xlfn.XLOOKUP(A389,tbl_raw[Product_Name],tbl_raw[Category])</f>
        <v>Toys</v>
      </c>
      <c r="C389" s="2">
        <f>COUNTIF(tbl_raw[Product_Name],A389)</f>
        <v>1</v>
      </c>
      <c r="D389" s="2">
        <f>SUMIFS(tbl_raw[Units_Sold],tbl_raw[Product_Name],A389)</f>
        <v>17</v>
      </c>
      <c r="E389" s="3">
        <f>SUMIFS(tbl_raw[Net_Profit],tbl_raw[Product_Name],A389)</f>
        <v>-2023</v>
      </c>
      <c r="F389" s="2">
        <f>SUMIFS(tbl_raw[Return_Flag],tbl_raw[Product_Name],A389)</f>
        <v>0</v>
      </c>
      <c r="G389" s="3" cm="1">
        <f t="array" ref="G389">SUMPRODUCT((tbl_raw[Product_Name]=A389)*(tbl_raw[MRP]-tbl_raw[Selling_Price])*tbl_raw[Units_Sold])</f>
        <v>16388</v>
      </c>
      <c r="H389" s="83">
        <f>AVERAGEIFS(tbl_raw[Discount_Pct],tbl_raw[Product_Name],A389)</f>
        <v>0.45</v>
      </c>
    </row>
    <row r="390" spans="1:8" hidden="1" x14ac:dyDescent="0.25">
      <c r="A390" s="2" t="str">
        <v>Rice - Model 679</v>
      </c>
      <c r="B390" s="2" t="str">
        <f>_xlfn.XLOOKUP(A390,tbl_raw[Product_Name],tbl_raw[Category])</f>
        <v>Grocery</v>
      </c>
      <c r="C390" s="2">
        <f>COUNTIF(tbl_raw[Product_Name],A390)</f>
        <v>1</v>
      </c>
      <c r="D390" s="2">
        <f>SUMIFS(tbl_raw[Units_Sold],tbl_raw[Product_Name],A390)</f>
        <v>11</v>
      </c>
      <c r="E390" s="3">
        <f>SUMIFS(tbl_raw[Net_Profit],tbl_raw[Product_Name],A390)</f>
        <v>13816</v>
      </c>
      <c r="F390" s="2">
        <f>SUMIFS(tbl_raw[Return_Flag],tbl_raw[Product_Name],A390)</f>
        <v>0</v>
      </c>
      <c r="G390" s="3" cm="1">
        <f t="array" ref="G390">SUMPRODUCT((tbl_raw[Product_Name]=A390)*(tbl_raw[MRP]-tbl_raw[Selling_Price])*tbl_raw[Units_Sold])</f>
        <v>2838</v>
      </c>
      <c r="H390" s="83">
        <f>AVERAGEIFS(tbl_raw[Discount_Pct],tbl_raw[Product_Name],A390)</f>
        <v>0.08</v>
      </c>
    </row>
    <row r="391" spans="1:8" hidden="1" x14ac:dyDescent="0.25">
      <c r="A391" s="2" t="str">
        <v>Serum - Model 202</v>
      </c>
      <c r="B391" s="2" t="str">
        <f>_xlfn.XLOOKUP(A391,tbl_raw[Product_Name],tbl_raw[Category])</f>
        <v>Beauty</v>
      </c>
      <c r="C391" s="2">
        <f>COUNTIF(tbl_raw[Product_Name],A391)</f>
        <v>1</v>
      </c>
      <c r="D391" s="2">
        <f>SUMIFS(tbl_raw[Units_Sold],tbl_raw[Product_Name],A391)</f>
        <v>8</v>
      </c>
      <c r="E391" s="3">
        <f>SUMIFS(tbl_raw[Net_Profit],tbl_raw[Product_Name],A391)</f>
        <v>-1960</v>
      </c>
      <c r="F391" s="2">
        <f>SUMIFS(tbl_raw[Return_Flag],tbl_raw[Product_Name],A391)</f>
        <v>0</v>
      </c>
      <c r="G391" s="3" cm="1">
        <f t="array" ref="G391">SUMPRODUCT((tbl_raw[Product_Name]=A391)*(tbl_raw[MRP]-tbl_raw[Selling_Price])*tbl_raw[Units_Sold])</f>
        <v>6744</v>
      </c>
      <c r="H391" s="83">
        <f>AVERAGEIFS(tbl_raw[Discount_Pct],tbl_raw[Product_Name],A391)</f>
        <v>0.37</v>
      </c>
    </row>
    <row r="392" spans="1:8" hidden="1" x14ac:dyDescent="0.25">
      <c r="A392" s="2" t="str">
        <v>Pressure Cooker - Model 342</v>
      </c>
      <c r="B392" s="2" t="str">
        <f>_xlfn.XLOOKUP(A392,tbl_raw[Product_Name],tbl_raw[Category])</f>
        <v>Home &amp; Kitchen</v>
      </c>
      <c r="C392" s="2">
        <f>COUNTIF(tbl_raw[Product_Name],A392)</f>
        <v>1</v>
      </c>
      <c r="D392" s="2">
        <f>SUMIFS(tbl_raw[Units_Sold],tbl_raw[Product_Name],A392)</f>
        <v>11</v>
      </c>
      <c r="E392" s="3">
        <f>SUMIFS(tbl_raw[Net_Profit],tbl_raw[Product_Name],A392)</f>
        <v>-2508</v>
      </c>
      <c r="F392" s="2">
        <f>SUMIFS(tbl_raw[Return_Flag],tbl_raw[Product_Name],A392)</f>
        <v>0</v>
      </c>
      <c r="G392" s="3" cm="1">
        <f t="array" ref="G392">SUMPRODUCT((tbl_raw[Product_Name]=A392)*(tbl_raw[MRP]-tbl_raw[Selling_Price])*tbl_raw[Units_Sold])</f>
        <v>22121</v>
      </c>
      <c r="H392" s="83">
        <f>AVERAGEIFS(tbl_raw[Discount_Pct],tbl_raw[Product_Name],A392)</f>
        <v>0.31</v>
      </c>
    </row>
    <row r="393" spans="1:8" hidden="1" x14ac:dyDescent="0.25">
      <c r="A393" s="2" t="str">
        <v>Spices - Model 416</v>
      </c>
      <c r="B393" s="2" t="str">
        <f>_xlfn.XLOOKUP(A393,tbl_raw[Product_Name],tbl_raw[Category])</f>
        <v>Grocery</v>
      </c>
      <c r="C393" s="2">
        <f>COUNTIF(tbl_raw[Product_Name],A393)</f>
        <v>1</v>
      </c>
      <c r="D393" s="2">
        <f>SUMIFS(tbl_raw[Units_Sold],tbl_raw[Product_Name],A393)</f>
        <v>16</v>
      </c>
      <c r="E393" s="3">
        <f>SUMIFS(tbl_raw[Net_Profit],tbl_raw[Product_Name],A393)</f>
        <v>2320</v>
      </c>
      <c r="F393" s="2">
        <f>SUMIFS(tbl_raw[Return_Flag],tbl_raw[Product_Name],A393)</f>
        <v>0</v>
      </c>
      <c r="G393" s="3" cm="1">
        <f t="array" ref="G393">SUMPRODUCT((tbl_raw[Product_Name]=A393)*(tbl_raw[MRP]-tbl_raw[Selling_Price])*tbl_raw[Units_Sold])</f>
        <v>240</v>
      </c>
      <c r="H393" s="83">
        <f>AVERAGEIFS(tbl_raw[Discount_Pct],tbl_raw[Product_Name],A393)</f>
        <v>0.03</v>
      </c>
    </row>
    <row r="394" spans="1:8" hidden="1" x14ac:dyDescent="0.25">
      <c r="A394" s="2" t="str">
        <v>Bedsheet - Model 834</v>
      </c>
      <c r="B394" s="2" t="str">
        <f>_xlfn.XLOOKUP(A394,tbl_raw[Product_Name],tbl_raw[Category])</f>
        <v>Home &amp; Kitchen</v>
      </c>
      <c r="C394" s="2">
        <f>COUNTIF(tbl_raw[Product_Name],A394)</f>
        <v>1</v>
      </c>
      <c r="D394" s="2">
        <f>SUMIFS(tbl_raw[Units_Sold],tbl_raw[Product_Name],A394)</f>
        <v>11</v>
      </c>
      <c r="E394" s="3">
        <f>SUMIFS(tbl_raw[Net_Profit],tbl_raw[Product_Name],A394)</f>
        <v>1507</v>
      </c>
      <c r="F394" s="2">
        <f>SUMIFS(tbl_raw[Return_Flag],tbl_raw[Product_Name],A394)</f>
        <v>0</v>
      </c>
      <c r="G394" s="3" cm="1">
        <f t="array" ref="G394">SUMPRODUCT((tbl_raw[Product_Name]=A394)*(tbl_raw[MRP]-tbl_raw[Selling_Price])*tbl_raw[Units_Sold])</f>
        <v>517</v>
      </c>
      <c r="H394" s="83">
        <f>AVERAGEIFS(tbl_raw[Discount_Pct],tbl_raw[Product_Name],A394)</f>
        <v>7.0000000000000007E-2</v>
      </c>
    </row>
    <row r="395" spans="1:8" hidden="1" x14ac:dyDescent="0.25">
      <c r="A395" s="2" t="str">
        <v>Doll - Model 203</v>
      </c>
      <c r="B395" s="2" t="str">
        <f>_xlfn.XLOOKUP(A395,tbl_raw[Product_Name],tbl_raw[Category])</f>
        <v>Toys</v>
      </c>
      <c r="C395" s="2">
        <f>COUNTIF(tbl_raw[Product_Name],A395)</f>
        <v>1</v>
      </c>
      <c r="D395" s="2">
        <f>SUMIFS(tbl_raw[Units_Sold],tbl_raw[Product_Name],A395)</f>
        <v>10</v>
      </c>
      <c r="E395" s="3">
        <f>SUMIFS(tbl_raw[Net_Profit],tbl_raw[Product_Name],A395)</f>
        <v>-3580</v>
      </c>
      <c r="F395" s="2">
        <f>SUMIFS(tbl_raw[Return_Flag],tbl_raw[Product_Name],A395)</f>
        <v>0</v>
      </c>
      <c r="G395" s="3" cm="1">
        <f t="array" ref="G395">SUMPRODUCT((tbl_raw[Product_Name]=A395)*(tbl_raw[MRP]-tbl_raw[Selling_Price])*tbl_raw[Units_Sold])</f>
        <v>11950</v>
      </c>
      <c r="H395" s="83">
        <f>AVERAGEIFS(tbl_raw[Discount_Pct],tbl_raw[Product_Name],A395)</f>
        <v>0.44</v>
      </c>
    </row>
    <row r="396" spans="1:8" hidden="1" x14ac:dyDescent="0.25">
      <c r="A396" s="2" t="str">
        <v>Self-Help - Model 781</v>
      </c>
      <c r="B396" s="2" t="str">
        <f>_xlfn.XLOOKUP(A396,tbl_raw[Product_Name],tbl_raw[Category])</f>
        <v>Books</v>
      </c>
      <c r="C396" s="2">
        <f>COUNTIF(tbl_raw[Product_Name],A396)</f>
        <v>1</v>
      </c>
      <c r="D396" s="2">
        <f>SUMIFS(tbl_raw[Units_Sold],tbl_raw[Product_Name],A396)</f>
        <v>6</v>
      </c>
      <c r="E396" s="3">
        <f>SUMIFS(tbl_raw[Net_Profit],tbl_raw[Product_Name],A396)</f>
        <v>2814</v>
      </c>
      <c r="F396" s="2">
        <f>SUMIFS(tbl_raw[Return_Flag],tbl_raw[Product_Name],A396)</f>
        <v>0</v>
      </c>
      <c r="G396" s="3" cm="1">
        <f t="array" ref="G396">SUMPRODUCT((tbl_raw[Product_Name]=A396)*(tbl_raw[MRP]-tbl_raw[Selling_Price])*tbl_raw[Units_Sold])</f>
        <v>6240</v>
      </c>
      <c r="H396" s="83">
        <f>AVERAGEIFS(tbl_raw[Discount_Pct],tbl_raw[Product_Name],A396)</f>
        <v>0.33</v>
      </c>
    </row>
    <row r="397" spans="1:8" hidden="1" x14ac:dyDescent="0.25">
      <c r="A397" s="2" t="str">
        <v>Laptop - Model 716</v>
      </c>
      <c r="B397" s="2" t="str">
        <f>_xlfn.XLOOKUP(A397,tbl_raw[Product_Name],tbl_raw[Category])</f>
        <v>Electronics</v>
      </c>
      <c r="C397" s="2">
        <f>COUNTIF(tbl_raw[Product_Name],A397)</f>
        <v>1</v>
      </c>
      <c r="D397" s="2">
        <f>SUMIFS(tbl_raw[Units_Sold],tbl_raw[Product_Name],A397)</f>
        <v>20</v>
      </c>
      <c r="E397" s="3">
        <f>SUMIFS(tbl_raw[Net_Profit],tbl_raw[Product_Name],A397)</f>
        <v>-180</v>
      </c>
      <c r="F397" s="2">
        <f>SUMIFS(tbl_raw[Return_Flag],tbl_raw[Product_Name],A397)</f>
        <v>0</v>
      </c>
      <c r="G397" s="3" cm="1">
        <f t="array" ref="G397">SUMPRODUCT((tbl_raw[Product_Name]=A397)*(tbl_raw[MRP]-tbl_raw[Selling_Price])*tbl_raw[Units_Sold])</f>
        <v>9620</v>
      </c>
      <c r="H397" s="83">
        <f>AVERAGEIFS(tbl_raw[Discount_Pct],tbl_raw[Product_Name],A397)</f>
        <v>0.25</v>
      </c>
    </row>
    <row r="398" spans="1:8" hidden="1" x14ac:dyDescent="0.25">
      <c r="A398" s="2" t="str">
        <v>Saree - Model 557</v>
      </c>
      <c r="B398" s="2" t="str">
        <f>_xlfn.XLOOKUP(A398,tbl_raw[Product_Name],tbl_raw[Category])</f>
        <v>Fashion</v>
      </c>
      <c r="C398" s="2">
        <f>COUNTIF(tbl_raw[Product_Name],A398)</f>
        <v>1</v>
      </c>
      <c r="D398" s="2">
        <f>SUMIFS(tbl_raw[Units_Sold],tbl_raw[Product_Name],A398)</f>
        <v>9</v>
      </c>
      <c r="E398" s="3">
        <f>SUMIFS(tbl_raw[Net_Profit],tbl_raw[Product_Name],A398)</f>
        <v>1431</v>
      </c>
      <c r="F398" s="2">
        <f>SUMIFS(tbl_raw[Return_Flag],tbl_raw[Product_Name],A398)</f>
        <v>0</v>
      </c>
      <c r="G398" s="3" cm="1">
        <f t="array" ref="G398">SUMPRODUCT((tbl_raw[Product_Name]=A398)*(tbl_raw[MRP]-tbl_raw[Selling_Price])*tbl_raw[Units_Sold])</f>
        <v>5121</v>
      </c>
      <c r="H398" s="83">
        <f>AVERAGEIFS(tbl_raw[Discount_Pct],tbl_raw[Product_Name],A398)</f>
        <v>0.31</v>
      </c>
    </row>
    <row r="399" spans="1:8" hidden="1" x14ac:dyDescent="0.25">
      <c r="A399" s="2" t="str">
        <v>Remote Car - Model 487</v>
      </c>
      <c r="B399" s="2" t="str">
        <f>_xlfn.XLOOKUP(A399,tbl_raw[Product_Name],tbl_raw[Category])</f>
        <v>Toys</v>
      </c>
      <c r="C399" s="2">
        <f>COUNTIF(tbl_raw[Product_Name],A399)</f>
        <v>1</v>
      </c>
      <c r="D399" s="2">
        <f>SUMIFS(tbl_raw[Units_Sold],tbl_raw[Product_Name],A399)</f>
        <v>18</v>
      </c>
      <c r="E399" s="3">
        <f>SUMIFS(tbl_raw[Net_Profit],tbl_raw[Product_Name],A399)</f>
        <v>-4698</v>
      </c>
      <c r="F399" s="2">
        <f>SUMIFS(tbl_raw[Return_Flag],tbl_raw[Product_Name],A399)</f>
        <v>0</v>
      </c>
      <c r="G399" s="3" cm="1">
        <f t="array" ref="G399">SUMPRODUCT((tbl_raw[Product_Name]=A399)*(tbl_raw[MRP]-tbl_raw[Selling_Price])*tbl_raw[Units_Sold])</f>
        <v>20826</v>
      </c>
      <c r="H399" s="83">
        <f>AVERAGEIFS(tbl_raw[Discount_Pct],tbl_raw[Product_Name],A399)</f>
        <v>0.37</v>
      </c>
    </row>
    <row r="400" spans="1:8" hidden="1" x14ac:dyDescent="0.25">
      <c r="A400" s="2" t="str">
        <v>Headphones - Model 367</v>
      </c>
      <c r="B400" s="2" t="str">
        <f>_xlfn.XLOOKUP(A400,tbl_raw[Product_Name],tbl_raw[Category])</f>
        <v>Electronics</v>
      </c>
      <c r="C400" s="2">
        <f>COUNTIF(tbl_raw[Product_Name],A400)</f>
        <v>1</v>
      </c>
      <c r="D400" s="2">
        <f>SUMIFS(tbl_raw[Units_Sold],tbl_raw[Product_Name],A400)</f>
        <v>3</v>
      </c>
      <c r="E400" s="3">
        <f>SUMIFS(tbl_raw[Net_Profit],tbl_raw[Product_Name],A400)</f>
        <v>1113</v>
      </c>
      <c r="F400" s="2">
        <f>SUMIFS(tbl_raw[Return_Flag],tbl_raw[Product_Name],A400)</f>
        <v>0</v>
      </c>
      <c r="G400" s="3" cm="1">
        <f t="array" ref="G400">SUMPRODUCT((tbl_raw[Product_Name]=A400)*(tbl_raw[MRP]-tbl_raw[Selling_Price])*tbl_raw[Units_Sold])</f>
        <v>3438</v>
      </c>
      <c r="H400" s="83">
        <f>AVERAGEIFS(tbl_raw[Discount_Pct],tbl_raw[Product_Name],A400)</f>
        <v>0.4</v>
      </c>
    </row>
    <row r="401" spans="1:8" hidden="1" x14ac:dyDescent="0.25">
      <c r="A401" s="2" t="str">
        <v>Smartwatch - Model 769</v>
      </c>
      <c r="B401" s="2" t="str">
        <f>_xlfn.XLOOKUP(A401,tbl_raw[Product_Name],tbl_raw[Category])</f>
        <v>Electronics</v>
      </c>
      <c r="C401" s="2">
        <f>COUNTIF(tbl_raw[Product_Name],A401)</f>
        <v>1</v>
      </c>
      <c r="D401" s="2">
        <f>SUMIFS(tbl_raw[Units_Sold],tbl_raw[Product_Name],A401)</f>
        <v>20</v>
      </c>
      <c r="E401" s="3">
        <f>SUMIFS(tbl_raw[Net_Profit],tbl_raw[Product_Name],A401)</f>
        <v>69400</v>
      </c>
      <c r="F401" s="2">
        <f>SUMIFS(tbl_raw[Return_Flag],tbl_raw[Product_Name],A401)</f>
        <v>0</v>
      </c>
      <c r="G401" s="3" cm="1">
        <f t="array" ref="G401">SUMPRODUCT((tbl_raw[Product_Name]=A401)*(tbl_raw[MRP]-tbl_raw[Selling_Price])*tbl_raw[Units_Sold])</f>
        <v>10000</v>
      </c>
      <c r="H401" s="83">
        <f>AVERAGEIFS(tbl_raw[Discount_Pct],tbl_raw[Product_Name],A401)</f>
        <v>7.0000000000000007E-2</v>
      </c>
    </row>
    <row r="402" spans="1:8" hidden="1" x14ac:dyDescent="0.25">
      <c r="A402" s="2" t="str">
        <v>Yoga Mat - Model 404</v>
      </c>
      <c r="B402" s="2" t="str">
        <f>_xlfn.XLOOKUP(A402,tbl_raw[Product_Name],tbl_raw[Category])</f>
        <v>Sports</v>
      </c>
      <c r="C402" s="2">
        <f>COUNTIF(tbl_raw[Product_Name],A402)</f>
        <v>1</v>
      </c>
      <c r="D402" s="2">
        <f>SUMIFS(tbl_raw[Units_Sold],tbl_raw[Product_Name],A402)</f>
        <v>4</v>
      </c>
      <c r="E402" s="3">
        <f>SUMIFS(tbl_raw[Net_Profit],tbl_raw[Product_Name],A402)</f>
        <v>-104</v>
      </c>
      <c r="F402" s="2">
        <f>SUMIFS(tbl_raw[Return_Flag],tbl_raw[Product_Name],A402)</f>
        <v>0</v>
      </c>
      <c r="G402" s="3" cm="1">
        <f t="array" ref="G402">SUMPRODUCT((tbl_raw[Product_Name]=A402)*(tbl_raw[MRP]-tbl_raw[Selling_Price])*tbl_raw[Units_Sold])</f>
        <v>612</v>
      </c>
      <c r="H402" s="83">
        <f>AVERAGEIFS(tbl_raw[Discount_Pct],tbl_raw[Product_Name],A402)</f>
        <v>0.26</v>
      </c>
    </row>
    <row r="403" spans="1:8" hidden="1" x14ac:dyDescent="0.25">
      <c r="A403" s="2" t="str">
        <v>Oil - Model 199</v>
      </c>
      <c r="B403" s="2" t="str">
        <f>_xlfn.XLOOKUP(A403,tbl_raw[Product_Name],tbl_raw[Category])</f>
        <v>Grocery</v>
      </c>
      <c r="C403" s="2">
        <f>COUNTIF(tbl_raw[Product_Name],A403)</f>
        <v>1</v>
      </c>
      <c r="D403" s="2">
        <f>SUMIFS(tbl_raw[Units_Sold],tbl_raw[Product_Name],A403)</f>
        <v>7</v>
      </c>
      <c r="E403" s="3">
        <f>SUMIFS(tbl_raw[Net_Profit],tbl_raw[Product_Name],A403)</f>
        <v>3633</v>
      </c>
      <c r="F403" s="2">
        <f>SUMIFS(tbl_raw[Return_Flag],tbl_raw[Product_Name],A403)</f>
        <v>0</v>
      </c>
      <c r="G403" s="3" cm="1">
        <f t="array" ref="G403">SUMPRODUCT((tbl_raw[Product_Name]=A403)*(tbl_raw[MRP]-tbl_raw[Selling_Price])*tbl_raw[Units_Sold])</f>
        <v>1393</v>
      </c>
      <c r="H403" s="83">
        <f>AVERAGEIFS(tbl_raw[Discount_Pct],tbl_raw[Product_Name],A403)</f>
        <v>0.13</v>
      </c>
    </row>
    <row r="404" spans="1:8" hidden="1" x14ac:dyDescent="0.25">
      <c r="A404" s="2" t="str">
        <v>Jacket - Model 496</v>
      </c>
      <c r="B404" s="2" t="str">
        <f>_xlfn.XLOOKUP(A404,tbl_raw[Product_Name],tbl_raw[Category])</f>
        <v>Fashion</v>
      </c>
      <c r="C404" s="2">
        <f>COUNTIF(tbl_raw[Product_Name],A404)</f>
        <v>1</v>
      </c>
      <c r="D404" s="2">
        <f>SUMIFS(tbl_raw[Units_Sold],tbl_raw[Product_Name],A404)</f>
        <v>12</v>
      </c>
      <c r="E404" s="3">
        <f>SUMIFS(tbl_raw[Net_Profit],tbl_raw[Product_Name],A404)</f>
        <v>22536</v>
      </c>
      <c r="F404" s="2">
        <f>SUMIFS(tbl_raw[Return_Flag],tbl_raw[Product_Name],A404)</f>
        <v>0</v>
      </c>
      <c r="G404" s="3" cm="1">
        <f t="array" ref="G404">SUMPRODUCT((tbl_raw[Product_Name]=A404)*(tbl_raw[MRP]-tbl_raw[Selling_Price])*tbl_raw[Units_Sold])</f>
        <v>14496</v>
      </c>
      <c r="H404" s="83">
        <f>AVERAGEIFS(tbl_raw[Discount_Pct],tbl_raw[Product_Name],A404)</f>
        <v>0.17</v>
      </c>
    </row>
    <row r="405" spans="1:8" hidden="1" x14ac:dyDescent="0.25">
      <c r="A405" s="2" t="str">
        <v>Mixer - Model 187</v>
      </c>
      <c r="B405" s="2" t="str">
        <f>_xlfn.XLOOKUP(A405,tbl_raw[Product_Name],tbl_raw[Category])</f>
        <v>Home &amp; Kitchen</v>
      </c>
      <c r="C405" s="2">
        <f>COUNTIF(tbl_raw[Product_Name],A405)</f>
        <v>1</v>
      </c>
      <c r="D405" s="2">
        <f>SUMIFS(tbl_raw[Units_Sold],tbl_raw[Product_Name],A405)</f>
        <v>18</v>
      </c>
      <c r="E405" s="3">
        <f>SUMIFS(tbl_raw[Net_Profit],tbl_raw[Product_Name],A405)</f>
        <v>10422</v>
      </c>
      <c r="F405" s="2">
        <f>SUMIFS(tbl_raw[Return_Flag],tbl_raw[Product_Name],A405)</f>
        <v>0</v>
      </c>
      <c r="G405" s="3" cm="1">
        <f t="array" ref="G405">SUMPRODUCT((tbl_raw[Product_Name]=A405)*(tbl_raw[MRP]-tbl_raw[Selling_Price])*tbl_raw[Units_Sold])</f>
        <v>20988</v>
      </c>
      <c r="H405" s="83">
        <f>AVERAGEIFS(tbl_raw[Discount_Pct],tbl_raw[Product_Name],A405)</f>
        <v>0.34</v>
      </c>
    </row>
    <row r="406" spans="1:8" hidden="1" x14ac:dyDescent="0.25">
      <c r="A406" s="2" t="str">
        <v>Spices - Model 341</v>
      </c>
      <c r="B406" s="2" t="str">
        <f>_xlfn.XLOOKUP(A406,tbl_raw[Product_Name],tbl_raw[Category])</f>
        <v>Grocery</v>
      </c>
      <c r="C406" s="2">
        <f>COUNTIF(tbl_raw[Product_Name],A406)</f>
        <v>1</v>
      </c>
      <c r="D406" s="2">
        <f>SUMIFS(tbl_raw[Units_Sold],tbl_raw[Product_Name],A406)</f>
        <v>10</v>
      </c>
      <c r="E406" s="3">
        <f>SUMIFS(tbl_raw[Net_Profit],tbl_raw[Product_Name],A406)</f>
        <v>-1540</v>
      </c>
      <c r="F406" s="2">
        <f>SUMIFS(tbl_raw[Return_Flag],tbl_raw[Product_Name],A406)</f>
        <v>0</v>
      </c>
      <c r="G406" s="3" cm="1">
        <f t="array" ref="G406">SUMPRODUCT((tbl_raw[Product_Name]=A406)*(tbl_raw[MRP]-tbl_raw[Selling_Price])*tbl_raw[Units_Sold])</f>
        <v>3350</v>
      </c>
      <c r="H406" s="83">
        <f>AVERAGEIFS(tbl_raw[Discount_Pct],tbl_raw[Product_Name],A406)</f>
        <v>0.41</v>
      </c>
    </row>
    <row r="407" spans="1:8" hidden="1" x14ac:dyDescent="0.25">
      <c r="A407" s="2" t="str">
        <v>Shoes - Model 277</v>
      </c>
      <c r="B407" s="2" t="str">
        <f>_xlfn.XLOOKUP(A407,tbl_raw[Product_Name],tbl_raw[Category])</f>
        <v>Fashion</v>
      </c>
      <c r="C407" s="2">
        <f>COUNTIF(tbl_raw[Product_Name],A407)</f>
        <v>1</v>
      </c>
      <c r="D407" s="2">
        <f>SUMIFS(tbl_raw[Units_Sold],tbl_raw[Product_Name],A407)</f>
        <v>7</v>
      </c>
      <c r="E407" s="3">
        <f>SUMIFS(tbl_raw[Net_Profit],tbl_raw[Product_Name],A407)</f>
        <v>16604</v>
      </c>
      <c r="F407" s="2">
        <f>SUMIFS(tbl_raw[Return_Flag],tbl_raw[Product_Name],A407)</f>
        <v>1</v>
      </c>
      <c r="G407" s="3" cm="1">
        <f t="array" ref="G407">SUMPRODUCT((tbl_raw[Product_Name]=A407)*(tbl_raw[MRP]-tbl_raw[Selling_Price])*tbl_raw[Units_Sold])</f>
        <v>2730</v>
      </c>
      <c r="H407" s="83">
        <f>AVERAGEIFS(tbl_raw[Discount_Pct],tbl_raw[Product_Name],A407)</f>
        <v>0.06</v>
      </c>
    </row>
    <row r="408" spans="1:8" hidden="1" x14ac:dyDescent="0.25">
      <c r="A408" s="2" t="str">
        <v>Yoga Mat - Model 844</v>
      </c>
      <c r="B408" s="2" t="str">
        <f>_xlfn.XLOOKUP(A408,tbl_raw[Product_Name],tbl_raw[Category])</f>
        <v>Sports</v>
      </c>
      <c r="C408" s="2">
        <f>COUNTIF(tbl_raw[Product_Name],A408)</f>
        <v>1</v>
      </c>
      <c r="D408" s="2">
        <f>SUMIFS(tbl_raw[Units_Sold],tbl_raw[Product_Name],A408)</f>
        <v>3</v>
      </c>
      <c r="E408" s="3">
        <f>SUMIFS(tbl_raw[Net_Profit],tbl_raw[Product_Name],A408)</f>
        <v>2748</v>
      </c>
      <c r="F408" s="2">
        <f>SUMIFS(tbl_raw[Return_Flag],tbl_raw[Product_Name],A408)</f>
        <v>0</v>
      </c>
      <c r="G408" s="3" cm="1">
        <f t="array" ref="G408">SUMPRODUCT((tbl_raw[Product_Name]=A408)*(tbl_raw[MRP]-tbl_raw[Selling_Price])*tbl_raw[Units_Sold])</f>
        <v>1743</v>
      </c>
      <c r="H408" s="83">
        <f>AVERAGEIFS(tbl_raw[Discount_Pct],tbl_raw[Product_Name],A408)</f>
        <v>0.18</v>
      </c>
    </row>
    <row r="409" spans="1:8" hidden="1" x14ac:dyDescent="0.25">
      <c r="A409" s="2" t="str">
        <v>Action Figure - Model 524</v>
      </c>
      <c r="B409" s="2" t="str">
        <f>_xlfn.XLOOKUP(A409,tbl_raw[Product_Name],tbl_raw[Category])</f>
        <v>Toys</v>
      </c>
      <c r="C409" s="2">
        <f>COUNTIF(tbl_raw[Product_Name],A409)</f>
        <v>1</v>
      </c>
      <c r="D409" s="2">
        <f>SUMIFS(tbl_raw[Units_Sold],tbl_raw[Product_Name],A409)</f>
        <v>5</v>
      </c>
      <c r="E409" s="3">
        <f>SUMIFS(tbl_raw[Net_Profit],tbl_raw[Product_Name],A409)</f>
        <v>-170</v>
      </c>
      <c r="F409" s="2">
        <f>SUMIFS(tbl_raw[Return_Flag],tbl_raw[Product_Name],A409)</f>
        <v>0</v>
      </c>
      <c r="G409" s="3" cm="1">
        <f t="array" ref="G409">SUMPRODUCT((tbl_raw[Product_Name]=A409)*(tbl_raw[MRP]-tbl_raw[Selling_Price])*tbl_raw[Units_Sold])</f>
        <v>6005</v>
      </c>
      <c r="H409" s="83">
        <f>AVERAGEIFS(tbl_raw[Discount_Pct],tbl_raw[Product_Name],A409)</f>
        <v>0.26</v>
      </c>
    </row>
    <row r="410" spans="1:8" hidden="1" x14ac:dyDescent="0.25">
      <c r="A410" s="2" t="str">
        <v>Children - Model 370</v>
      </c>
      <c r="B410" s="2" t="str">
        <f>_xlfn.XLOOKUP(A410,tbl_raw[Product_Name],tbl_raw[Category])</f>
        <v>Books</v>
      </c>
      <c r="C410" s="2">
        <f>COUNTIF(tbl_raw[Product_Name],A410)</f>
        <v>1</v>
      </c>
      <c r="D410" s="2">
        <f>SUMIFS(tbl_raw[Units_Sold],tbl_raw[Product_Name],A410)</f>
        <v>16</v>
      </c>
      <c r="E410" s="3">
        <f>SUMIFS(tbl_raw[Net_Profit],tbl_raw[Product_Name],A410)</f>
        <v>23152</v>
      </c>
      <c r="F410" s="2">
        <f>SUMIFS(tbl_raw[Return_Flag],tbl_raw[Product_Name],A410)</f>
        <v>0</v>
      </c>
      <c r="G410" s="3" cm="1">
        <f t="array" ref="G410">SUMPRODUCT((tbl_raw[Product_Name]=A410)*(tbl_raw[MRP]-tbl_raw[Selling_Price])*tbl_raw[Units_Sold])</f>
        <v>15664</v>
      </c>
      <c r="H410" s="83">
        <f>AVERAGEIFS(tbl_raw[Discount_Pct],tbl_raw[Product_Name],A410)</f>
        <v>0.21</v>
      </c>
    </row>
    <row r="411" spans="1:8" hidden="1" x14ac:dyDescent="0.25">
      <c r="A411" s="2" t="str">
        <v>Self-Help - Model 150</v>
      </c>
      <c r="B411" s="2" t="str">
        <f>_xlfn.XLOOKUP(A411,tbl_raw[Product_Name],tbl_raw[Category])</f>
        <v>Books</v>
      </c>
      <c r="C411" s="2">
        <f>COUNTIF(tbl_raw[Product_Name],A411)</f>
        <v>1</v>
      </c>
      <c r="D411" s="2">
        <f>SUMIFS(tbl_raw[Units_Sold],tbl_raw[Product_Name],A411)</f>
        <v>9</v>
      </c>
      <c r="E411" s="3">
        <f>SUMIFS(tbl_raw[Net_Profit],tbl_raw[Product_Name],A411)</f>
        <v>19008</v>
      </c>
      <c r="F411" s="2">
        <f>SUMIFS(tbl_raw[Return_Flag],tbl_raw[Product_Name],A411)</f>
        <v>0</v>
      </c>
      <c r="G411" s="3" cm="1">
        <f t="array" ref="G411">SUMPRODUCT((tbl_raw[Product_Name]=A411)*(tbl_raw[MRP]-tbl_raw[Selling_Price])*tbl_raw[Units_Sold])</f>
        <v>648</v>
      </c>
      <c r="H411" s="83">
        <f>AVERAGEIFS(tbl_raw[Discount_Pct],tbl_raw[Product_Name],A411)</f>
        <v>0.01</v>
      </c>
    </row>
    <row r="412" spans="1:8" hidden="1" x14ac:dyDescent="0.25">
      <c r="A412" s="2" t="str">
        <v>Fiction - Model 627</v>
      </c>
      <c r="B412" s="2" t="str">
        <f>_xlfn.XLOOKUP(A412,tbl_raw[Product_Name],tbl_raw[Category])</f>
        <v>Books</v>
      </c>
      <c r="C412" s="2">
        <f>COUNTIF(tbl_raw[Product_Name],A412)</f>
        <v>1</v>
      </c>
      <c r="D412" s="2">
        <f>SUMIFS(tbl_raw[Units_Sold],tbl_raw[Product_Name],A412)</f>
        <v>3</v>
      </c>
      <c r="E412" s="3">
        <f>SUMIFS(tbl_raw[Net_Profit],tbl_raw[Product_Name],A412)</f>
        <v>2067</v>
      </c>
      <c r="F412" s="2">
        <f>SUMIFS(tbl_raw[Return_Flag],tbl_raw[Product_Name],A412)</f>
        <v>0</v>
      </c>
      <c r="G412" s="3" cm="1">
        <f t="array" ref="G412">SUMPRODUCT((tbl_raw[Product_Name]=A412)*(tbl_raw[MRP]-tbl_raw[Selling_Price])*tbl_raw[Units_Sold])</f>
        <v>1812</v>
      </c>
      <c r="H412" s="83">
        <f>AVERAGEIFS(tbl_raw[Discount_Pct],tbl_raw[Product_Name],A412)</f>
        <v>0.23</v>
      </c>
    </row>
    <row r="413" spans="1:8" hidden="1" x14ac:dyDescent="0.25">
      <c r="A413" s="2" t="str">
        <v>Laptop - Model 133</v>
      </c>
      <c r="B413" s="2" t="str">
        <f>_xlfn.XLOOKUP(A413,tbl_raw[Product_Name],tbl_raw[Category])</f>
        <v>Electronics</v>
      </c>
      <c r="C413" s="2">
        <f>COUNTIF(tbl_raw[Product_Name],A413)</f>
        <v>1</v>
      </c>
      <c r="D413" s="2">
        <f>SUMIFS(tbl_raw[Units_Sold],tbl_raw[Product_Name],A413)</f>
        <v>2</v>
      </c>
      <c r="E413" s="3">
        <f>SUMIFS(tbl_raw[Net_Profit],tbl_raw[Product_Name],A413)</f>
        <v>2402</v>
      </c>
      <c r="F413" s="2">
        <f>SUMIFS(tbl_raw[Return_Flag],tbl_raw[Product_Name],A413)</f>
        <v>0</v>
      </c>
      <c r="G413" s="3" cm="1">
        <f t="array" ref="G413">SUMPRODUCT((tbl_raw[Product_Name]=A413)*(tbl_raw[MRP]-tbl_raw[Selling_Price])*tbl_raw[Units_Sold])</f>
        <v>4712</v>
      </c>
      <c r="H413" s="83">
        <f>AVERAGEIFS(tbl_raw[Discount_Pct],tbl_raw[Product_Name],A413)</f>
        <v>0.32</v>
      </c>
    </row>
    <row r="414" spans="1:8" hidden="1" x14ac:dyDescent="0.25">
      <c r="A414" s="2" t="str">
        <v>Lipstick - Model 600</v>
      </c>
      <c r="B414" s="2" t="str">
        <f>_xlfn.XLOOKUP(A414,tbl_raw[Product_Name],tbl_raw[Category])</f>
        <v>Beauty</v>
      </c>
      <c r="C414" s="2">
        <f>COUNTIF(tbl_raw[Product_Name],A414)</f>
        <v>1</v>
      </c>
      <c r="D414" s="2">
        <f>SUMIFS(tbl_raw[Units_Sold],tbl_raw[Product_Name],A414)</f>
        <v>15</v>
      </c>
      <c r="E414" s="3">
        <f>SUMIFS(tbl_raw[Net_Profit],tbl_raw[Product_Name],A414)</f>
        <v>-1125</v>
      </c>
      <c r="F414" s="2">
        <f>SUMIFS(tbl_raw[Return_Flag],tbl_raw[Product_Name],A414)</f>
        <v>0</v>
      </c>
      <c r="G414" s="3" cm="1">
        <f t="array" ref="G414">SUMPRODUCT((tbl_raw[Product_Name]=A414)*(tbl_raw[MRP]-tbl_raw[Selling_Price])*tbl_raw[Units_Sold])</f>
        <v>9270</v>
      </c>
      <c r="H414" s="83">
        <f>AVERAGEIFS(tbl_raw[Discount_Pct],tbl_raw[Product_Name],A414)</f>
        <v>0.39</v>
      </c>
    </row>
    <row r="415" spans="1:8" hidden="1" x14ac:dyDescent="0.25">
      <c r="A415" s="2" t="str">
        <v>Shoes - Model 495</v>
      </c>
      <c r="B415" s="2" t="str">
        <f>_xlfn.XLOOKUP(A415,tbl_raw[Product_Name],tbl_raw[Category])</f>
        <v>Sports</v>
      </c>
      <c r="C415" s="2">
        <f>COUNTIF(tbl_raw[Product_Name],A415)</f>
        <v>1</v>
      </c>
      <c r="D415" s="2">
        <f>SUMIFS(tbl_raw[Units_Sold],tbl_raw[Product_Name],A415)</f>
        <v>6</v>
      </c>
      <c r="E415" s="3">
        <f>SUMIFS(tbl_raw[Net_Profit],tbl_raw[Product_Name],A415)</f>
        <v>6822</v>
      </c>
      <c r="F415" s="2">
        <f>SUMIFS(tbl_raw[Return_Flag],tbl_raw[Product_Name],A415)</f>
        <v>0</v>
      </c>
      <c r="G415" s="3" cm="1">
        <f t="array" ref="G415">SUMPRODUCT((tbl_raw[Product_Name]=A415)*(tbl_raw[MRP]-tbl_raw[Selling_Price])*tbl_raw[Units_Sold])</f>
        <v>14406</v>
      </c>
      <c r="H415" s="83">
        <f>AVERAGEIFS(tbl_raw[Discount_Pct],tbl_raw[Product_Name],A415)</f>
        <v>0.35</v>
      </c>
    </row>
    <row r="416" spans="1:8" hidden="1" x14ac:dyDescent="0.25">
      <c r="A416" s="2" t="str">
        <v>Mobile - Model 585</v>
      </c>
      <c r="B416" s="2" t="str">
        <f>_xlfn.XLOOKUP(A416,tbl_raw[Product_Name],tbl_raw[Category])</f>
        <v>Electronics</v>
      </c>
      <c r="C416" s="2">
        <f>COUNTIF(tbl_raw[Product_Name],A416)</f>
        <v>1</v>
      </c>
      <c r="D416" s="2">
        <f>SUMIFS(tbl_raw[Units_Sold],tbl_raw[Product_Name],A416)</f>
        <v>6</v>
      </c>
      <c r="E416" s="3">
        <f>SUMIFS(tbl_raw[Net_Profit],tbl_raw[Product_Name],A416)</f>
        <v>14106</v>
      </c>
      <c r="F416" s="2">
        <f>SUMIFS(tbl_raw[Return_Flag],tbl_raw[Product_Name],A416)</f>
        <v>0</v>
      </c>
      <c r="G416" s="3" cm="1">
        <f t="array" ref="G416">SUMPRODUCT((tbl_raw[Product_Name]=A416)*(tbl_raw[MRP]-tbl_raw[Selling_Price])*tbl_raw[Units_Sold])</f>
        <v>0</v>
      </c>
      <c r="H416" s="83">
        <f>AVERAGEIFS(tbl_raw[Discount_Pct],tbl_raw[Product_Name],A416)</f>
        <v>0</v>
      </c>
    </row>
    <row r="417" spans="1:8" hidden="1" x14ac:dyDescent="0.25">
      <c r="A417" s="2" t="str">
        <v>Puzzle - Model 570</v>
      </c>
      <c r="B417" s="2" t="str">
        <f>_xlfn.XLOOKUP(A417,tbl_raw[Product_Name],tbl_raw[Category])</f>
        <v>Toys</v>
      </c>
      <c r="C417" s="2">
        <f>COUNTIF(tbl_raw[Product_Name],A417)</f>
        <v>1</v>
      </c>
      <c r="D417" s="2">
        <f>SUMIFS(tbl_raw[Units_Sold],tbl_raw[Product_Name],A417)</f>
        <v>7</v>
      </c>
      <c r="E417" s="3">
        <f>SUMIFS(tbl_raw[Net_Profit],tbl_raw[Product_Name],A417)</f>
        <v>-322</v>
      </c>
      <c r="F417" s="2">
        <f>SUMIFS(tbl_raw[Return_Flag],tbl_raw[Product_Name],A417)</f>
        <v>0</v>
      </c>
      <c r="G417" s="3" cm="1">
        <f t="array" ref="G417">SUMPRODUCT((tbl_raw[Product_Name]=A417)*(tbl_raw[MRP]-tbl_raw[Selling_Price])*tbl_raw[Units_Sold])</f>
        <v>8064</v>
      </c>
      <c r="H417" s="83">
        <f>AVERAGEIFS(tbl_raw[Discount_Pct],tbl_raw[Product_Name],A417)</f>
        <v>0.3</v>
      </c>
    </row>
    <row r="418" spans="1:8" hidden="1" x14ac:dyDescent="0.25">
      <c r="A418" s="2" t="str">
        <v>Yoga Mat - Model 800</v>
      </c>
      <c r="B418" s="2" t="str">
        <f>_xlfn.XLOOKUP(A418,tbl_raw[Product_Name],tbl_raw[Category])</f>
        <v>Sports</v>
      </c>
      <c r="C418" s="2">
        <f>COUNTIF(tbl_raw[Product_Name],A418)</f>
        <v>1</v>
      </c>
      <c r="D418" s="2">
        <f>SUMIFS(tbl_raw[Units_Sold],tbl_raw[Product_Name],A418)</f>
        <v>16</v>
      </c>
      <c r="E418" s="3">
        <f>SUMIFS(tbl_raw[Net_Profit],tbl_raw[Product_Name],A418)</f>
        <v>-3264</v>
      </c>
      <c r="F418" s="2">
        <f>SUMIFS(tbl_raw[Return_Flag],tbl_raw[Product_Name],A418)</f>
        <v>0</v>
      </c>
      <c r="G418" s="3" cm="1">
        <f t="array" ref="G418">SUMPRODUCT((tbl_raw[Product_Name]=A418)*(tbl_raw[MRP]-tbl_raw[Selling_Price])*tbl_raw[Units_Sold])</f>
        <v>4912</v>
      </c>
      <c r="H418" s="83">
        <f>AVERAGEIFS(tbl_raw[Discount_Pct],tbl_raw[Product_Name],A418)</f>
        <v>0.44</v>
      </c>
    </row>
    <row r="419" spans="1:8" hidden="1" x14ac:dyDescent="0.25">
      <c r="A419" s="2" t="str">
        <v>Serum - Model 629</v>
      </c>
      <c r="B419" s="2" t="str">
        <f>_xlfn.XLOOKUP(A419,tbl_raw[Product_Name],tbl_raw[Category])</f>
        <v>Beauty</v>
      </c>
      <c r="C419" s="2">
        <f>COUNTIF(tbl_raw[Product_Name],A419)</f>
        <v>1</v>
      </c>
      <c r="D419" s="2">
        <f>SUMIFS(tbl_raw[Units_Sold],tbl_raw[Product_Name],A419)</f>
        <v>2</v>
      </c>
      <c r="E419" s="3">
        <f>SUMIFS(tbl_raw[Net_Profit],tbl_raw[Product_Name],A419)</f>
        <v>130</v>
      </c>
      <c r="F419" s="2">
        <f>SUMIFS(tbl_raw[Return_Flag],tbl_raw[Product_Name],A419)</f>
        <v>1</v>
      </c>
      <c r="G419" s="3" cm="1">
        <f t="array" ref="G419">SUMPRODUCT((tbl_raw[Product_Name]=A419)*(tbl_raw[MRP]-tbl_raw[Selling_Price])*tbl_raw[Units_Sold])</f>
        <v>4668</v>
      </c>
      <c r="H419" s="83">
        <f>AVERAGEIFS(tbl_raw[Discount_Pct],tbl_raw[Product_Name],A419)</f>
        <v>0.36</v>
      </c>
    </row>
    <row r="420" spans="1:8" hidden="1" x14ac:dyDescent="0.25">
      <c r="A420" s="2" t="str">
        <v>Remote Car - Model 497</v>
      </c>
      <c r="B420" s="2" t="str">
        <f>_xlfn.XLOOKUP(A420,tbl_raw[Product_Name],tbl_raw[Category])</f>
        <v>Toys</v>
      </c>
      <c r="C420" s="2">
        <f>COUNTIF(tbl_raw[Product_Name],A420)</f>
        <v>1</v>
      </c>
      <c r="D420" s="2">
        <f>SUMIFS(tbl_raw[Units_Sold],tbl_raw[Product_Name],A420)</f>
        <v>19</v>
      </c>
      <c r="E420" s="3">
        <f>SUMIFS(tbl_raw[Net_Profit],tbl_raw[Product_Name],A420)</f>
        <v>27094</v>
      </c>
      <c r="F420" s="2">
        <f>SUMIFS(tbl_raw[Return_Flag],tbl_raw[Product_Name],A420)</f>
        <v>1</v>
      </c>
      <c r="G420" s="3" cm="1">
        <f t="array" ref="G420">SUMPRODUCT((tbl_raw[Product_Name]=A420)*(tbl_raw[MRP]-tbl_raw[Selling_Price])*tbl_raw[Units_Sold])</f>
        <v>28272</v>
      </c>
      <c r="H420" s="83">
        <f>AVERAGEIFS(tbl_raw[Discount_Pct],tbl_raw[Product_Name],A420)</f>
        <v>0.26</v>
      </c>
    </row>
    <row r="421" spans="1:8" hidden="1" x14ac:dyDescent="0.25">
      <c r="A421" s="2" t="str">
        <v>Comic - Model 407</v>
      </c>
      <c r="B421" s="2" t="str">
        <f>_xlfn.XLOOKUP(A421,tbl_raw[Product_Name],tbl_raw[Category])</f>
        <v>Books</v>
      </c>
      <c r="C421" s="2">
        <f>COUNTIF(tbl_raw[Product_Name],A421)</f>
        <v>1</v>
      </c>
      <c r="D421" s="2">
        <f>SUMIFS(tbl_raw[Units_Sold],tbl_raw[Product_Name],A421)</f>
        <v>18</v>
      </c>
      <c r="E421" s="3">
        <f>SUMIFS(tbl_raw[Net_Profit],tbl_raw[Product_Name],A421)</f>
        <v>13716</v>
      </c>
      <c r="F421" s="2">
        <f>SUMIFS(tbl_raw[Return_Flag],tbl_raw[Product_Name],A421)</f>
        <v>0</v>
      </c>
      <c r="G421" s="3" cm="1">
        <f t="array" ref="G421">SUMPRODUCT((tbl_raw[Product_Name]=A421)*(tbl_raw[MRP]-tbl_raw[Selling_Price])*tbl_raw[Units_Sold])</f>
        <v>1170</v>
      </c>
      <c r="H421" s="83">
        <f>AVERAGEIFS(tbl_raw[Discount_Pct],tbl_raw[Product_Name],A421)</f>
        <v>0.04</v>
      </c>
    </row>
    <row r="422" spans="1:8" hidden="1" x14ac:dyDescent="0.25">
      <c r="A422" s="2" t="str">
        <v>Jeans - Model 463</v>
      </c>
      <c r="B422" s="2" t="str">
        <f>_xlfn.XLOOKUP(A422,tbl_raw[Product_Name],tbl_raw[Category])</f>
        <v>Fashion</v>
      </c>
      <c r="C422" s="2">
        <f>COUNTIF(tbl_raw[Product_Name],A422)</f>
        <v>1</v>
      </c>
      <c r="D422" s="2">
        <f>SUMIFS(tbl_raw[Units_Sold],tbl_raw[Product_Name],A422)</f>
        <v>10</v>
      </c>
      <c r="E422" s="3">
        <f>SUMIFS(tbl_raw[Net_Profit],tbl_raw[Product_Name],A422)</f>
        <v>1250</v>
      </c>
      <c r="F422" s="2">
        <f>SUMIFS(tbl_raw[Return_Flag],tbl_raw[Product_Name],A422)</f>
        <v>0</v>
      </c>
      <c r="G422" s="3" cm="1">
        <f t="array" ref="G422">SUMPRODUCT((tbl_raw[Product_Name]=A422)*(tbl_raw[MRP]-tbl_raw[Selling_Price])*tbl_raw[Units_Sold])</f>
        <v>13920</v>
      </c>
      <c r="H422" s="83">
        <f>AVERAGEIFS(tbl_raw[Discount_Pct],tbl_raw[Product_Name],A422)</f>
        <v>0.4</v>
      </c>
    </row>
    <row r="423" spans="1:8" hidden="1" x14ac:dyDescent="0.25">
      <c r="A423" s="2" t="str">
        <v>Shoes - Model 299</v>
      </c>
      <c r="B423" s="2" t="str">
        <f>_xlfn.XLOOKUP(A423,tbl_raw[Product_Name],tbl_raw[Category])</f>
        <v>Fashion</v>
      </c>
      <c r="C423" s="2">
        <f>COUNTIF(tbl_raw[Product_Name],A423)</f>
        <v>1</v>
      </c>
      <c r="D423" s="2">
        <f>SUMIFS(tbl_raw[Units_Sold],tbl_raw[Product_Name],A423)</f>
        <v>4</v>
      </c>
      <c r="E423" s="3">
        <f>SUMIFS(tbl_raw[Net_Profit],tbl_raw[Product_Name],A423)</f>
        <v>8920</v>
      </c>
      <c r="F423" s="2">
        <f>SUMIFS(tbl_raw[Return_Flag],tbl_raw[Product_Name],A423)</f>
        <v>0</v>
      </c>
      <c r="G423" s="3" cm="1">
        <f t="array" ref="G423">SUMPRODUCT((tbl_raw[Product_Name]=A423)*(tbl_raw[MRP]-tbl_raw[Selling_Price])*tbl_raw[Units_Sold])</f>
        <v>4736</v>
      </c>
      <c r="H423" s="83">
        <f>AVERAGEIFS(tbl_raw[Discount_Pct],tbl_raw[Product_Name],A423)</f>
        <v>0.17</v>
      </c>
    </row>
    <row r="424" spans="1:8" hidden="1" x14ac:dyDescent="0.25">
      <c r="A424" s="2" t="str">
        <v>Oil - Model 423</v>
      </c>
      <c r="B424" s="2" t="str">
        <f>_xlfn.XLOOKUP(A424,tbl_raw[Product_Name],tbl_raw[Category])</f>
        <v>Grocery</v>
      </c>
      <c r="C424" s="2">
        <f>COUNTIF(tbl_raw[Product_Name],A424)</f>
        <v>1</v>
      </c>
      <c r="D424" s="2">
        <f>SUMIFS(tbl_raw[Units_Sold],tbl_raw[Product_Name],A424)</f>
        <v>3</v>
      </c>
      <c r="E424" s="3">
        <f>SUMIFS(tbl_raw[Net_Profit],tbl_raw[Product_Name],A424)</f>
        <v>2724</v>
      </c>
      <c r="F424" s="2">
        <f>SUMIFS(tbl_raw[Return_Flag],tbl_raw[Product_Name],A424)</f>
        <v>0</v>
      </c>
      <c r="G424" s="3" cm="1">
        <f t="array" ref="G424">SUMPRODUCT((tbl_raw[Product_Name]=A424)*(tbl_raw[MRP]-tbl_raw[Selling_Price])*tbl_raw[Units_Sold])</f>
        <v>3363</v>
      </c>
      <c r="H424" s="83">
        <f>AVERAGEIFS(tbl_raw[Discount_Pct],tbl_raw[Product_Name],A424)</f>
        <v>0.28000000000000003</v>
      </c>
    </row>
    <row r="425" spans="1:8" hidden="1" x14ac:dyDescent="0.25">
      <c r="A425" s="2" t="str">
        <v>Curtain - Model 904</v>
      </c>
      <c r="B425" s="2" t="str">
        <f>_xlfn.XLOOKUP(A425,tbl_raw[Product_Name],tbl_raw[Category])</f>
        <v>Home &amp; Kitchen</v>
      </c>
      <c r="C425" s="2">
        <f>COUNTIF(tbl_raw[Product_Name],A425)</f>
        <v>1</v>
      </c>
      <c r="D425" s="2">
        <f>SUMIFS(tbl_raw[Units_Sold],tbl_raw[Product_Name],A425)</f>
        <v>5</v>
      </c>
      <c r="E425" s="3">
        <f>SUMIFS(tbl_raw[Net_Profit],tbl_raw[Product_Name],A425)</f>
        <v>3340</v>
      </c>
      <c r="F425" s="2">
        <f>SUMIFS(tbl_raw[Return_Flag],tbl_raw[Product_Name],A425)</f>
        <v>0</v>
      </c>
      <c r="G425" s="3" cm="1">
        <f t="array" ref="G425">SUMPRODUCT((tbl_raw[Product_Name]=A425)*(tbl_raw[MRP]-tbl_raw[Selling_Price])*tbl_raw[Units_Sold])</f>
        <v>7240</v>
      </c>
      <c r="H425" s="83">
        <f>AVERAGEIFS(tbl_raw[Discount_Pct],tbl_raw[Product_Name],A425)</f>
        <v>0.28999999999999998</v>
      </c>
    </row>
    <row r="426" spans="1:8" hidden="1" x14ac:dyDescent="0.25">
      <c r="A426" s="2" t="str">
        <v>Headphones - Model 875</v>
      </c>
      <c r="B426" s="2" t="str">
        <f>_xlfn.XLOOKUP(A426,tbl_raw[Product_Name],tbl_raw[Category])</f>
        <v>Electronics</v>
      </c>
      <c r="C426" s="2">
        <f>COUNTIF(tbl_raw[Product_Name],A426)</f>
        <v>1</v>
      </c>
      <c r="D426" s="2">
        <f>SUMIFS(tbl_raw[Units_Sold],tbl_raw[Product_Name],A426)</f>
        <v>7</v>
      </c>
      <c r="E426" s="3">
        <f>SUMIFS(tbl_raw[Net_Profit],tbl_raw[Product_Name],A426)</f>
        <v>371</v>
      </c>
      <c r="F426" s="2">
        <f>SUMIFS(tbl_raw[Return_Flag],tbl_raw[Product_Name],A426)</f>
        <v>0</v>
      </c>
      <c r="G426" s="3" cm="1">
        <f t="array" ref="G426">SUMPRODUCT((tbl_raw[Product_Name]=A426)*(tbl_raw[MRP]-tbl_raw[Selling_Price])*tbl_raw[Units_Sold])</f>
        <v>0</v>
      </c>
      <c r="H426" s="83">
        <f>AVERAGEIFS(tbl_raw[Discount_Pct],tbl_raw[Product_Name],A426)</f>
        <v>0</v>
      </c>
    </row>
    <row r="427" spans="1:8" hidden="1" x14ac:dyDescent="0.25">
      <c r="A427" s="2" t="str">
        <v>Cricket Bat - Model 166</v>
      </c>
      <c r="B427" s="2" t="str">
        <f>_xlfn.XLOOKUP(A427,tbl_raw[Product_Name],tbl_raw[Category])</f>
        <v>Sports</v>
      </c>
      <c r="C427" s="2">
        <f>COUNTIF(tbl_raw[Product_Name],A427)</f>
        <v>1</v>
      </c>
      <c r="D427" s="2">
        <f>SUMIFS(tbl_raw[Units_Sold],tbl_raw[Product_Name],A427)</f>
        <v>10</v>
      </c>
      <c r="E427" s="3">
        <f>SUMIFS(tbl_raw[Net_Profit],tbl_raw[Product_Name],A427)</f>
        <v>14700</v>
      </c>
      <c r="F427" s="2">
        <f>SUMIFS(tbl_raw[Return_Flag],tbl_raw[Product_Name],A427)</f>
        <v>0</v>
      </c>
      <c r="G427" s="3" cm="1">
        <f t="array" ref="G427">SUMPRODUCT((tbl_raw[Product_Name]=A427)*(tbl_raw[MRP]-tbl_raw[Selling_Price])*tbl_raw[Units_Sold])</f>
        <v>15960</v>
      </c>
      <c r="H427" s="83">
        <f>AVERAGEIFS(tbl_raw[Discount_Pct],tbl_raw[Product_Name],A427)</f>
        <v>0.21</v>
      </c>
    </row>
    <row r="428" spans="1:8" hidden="1" x14ac:dyDescent="0.25">
      <c r="A428" s="2" t="str">
        <v>Self-Help - Model 268</v>
      </c>
      <c r="B428" s="2" t="str">
        <f>_xlfn.XLOOKUP(A428,tbl_raw[Product_Name],tbl_raw[Category])</f>
        <v>Books</v>
      </c>
      <c r="C428" s="2">
        <f>COUNTIF(tbl_raw[Product_Name],A428)</f>
        <v>2</v>
      </c>
      <c r="D428" s="2">
        <f>SUMIFS(tbl_raw[Units_Sold],tbl_raw[Product_Name],A428)</f>
        <v>17</v>
      </c>
      <c r="E428" s="3">
        <f>SUMIFS(tbl_raw[Net_Profit],tbl_raw[Product_Name],A428)</f>
        <v>1248</v>
      </c>
      <c r="F428" s="2">
        <f>SUMIFS(tbl_raw[Return_Flag],tbl_raw[Product_Name],A428)</f>
        <v>0</v>
      </c>
      <c r="G428" s="3" cm="1">
        <f t="array" ref="G428">SUMPRODUCT((tbl_raw[Product_Name]=A428)*(tbl_raw[MRP]-tbl_raw[Selling_Price])*tbl_raw[Units_Sold])</f>
        <v>1502</v>
      </c>
      <c r="H428" s="83">
        <f>AVERAGEIFS(tbl_raw[Discount_Pct],tbl_raw[Product_Name],A428)</f>
        <v>0.26</v>
      </c>
    </row>
    <row r="429" spans="1:8" hidden="1" x14ac:dyDescent="0.25">
      <c r="A429" s="2" t="str">
        <v>Smartwatch - Model 997</v>
      </c>
      <c r="B429" s="2" t="str">
        <f>_xlfn.XLOOKUP(A429,tbl_raw[Product_Name],tbl_raw[Category])</f>
        <v>Electronics</v>
      </c>
      <c r="C429" s="2">
        <f>COUNTIF(tbl_raw[Product_Name],A429)</f>
        <v>1</v>
      </c>
      <c r="D429" s="2">
        <f>SUMIFS(tbl_raw[Units_Sold],tbl_raw[Product_Name],A429)</f>
        <v>18</v>
      </c>
      <c r="E429" s="3">
        <f>SUMIFS(tbl_raw[Net_Profit],tbl_raw[Product_Name],A429)</f>
        <v>27702</v>
      </c>
      <c r="F429" s="2">
        <f>SUMIFS(tbl_raw[Return_Flag],tbl_raw[Product_Name],A429)</f>
        <v>0</v>
      </c>
      <c r="G429" s="3" cm="1">
        <f t="array" ref="G429">SUMPRODUCT((tbl_raw[Product_Name]=A429)*(tbl_raw[MRP]-tbl_raw[Selling_Price])*tbl_raw[Units_Sold])</f>
        <v>24588</v>
      </c>
      <c r="H429" s="83">
        <f>AVERAGEIFS(tbl_raw[Discount_Pct],tbl_raw[Product_Name],A429)</f>
        <v>0.27</v>
      </c>
    </row>
    <row r="430" spans="1:8" hidden="1" x14ac:dyDescent="0.25">
      <c r="A430" s="2" t="str">
        <v>Jacket - Model 358</v>
      </c>
      <c r="B430" s="2" t="str">
        <f>_xlfn.XLOOKUP(A430,tbl_raw[Product_Name],tbl_raw[Category])</f>
        <v>Fashion</v>
      </c>
      <c r="C430" s="2">
        <f>COUNTIF(tbl_raw[Product_Name],A430)</f>
        <v>1</v>
      </c>
      <c r="D430" s="2">
        <f>SUMIFS(tbl_raw[Units_Sold],tbl_raw[Product_Name],A430)</f>
        <v>5</v>
      </c>
      <c r="E430" s="3">
        <f>SUMIFS(tbl_raw[Net_Profit],tbl_raw[Product_Name],A430)</f>
        <v>2120</v>
      </c>
      <c r="F430" s="2">
        <f>SUMIFS(tbl_raw[Return_Flag],tbl_raw[Product_Name],A430)</f>
        <v>0</v>
      </c>
      <c r="G430" s="3" cm="1">
        <f t="array" ref="G430">SUMPRODUCT((tbl_raw[Product_Name]=A430)*(tbl_raw[MRP]-tbl_raw[Selling_Price])*tbl_raw[Units_Sold])</f>
        <v>2795</v>
      </c>
      <c r="H430" s="83">
        <f>AVERAGEIFS(tbl_raw[Discount_Pct],tbl_raw[Product_Name],A430)</f>
        <v>0.31</v>
      </c>
    </row>
    <row r="431" spans="1:8" hidden="1" x14ac:dyDescent="0.25">
      <c r="A431" s="2" t="str">
        <v>Curtain - Model 950</v>
      </c>
      <c r="B431" s="2" t="str">
        <f>_xlfn.XLOOKUP(A431,tbl_raw[Product_Name],tbl_raw[Category])</f>
        <v>Home &amp; Kitchen</v>
      </c>
      <c r="C431" s="2">
        <f>COUNTIF(tbl_raw[Product_Name],A431)</f>
        <v>1</v>
      </c>
      <c r="D431" s="2">
        <f>SUMIFS(tbl_raw[Units_Sold],tbl_raw[Product_Name],A431)</f>
        <v>17</v>
      </c>
      <c r="E431" s="3">
        <f>SUMIFS(tbl_raw[Net_Profit],tbl_raw[Product_Name],A431)</f>
        <v>49572</v>
      </c>
      <c r="F431" s="2">
        <f>SUMIFS(tbl_raw[Return_Flag],tbl_raw[Product_Name],A431)</f>
        <v>0</v>
      </c>
      <c r="G431" s="3" cm="1">
        <f t="array" ref="G431">SUMPRODUCT((tbl_raw[Product_Name]=A431)*(tbl_raw[MRP]-tbl_raw[Selling_Price])*tbl_raw[Units_Sold])</f>
        <v>4930</v>
      </c>
      <c r="H431" s="83">
        <f>AVERAGEIFS(tbl_raw[Discount_Pct],tbl_raw[Product_Name],A431)</f>
        <v>0.05</v>
      </c>
    </row>
    <row r="432" spans="1:8" hidden="1" x14ac:dyDescent="0.25">
      <c r="A432" s="2" t="str">
        <v>Children - Model 402</v>
      </c>
      <c r="B432" s="2" t="str">
        <f>_xlfn.XLOOKUP(A432,tbl_raw[Product_Name],tbl_raw[Category])</f>
        <v>Books</v>
      </c>
      <c r="C432" s="2">
        <f>COUNTIF(tbl_raw[Product_Name],A432)</f>
        <v>1</v>
      </c>
      <c r="D432" s="2">
        <f>SUMIFS(tbl_raw[Units_Sold],tbl_raw[Product_Name],A432)</f>
        <v>2</v>
      </c>
      <c r="E432" s="3">
        <f>SUMIFS(tbl_raw[Net_Profit],tbl_raw[Product_Name],A432)</f>
        <v>-660</v>
      </c>
      <c r="F432" s="2">
        <f>SUMIFS(tbl_raw[Return_Flag],tbl_raw[Product_Name],A432)</f>
        <v>1</v>
      </c>
      <c r="G432" s="3" cm="1">
        <f t="array" ref="G432">SUMPRODUCT((tbl_raw[Product_Name]=A432)*(tbl_raw[MRP]-tbl_raw[Selling_Price])*tbl_raw[Units_Sold])</f>
        <v>3670</v>
      </c>
      <c r="H432" s="83">
        <f>AVERAGEIFS(tbl_raw[Discount_Pct],tbl_raw[Product_Name],A432)</f>
        <v>0.41</v>
      </c>
    </row>
    <row r="433" spans="1:8" hidden="1" x14ac:dyDescent="0.25">
      <c r="A433" s="2" t="str">
        <v>Oil - Model 192</v>
      </c>
      <c r="B433" s="2" t="str">
        <f>_xlfn.XLOOKUP(A433,tbl_raw[Product_Name],tbl_raw[Category])</f>
        <v>Grocery</v>
      </c>
      <c r="C433" s="2">
        <f>COUNTIF(tbl_raw[Product_Name],A433)</f>
        <v>1</v>
      </c>
      <c r="D433" s="2">
        <f>SUMIFS(tbl_raw[Units_Sold],tbl_raw[Product_Name],A433)</f>
        <v>3</v>
      </c>
      <c r="E433" s="3">
        <f>SUMIFS(tbl_raw[Net_Profit],tbl_raw[Product_Name],A433)</f>
        <v>7878</v>
      </c>
      <c r="F433" s="2">
        <f>SUMIFS(tbl_raw[Return_Flag],tbl_raw[Product_Name],A433)</f>
        <v>0</v>
      </c>
      <c r="G433" s="3" cm="1">
        <f t="array" ref="G433">SUMPRODUCT((tbl_raw[Product_Name]=A433)*(tbl_raw[MRP]-tbl_raw[Selling_Price])*tbl_raw[Units_Sold])</f>
        <v>876</v>
      </c>
      <c r="H433" s="83">
        <f>AVERAGEIFS(tbl_raw[Discount_Pct],tbl_raw[Product_Name],A433)</f>
        <v>0.05</v>
      </c>
    </row>
    <row r="434" spans="1:8" hidden="1" x14ac:dyDescent="0.25">
      <c r="A434" s="2" t="str">
        <v>Headphones - Model 468</v>
      </c>
      <c r="B434" s="2" t="str">
        <f>_xlfn.XLOOKUP(A434,tbl_raw[Product_Name],tbl_raw[Category])</f>
        <v>Electronics</v>
      </c>
      <c r="C434" s="2">
        <f>COUNTIF(tbl_raw[Product_Name],A434)</f>
        <v>1</v>
      </c>
      <c r="D434" s="2">
        <f>SUMIFS(tbl_raw[Units_Sold],tbl_raw[Product_Name],A434)</f>
        <v>14</v>
      </c>
      <c r="E434" s="3">
        <f>SUMIFS(tbl_raw[Net_Profit],tbl_raw[Product_Name],A434)</f>
        <v>24080</v>
      </c>
      <c r="F434" s="2">
        <f>SUMIFS(tbl_raw[Return_Flag],tbl_raw[Product_Name],A434)</f>
        <v>0</v>
      </c>
      <c r="G434" s="3" cm="1">
        <f t="array" ref="G434">SUMPRODUCT((tbl_raw[Product_Name]=A434)*(tbl_raw[MRP]-tbl_raw[Selling_Price])*tbl_raw[Units_Sold])</f>
        <v>3332</v>
      </c>
      <c r="H434" s="83">
        <f>AVERAGEIFS(tbl_raw[Discount_Pct],tbl_raw[Product_Name],A434)</f>
        <v>0.04</v>
      </c>
    </row>
    <row r="435" spans="1:8" hidden="1" x14ac:dyDescent="0.25">
      <c r="A435" s="2" t="str">
        <v>Shoes - Model 481</v>
      </c>
      <c r="B435" s="2" t="str">
        <f>_xlfn.XLOOKUP(A435,tbl_raw[Product_Name],tbl_raw[Category])</f>
        <v>Sports</v>
      </c>
      <c r="C435" s="2">
        <f>COUNTIF(tbl_raw[Product_Name],A435)</f>
        <v>1</v>
      </c>
      <c r="D435" s="2">
        <f>SUMIFS(tbl_raw[Units_Sold],tbl_raw[Product_Name],A435)</f>
        <v>6</v>
      </c>
      <c r="E435" s="3">
        <f>SUMIFS(tbl_raw[Net_Profit],tbl_raw[Product_Name],A435)</f>
        <v>768</v>
      </c>
      <c r="F435" s="2">
        <f>SUMIFS(tbl_raw[Return_Flag],tbl_raw[Product_Name],A435)</f>
        <v>0</v>
      </c>
      <c r="G435" s="3" cm="1">
        <f t="array" ref="G435">SUMPRODUCT((tbl_raw[Product_Name]=A435)*(tbl_raw[MRP]-tbl_raw[Selling_Price])*tbl_raw[Units_Sold])</f>
        <v>1176</v>
      </c>
      <c r="H435" s="83">
        <f>AVERAGEIFS(tbl_raw[Discount_Pct],tbl_raw[Product_Name],A435)</f>
        <v>0.18</v>
      </c>
    </row>
    <row r="436" spans="1:8" hidden="1" x14ac:dyDescent="0.25">
      <c r="A436" s="2" t="str">
        <v>Mixer - Model 964</v>
      </c>
      <c r="B436" s="2" t="str">
        <f>_xlfn.XLOOKUP(A436,tbl_raw[Product_Name],tbl_raw[Category])</f>
        <v>Home &amp; Kitchen</v>
      </c>
      <c r="C436" s="2">
        <f>COUNTIF(tbl_raw[Product_Name],A436)</f>
        <v>1</v>
      </c>
      <c r="D436" s="2">
        <f>SUMIFS(tbl_raw[Units_Sold],tbl_raw[Product_Name],A436)</f>
        <v>4</v>
      </c>
      <c r="E436" s="3">
        <f>SUMIFS(tbl_raw[Net_Profit],tbl_raw[Product_Name],A436)</f>
        <v>152</v>
      </c>
      <c r="F436" s="2">
        <f>SUMIFS(tbl_raw[Return_Flag],tbl_raw[Product_Name],A436)</f>
        <v>0</v>
      </c>
      <c r="G436" s="3" cm="1">
        <f t="array" ref="G436">SUMPRODUCT((tbl_raw[Product_Name]=A436)*(tbl_raw[MRP]-tbl_raw[Selling_Price])*tbl_raw[Units_Sold])</f>
        <v>3720</v>
      </c>
      <c r="H436" s="83">
        <f>AVERAGEIFS(tbl_raw[Discount_Pct],tbl_raw[Product_Name],A436)</f>
        <v>0.27</v>
      </c>
    </row>
    <row r="437" spans="1:8" hidden="1" x14ac:dyDescent="0.25">
      <c r="A437" s="2" t="str">
        <v>Curtain - Model 599</v>
      </c>
      <c r="B437" s="2" t="str">
        <f>_xlfn.XLOOKUP(A437,tbl_raw[Product_Name],tbl_raw[Category])</f>
        <v>Home &amp; Kitchen</v>
      </c>
      <c r="C437" s="2">
        <f>COUNTIF(tbl_raw[Product_Name],A437)</f>
        <v>1</v>
      </c>
      <c r="D437" s="2">
        <f>SUMIFS(tbl_raw[Units_Sold],tbl_raw[Product_Name],A437)</f>
        <v>14</v>
      </c>
      <c r="E437" s="3">
        <f>SUMIFS(tbl_raw[Net_Profit],tbl_raw[Product_Name],A437)</f>
        <v>16898</v>
      </c>
      <c r="F437" s="2">
        <f>SUMIFS(tbl_raw[Return_Flag],tbl_raw[Product_Name],A437)</f>
        <v>0</v>
      </c>
      <c r="G437" s="3" cm="1">
        <f t="array" ref="G437">SUMPRODUCT((tbl_raw[Product_Name]=A437)*(tbl_raw[MRP]-tbl_raw[Selling_Price])*tbl_raw[Units_Sold])</f>
        <v>1526</v>
      </c>
      <c r="H437" s="83">
        <f>AVERAGEIFS(tbl_raw[Discount_Pct],tbl_raw[Product_Name],A437)</f>
        <v>0.03</v>
      </c>
    </row>
    <row r="438" spans="1:8" hidden="1" x14ac:dyDescent="0.25">
      <c r="A438" s="2" t="str">
        <v>Comic - Model 635</v>
      </c>
      <c r="B438" s="2" t="str">
        <f>_xlfn.XLOOKUP(A438,tbl_raw[Product_Name],tbl_raw[Category])</f>
        <v>Books</v>
      </c>
      <c r="C438" s="2">
        <f>COUNTIF(tbl_raw[Product_Name],A438)</f>
        <v>1</v>
      </c>
      <c r="D438" s="2">
        <f>SUMIFS(tbl_raw[Units_Sold],tbl_raw[Product_Name],A438)</f>
        <v>4</v>
      </c>
      <c r="E438" s="3">
        <f>SUMIFS(tbl_raw[Net_Profit],tbl_raw[Product_Name],A438)</f>
        <v>928</v>
      </c>
      <c r="F438" s="2">
        <f>SUMIFS(tbl_raw[Return_Flag],tbl_raw[Product_Name],A438)</f>
        <v>1</v>
      </c>
      <c r="G438" s="3" cm="1">
        <f t="array" ref="G438">SUMPRODUCT((tbl_raw[Product_Name]=A438)*(tbl_raw[MRP]-tbl_raw[Selling_Price])*tbl_raw[Units_Sold])</f>
        <v>4720</v>
      </c>
      <c r="H438" s="83">
        <f>AVERAGEIFS(tbl_raw[Discount_Pct],tbl_raw[Product_Name],A438)</f>
        <v>0.33</v>
      </c>
    </row>
    <row r="439" spans="1:8" hidden="1" x14ac:dyDescent="0.25">
      <c r="A439" s="2" t="str">
        <v>Laptop - Model 617</v>
      </c>
      <c r="B439" s="2" t="str">
        <f>_xlfn.XLOOKUP(A439,tbl_raw[Product_Name],tbl_raw[Category])</f>
        <v>Electronics</v>
      </c>
      <c r="C439" s="2">
        <f>COUNTIF(tbl_raw[Product_Name],A439)</f>
        <v>1</v>
      </c>
      <c r="D439" s="2">
        <f>SUMIFS(tbl_raw[Units_Sold],tbl_raw[Product_Name],A439)</f>
        <v>16</v>
      </c>
      <c r="E439" s="3">
        <f>SUMIFS(tbl_raw[Net_Profit],tbl_raw[Product_Name],A439)</f>
        <v>43392</v>
      </c>
      <c r="F439" s="2">
        <f>SUMIFS(tbl_raw[Return_Flag],tbl_raw[Product_Name],A439)</f>
        <v>0</v>
      </c>
      <c r="G439" s="3" cm="1">
        <f t="array" ref="G439">SUMPRODUCT((tbl_raw[Product_Name]=A439)*(tbl_raw[MRP]-tbl_raw[Selling_Price])*tbl_raw[Units_Sold])</f>
        <v>3344</v>
      </c>
      <c r="H439" s="83">
        <f>AVERAGEIFS(tbl_raw[Discount_Pct],tbl_raw[Product_Name],A439)</f>
        <v>0.03</v>
      </c>
    </row>
    <row r="440" spans="1:8" hidden="1" x14ac:dyDescent="0.25">
      <c r="A440" s="2" t="str">
        <v>Board Game - Model 180</v>
      </c>
      <c r="B440" s="2" t="str">
        <f>_xlfn.XLOOKUP(A440,tbl_raw[Product_Name],tbl_raw[Category])</f>
        <v>Toys</v>
      </c>
      <c r="C440" s="2">
        <f>COUNTIF(tbl_raw[Product_Name],A440)</f>
        <v>1</v>
      </c>
      <c r="D440" s="2">
        <f>SUMIFS(tbl_raw[Units_Sold],tbl_raw[Product_Name],A440)</f>
        <v>15</v>
      </c>
      <c r="E440" s="3">
        <f>SUMIFS(tbl_raw[Net_Profit],tbl_raw[Product_Name],A440)</f>
        <v>8235</v>
      </c>
      <c r="F440" s="2">
        <f>SUMIFS(tbl_raw[Return_Flag],tbl_raw[Product_Name],A440)</f>
        <v>0</v>
      </c>
      <c r="G440" s="3" cm="1">
        <f t="array" ref="G440">SUMPRODUCT((tbl_raw[Product_Name]=A440)*(tbl_raw[MRP]-tbl_raw[Selling_Price])*tbl_raw[Units_Sold])</f>
        <v>19350</v>
      </c>
      <c r="H440" s="83">
        <f>AVERAGEIFS(tbl_raw[Discount_Pct],tbl_raw[Product_Name],A440)</f>
        <v>0.2</v>
      </c>
    </row>
    <row r="441" spans="1:8" hidden="1" x14ac:dyDescent="0.25">
      <c r="A441" s="2" t="str">
        <v>Remote Car - Model 136</v>
      </c>
      <c r="B441" s="2" t="str">
        <f>_xlfn.XLOOKUP(A441,tbl_raw[Product_Name],tbl_raw[Category])</f>
        <v>Toys</v>
      </c>
      <c r="C441" s="2">
        <f>COUNTIF(tbl_raw[Product_Name],A441)</f>
        <v>1</v>
      </c>
      <c r="D441" s="2">
        <f>SUMIFS(tbl_raw[Units_Sold],tbl_raw[Product_Name],A441)</f>
        <v>18</v>
      </c>
      <c r="E441" s="3">
        <f>SUMIFS(tbl_raw[Net_Profit],tbl_raw[Product_Name],A441)</f>
        <v>-954</v>
      </c>
      <c r="F441" s="2">
        <f>SUMIFS(tbl_raw[Return_Flag],tbl_raw[Product_Name],A441)</f>
        <v>0</v>
      </c>
      <c r="G441" s="3" cm="1">
        <f t="array" ref="G441">SUMPRODUCT((tbl_raw[Product_Name]=A441)*(tbl_raw[MRP]-tbl_raw[Selling_Price])*tbl_raw[Units_Sold])</f>
        <v>144</v>
      </c>
      <c r="H441" s="83">
        <f>AVERAGEIFS(tbl_raw[Discount_Pct],tbl_raw[Product_Name],A441)</f>
        <v>0.04</v>
      </c>
    </row>
    <row r="442" spans="1:8" hidden="1" x14ac:dyDescent="0.25">
      <c r="A442" s="2" t="str">
        <v>Rice - Model 472</v>
      </c>
      <c r="B442" s="2" t="str">
        <f>_xlfn.XLOOKUP(A442,tbl_raw[Product_Name],tbl_raw[Category])</f>
        <v>Grocery</v>
      </c>
      <c r="C442" s="2">
        <f>COUNTIF(tbl_raw[Product_Name],A442)</f>
        <v>1</v>
      </c>
      <c r="D442" s="2">
        <f>SUMIFS(tbl_raw[Units_Sold],tbl_raw[Product_Name],A442)</f>
        <v>8</v>
      </c>
      <c r="E442" s="3">
        <f>SUMIFS(tbl_raw[Net_Profit],tbl_raw[Product_Name],A442)</f>
        <v>8888</v>
      </c>
      <c r="F442" s="2">
        <f>SUMIFS(tbl_raw[Return_Flag],tbl_raw[Product_Name],A442)</f>
        <v>0</v>
      </c>
      <c r="G442" s="3" cm="1">
        <f t="array" ref="G442">SUMPRODUCT((tbl_raw[Product_Name]=A442)*(tbl_raw[MRP]-tbl_raw[Selling_Price])*tbl_raw[Units_Sold])</f>
        <v>8144</v>
      </c>
      <c r="H442" s="83">
        <f>AVERAGEIFS(tbl_raw[Discount_Pct],tbl_raw[Product_Name],A442)</f>
        <v>0.15</v>
      </c>
    </row>
    <row r="443" spans="1:8" hidden="1" x14ac:dyDescent="0.25">
      <c r="A443" s="2" t="str">
        <v>Headphones - Model 463</v>
      </c>
      <c r="B443" s="2" t="str">
        <f>_xlfn.XLOOKUP(A443,tbl_raw[Product_Name],tbl_raw[Category])</f>
        <v>Electronics</v>
      </c>
      <c r="C443" s="2">
        <f>COUNTIF(tbl_raw[Product_Name],A443)</f>
        <v>1</v>
      </c>
      <c r="D443" s="2">
        <f>SUMIFS(tbl_raw[Units_Sold],tbl_raw[Product_Name],A443)</f>
        <v>18</v>
      </c>
      <c r="E443" s="3">
        <f>SUMIFS(tbl_raw[Net_Profit],tbl_raw[Product_Name],A443)</f>
        <v>19296</v>
      </c>
      <c r="F443" s="2">
        <f>SUMIFS(tbl_raw[Return_Flag],tbl_raw[Product_Name],A443)</f>
        <v>1</v>
      </c>
      <c r="G443" s="3" cm="1">
        <f t="array" ref="G443">SUMPRODUCT((tbl_raw[Product_Name]=A443)*(tbl_raw[MRP]-tbl_raw[Selling_Price])*tbl_raw[Units_Sold])</f>
        <v>24606</v>
      </c>
      <c r="H443" s="83">
        <f>AVERAGEIFS(tbl_raw[Discount_Pct],tbl_raw[Product_Name],A443)</f>
        <v>0.32</v>
      </c>
    </row>
    <row r="444" spans="1:8" hidden="1" x14ac:dyDescent="0.25">
      <c r="A444" s="2" t="str">
        <v>Cycle - Model 300</v>
      </c>
      <c r="B444" s="2" t="str">
        <f>_xlfn.XLOOKUP(A444,tbl_raw[Product_Name],tbl_raw[Category])</f>
        <v>Sports</v>
      </c>
      <c r="C444" s="2">
        <f>COUNTIF(tbl_raw[Product_Name],A444)</f>
        <v>1</v>
      </c>
      <c r="D444" s="2">
        <f>SUMIFS(tbl_raw[Units_Sold],tbl_raw[Product_Name],A444)</f>
        <v>4</v>
      </c>
      <c r="E444" s="3">
        <f>SUMIFS(tbl_raw[Net_Profit],tbl_raw[Product_Name],A444)</f>
        <v>7168</v>
      </c>
      <c r="F444" s="2">
        <f>SUMIFS(tbl_raw[Return_Flag],tbl_raw[Product_Name],A444)</f>
        <v>0</v>
      </c>
      <c r="G444" s="3" cm="1">
        <f t="array" ref="G444">SUMPRODUCT((tbl_raw[Product_Name]=A444)*(tbl_raw[MRP]-tbl_raw[Selling_Price])*tbl_raw[Units_Sold])</f>
        <v>5368</v>
      </c>
      <c r="H444" s="83">
        <f>AVERAGEIFS(tbl_raw[Discount_Pct],tbl_raw[Product_Name],A444)</f>
        <v>0.18</v>
      </c>
    </row>
    <row r="445" spans="1:8" hidden="1" x14ac:dyDescent="0.25">
      <c r="A445" s="2" t="str">
        <v>Shoes - Model 568</v>
      </c>
      <c r="B445" s="2" t="str">
        <f>_xlfn.XLOOKUP(A445,tbl_raw[Product_Name],tbl_raw[Category])</f>
        <v>Fashion</v>
      </c>
      <c r="C445" s="2">
        <f>COUNTIF(tbl_raw[Product_Name],A445)</f>
        <v>1</v>
      </c>
      <c r="D445" s="2">
        <f>SUMIFS(tbl_raw[Units_Sold],tbl_raw[Product_Name],A445)</f>
        <v>17</v>
      </c>
      <c r="E445" s="3">
        <f>SUMIFS(tbl_raw[Net_Profit],tbl_raw[Product_Name],A445)</f>
        <v>3502</v>
      </c>
      <c r="F445" s="2">
        <f>SUMIFS(tbl_raw[Return_Flag],tbl_raw[Product_Name],A445)</f>
        <v>0</v>
      </c>
      <c r="G445" s="3" cm="1">
        <f t="array" ref="G445">SUMPRODUCT((tbl_raw[Product_Name]=A445)*(tbl_raw[MRP]-tbl_raw[Selling_Price])*tbl_raw[Units_Sold])</f>
        <v>4675</v>
      </c>
      <c r="H445" s="83">
        <f>AVERAGEIFS(tbl_raw[Discount_Pct],tbl_raw[Product_Name],A445)</f>
        <v>0.22</v>
      </c>
    </row>
    <row r="446" spans="1:8" hidden="1" x14ac:dyDescent="0.25">
      <c r="A446" s="2" t="str">
        <v>Lamp - Model 277</v>
      </c>
      <c r="B446" s="2" t="str">
        <f>_xlfn.XLOOKUP(A446,tbl_raw[Product_Name],tbl_raw[Category])</f>
        <v>Home &amp; Kitchen</v>
      </c>
      <c r="C446" s="2">
        <f>COUNTIF(tbl_raw[Product_Name],A446)</f>
        <v>1</v>
      </c>
      <c r="D446" s="2">
        <f>SUMIFS(tbl_raw[Units_Sold],tbl_raw[Product_Name],A446)</f>
        <v>4</v>
      </c>
      <c r="E446" s="3">
        <f>SUMIFS(tbl_raw[Net_Profit],tbl_raw[Product_Name],A446)</f>
        <v>-152</v>
      </c>
      <c r="F446" s="2">
        <f>SUMIFS(tbl_raw[Return_Flag],tbl_raw[Product_Name],A446)</f>
        <v>0</v>
      </c>
      <c r="G446" s="3" cm="1">
        <f t="array" ref="G446">SUMPRODUCT((tbl_raw[Product_Name]=A446)*(tbl_raw[MRP]-tbl_raw[Selling_Price])*tbl_raw[Units_Sold])</f>
        <v>3480</v>
      </c>
      <c r="H446" s="83">
        <f>AVERAGEIFS(tbl_raw[Discount_Pct],tbl_raw[Product_Name],A446)</f>
        <v>0.27</v>
      </c>
    </row>
    <row r="447" spans="1:8" hidden="1" x14ac:dyDescent="0.25">
      <c r="A447" s="2" t="str">
        <v>Lipstick - Model 507</v>
      </c>
      <c r="B447" s="2" t="str">
        <f>_xlfn.XLOOKUP(A447,tbl_raw[Product_Name],tbl_raw[Category])</f>
        <v>Beauty</v>
      </c>
      <c r="C447" s="2">
        <f>COUNTIF(tbl_raw[Product_Name],A447)</f>
        <v>1</v>
      </c>
      <c r="D447" s="2">
        <f>SUMIFS(tbl_raw[Units_Sold],tbl_raw[Product_Name],A447)</f>
        <v>10</v>
      </c>
      <c r="E447" s="3">
        <f>SUMIFS(tbl_raw[Net_Profit],tbl_raw[Product_Name],A447)</f>
        <v>13410</v>
      </c>
      <c r="F447" s="2">
        <f>SUMIFS(tbl_raw[Return_Flag],tbl_raw[Product_Name],A447)</f>
        <v>0</v>
      </c>
      <c r="G447" s="3" cm="1">
        <f t="array" ref="G447">SUMPRODUCT((tbl_raw[Product_Name]=A447)*(tbl_raw[MRP]-tbl_raw[Selling_Price])*tbl_raw[Units_Sold])</f>
        <v>2240</v>
      </c>
      <c r="H447" s="83">
        <f>AVERAGEIFS(tbl_raw[Discount_Pct],tbl_raw[Product_Name],A447)</f>
        <v>0.06</v>
      </c>
    </row>
    <row r="448" spans="1:8" hidden="1" x14ac:dyDescent="0.25">
      <c r="A448" s="2" t="str">
        <v>Serum - Model 314</v>
      </c>
      <c r="B448" s="2" t="str">
        <f>_xlfn.XLOOKUP(A448,tbl_raw[Product_Name],tbl_raw[Category])</f>
        <v>Beauty</v>
      </c>
      <c r="C448" s="2">
        <f>COUNTIF(tbl_raw[Product_Name],A448)</f>
        <v>1</v>
      </c>
      <c r="D448" s="2">
        <f>SUMIFS(tbl_raw[Units_Sold],tbl_raw[Product_Name],A448)</f>
        <v>10</v>
      </c>
      <c r="E448" s="3">
        <f>SUMIFS(tbl_raw[Net_Profit],tbl_raw[Product_Name],A448)</f>
        <v>6610</v>
      </c>
      <c r="F448" s="2">
        <f>SUMIFS(tbl_raw[Return_Flag],tbl_raw[Product_Name],A448)</f>
        <v>1</v>
      </c>
      <c r="G448" s="3" cm="1">
        <f t="array" ref="G448">SUMPRODUCT((tbl_raw[Product_Name]=A448)*(tbl_raw[MRP]-tbl_raw[Selling_Price])*tbl_raw[Units_Sold])</f>
        <v>22780</v>
      </c>
      <c r="H448" s="83">
        <f>AVERAGEIFS(tbl_raw[Discount_Pct],tbl_raw[Product_Name],A448)</f>
        <v>0.41</v>
      </c>
    </row>
    <row r="449" spans="1:8" hidden="1" x14ac:dyDescent="0.25">
      <c r="A449" s="2" t="str">
        <v>Saree - Model 675</v>
      </c>
      <c r="B449" s="2" t="str">
        <f>_xlfn.XLOOKUP(A449,tbl_raw[Product_Name],tbl_raw[Category])</f>
        <v>Fashion</v>
      </c>
      <c r="C449" s="2">
        <f>COUNTIF(tbl_raw[Product_Name],A449)</f>
        <v>1</v>
      </c>
      <c r="D449" s="2">
        <f>SUMIFS(tbl_raw[Units_Sold],tbl_raw[Product_Name],A449)</f>
        <v>19</v>
      </c>
      <c r="E449" s="3">
        <f>SUMIFS(tbl_raw[Net_Profit],tbl_raw[Product_Name],A449)</f>
        <v>10906</v>
      </c>
      <c r="F449" s="2">
        <f>SUMIFS(tbl_raw[Return_Flag],tbl_raw[Product_Name],A449)</f>
        <v>0</v>
      </c>
      <c r="G449" s="3" cm="1">
        <f t="array" ref="G449">SUMPRODUCT((tbl_raw[Product_Name]=A449)*(tbl_raw[MRP]-tbl_raw[Selling_Price])*tbl_raw[Units_Sold])</f>
        <v>26505</v>
      </c>
      <c r="H449" s="83">
        <f>AVERAGEIFS(tbl_raw[Discount_Pct],tbl_raw[Product_Name],A449)</f>
        <v>0.3</v>
      </c>
    </row>
    <row r="450" spans="1:8" hidden="1" x14ac:dyDescent="0.25">
      <c r="A450" s="2" t="str">
        <v>Kurta - Model 490</v>
      </c>
      <c r="B450" s="2" t="str">
        <f>_xlfn.XLOOKUP(A450,tbl_raw[Product_Name],tbl_raw[Category])</f>
        <v>Fashion</v>
      </c>
      <c r="C450" s="2">
        <f>COUNTIF(tbl_raw[Product_Name],A450)</f>
        <v>1</v>
      </c>
      <c r="D450" s="2">
        <f>SUMIFS(tbl_raw[Units_Sold],tbl_raw[Product_Name],A450)</f>
        <v>2</v>
      </c>
      <c r="E450" s="3">
        <f>SUMIFS(tbl_raw[Net_Profit],tbl_raw[Product_Name],A450)</f>
        <v>2578</v>
      </c>
      <c r="F450" s="2">
        <f>SUMIFS(tbl_raw[Return_Flag],tbl_raw[Product_Name],A450)</f>
        <v>0</v>
      </c>
      <c r="G450" s="3" cm="1">
        <f t="array" ref="G450">SUMPRODUCT((tbl_raw[Product_Name]=A450)*(tbl_raw[MRP]-tbl_raw[Selling_Price])*tbl_raw[Units_Sold])</f>
        <v>978</v>
      </c>
      <c r="H450" s="83">
        <f>AVERAGEIFS(tbl_raw[Discount_Pct],tbl_raw[Product_Name],A450)</f>
        <v>0.09</v>
      </c>
    </row>
    <row r="451" spans="1:8" hidden="1" x14ac:dyDescent="0.25">
      <c r="A451" s="2" t="str">
        <v>Cricket Bat - Model 871</v>
      </c>
      <c r="B451" s="2" t="str">
        <f>_xlfn.XLOOKUP(A451,tbl_raw[Product_Name],tbl_raw[Category])</f>
        <v>Sports</v>
      </c>
      <c r="C451" s="2">
        <f>COUNTIF(tbl_raw[Product_Name],A451)</f>
        <v>1</v>
      </c>
      <c r="D451" s="2">
        <f>SUMIFS(tbl_raw[Units_Sold],tbl_raw[Product_Name],A451)</f>
        <v>2</v>
      </c>
      <c r="E451" s="3">
        <f>SUMIFS(tbl_raw[Net_Profit],tbl_raw[Product_Name],A451)</f>
        <v>842</v>
      </c>
      <c r="F451" s="2">
        <f>SUMIFS(tbl_raw[Return_Flag],tbl_raw[Product_Name],A451)</f>
        <v>0</v>
      </c>
      <c r="G451" s="3" cm="1">
        <f t="array" ref="G451">SUMPRODUCT((tbl_raw[Product_Name]=A451)*(tbl_raw[MRP]-tbl_raw[Selling_Price])*tbl_raw[Units_Sold])</f>
        <v>1200</v>
      </c>
      <c r="H451" s="83">
        <f>AVERAGEIFS(tbl_raw[Discount_Pct],tbl_raw[Product_Name],A451)</f>
        <v>0.2</v>
      </c>
    </row>
    <row r="452" spans="1:8" hidden="1" x14ac:dyDescent="0.25">
      <c r="A452" s="2" t="str">
        <v>Sunscreen - Model 903</v>
      </c>
      <c r="B452" s="2" t="str">
        <f>_xlfn.XLOOKUP(A452,tbl_raw[Product_Name],tbl_raw[Category])</f>
        <v>Beauty</v>
      </c>
      <c r="C452" s="2">
        <f>COUNTIF(tbl_raw[Product_Name],A452)</f>
        <v>1</v>
      </c>
      <c r="D452" s="2">
        <f>SUMIFS(tbl_raw[Units_Sold],tbl_raw[Product_Name],A452)</f>
        <v>2</v>
      </c>
      <c r="E452" s="3">
        <f>SUMIFS(tbl_raw[Net_Profit],tbl_raw[Product_Name],A452)</f>
        <v>1060</v>
      </c>
      <c r="F452" s="2">
        <f>SUMIFS(tbl_raw[Return_Flag],tbl_raw[Product_Name],A452)</f>
        <v>0</v>
      </c>
      <c r="G452" s="3" cm="1">
        <f t="array" ref="G452">SUMPRODUCT((tbl_raw[Product_Name]=A452)*(tbl_raw[MRP]-tbl_raw[Selling_Price])*tbl_raw[Units_Sold])</f>
        <v>2526</v>
      </c>
      <c r="H452" s="83">
        <f>AVERAGEIFS(tbl_raw[Discount_Pct],tbl_raw[Product_Name],A452)</f>
        <v>0.17</v>
      </c>
    </row>
    <row r="453" spans="1:8" hidden="1" x14ac:dyDescent="0.25">
      <c r="A453" s="2" t="str">
        <v>Sunscreen - Model 989</v>
      </c>
      <c r="B453" s="2" t="str">
        <f>_xlfn.XLOOKUP(A453,tbl_raw[Product_Name],tbl_raw[Category])</f>
        <v>Beauty</v>
      </c>
      <c r="C453" s="2">
        <f>COUNTIF(tbl_raw[Product_Name],A453)</f>
        <v>1</v>
      </c>
      <c r="D453" s="2">
        <f>SUMIFS(tbl_raw[Units_Sold],tbl_raw[Product_Name],A453)</f>
        <v>8</v>
      </c>
      <c r="E453" s="3">
        <f>SUMIFS(tbl_raw[Net_Profit],tbl_raw[Product_Name],A453)</f>
        <v>1976</v>
      </c>
      <c r="F453" s="2">
        <f>SUMIFS(tbl_raw[Return_Flag],tbl_raw[Product_Name],A453)</f>
        <v>0</v>
      </c>
      <c r="G453" s="3" cm="1">
        <f t="array" ref="G453">SUMPRODUCT((tbl_raw[Product_Name]=A453)*(tbl_raw[MRP]-tbl_raw[Selling_Price])*tbl_raw[Units_Sold])</f>
        <v>18712</v>
      </c>
      <c r="H453" s="83">
        <f>AVERAGEIFS(tbl_raw[Discount_Pct],tbl_raw[Product_Name],A453)</f>
        <v>0.32</v>
      </c>
    </row>
    <row r="454" spans="1:8" hidden="1" x14ac:dyDescent="0.25">
      <c r="A454" s="2" t="str">
        <v>Dumbbells - Model 281</v>
      </c>
      <c r="B454" s="2" t="str">
        <f>_xlfn.XLOOKUP(A454,tbl_raw[Product_Name],tbl_raw[Category])</f>
        <v>Sports</v>
      </c>
      <c r="C454" s="2">
        <f>COUNTIF(tbl_raw[Product_Name],A454)</f>
        <v>1</v>
      </c>
      <c r="D454" s="2">
        <f>SUMIFS(tbl_raw[Units_Sold],tbl_raw[Product_Name],A454)</f>
        <v>6</v>
      </c>
      <c r="E454" s="3">
        <f>SUMIFS(tbl_raw[Net_Profit],tbl_raw[Product_Name],A454)</f>
        <v>10338</v>
      </c>
      <c r="F454" s="2">
        <f>SUMIFS(tbl_raw[Return_Flag],tbl_raw[Product_Name],A454)</f>
        <v>0</v>
      </c>
      <c r="G454" s="3" cm="1">
        <f t="array" ref="G454">SUMPRODUCT((tbl_raw[Product_Name]=A454)*(tbl_raw[MRP]-tbl_raw[Selling_Price])*tbl_raw[Units_Sold])</f>
        <v>15258</v>
      </c>
      <c r="H454" s="83">
        <f>AVERAGEIFS(tbl_raw[Discount_Pct],tbl_raw[Product_Name],A454)</f>
        <v>0.33</v>
      </c>
    </row>
    <row r="455" spans="1:8" hidden="1" x14ac:dyDescent="0.25">
      <c r="A455" s="2" t="str">
        <v>Shoes - Model 438</v>
      </c>
      <c r="B455" s="2" t="str">
        <f>_xlfn.XLOOKUP(A455,tbl_raw[Product_Name],tbl_raw[Category])</f>
        <v>Sports</v>
      </c>
      <c r="C455" s="2">
        <f>COUNTIF(tbl_raw[Product_Name],A455)</f>
        <v>1</v>
      </c>
      <c r="D455" s="2">
        <f>SUMIFS(tbl_raw[Units_Sold],tbl_raw[Product_Name],A455)</f>
        <v>5</v>
      </c>
      <c r="E455" s="3">
        <f>SUMIFS(tbl_raw[Net_Profit],tbl_raw[Product_Name],A455)</f>
        <v>-805</v>
      </c>
      <c r="F455" s="2">
        <f>SUMIFS(tbl_raw[Return_Flag],tbl_raw[Product_Name],A455)</f>
        <v>0</v>
      </c>
      <c r="G455" s="3" cm="1">
        <f t="array" ref="G455">SUMPRODUCT((tbl_raw[Product_Name]=A455)*(tbl_raw[MRP]-tbl_raw[Selling_Price])*tbl_raw[Units_Sold])</f>
        <v>1075</v>
      </c>
      <c r="H455" s="83">
        <f>AVERAGEIFS(tbl_raw[Discount_Pct],tbl_raw[Product_Name],A455)</f>
        <v>0.42</v>
      </c>
    </row>
    <row r="456" spans="1:8" hidden="1" x14ac:dyDescent="0.25">
      <c r="A456" s="2" t="str">
        <v>Fiction - Model 902</v>
      </c>
      <c r="B456" s="2" t="str">
        <f>_xlfn.XLOOKUP(A456,tbl_raw[Product_Name],tbl_raw[Category])</f>
        <v>Books</v>
      </c>
      <c r="C456" s="2">
        <f>COUNTIF(tbl_raw[Product_Name],A456)</f>
        <v>1</v>
      </c>
      <c r="D456" s="2">
        <f>SUMIFS(tbl_raw[Units_Sold],tbl_raw[Product_Name],A456)</f>
        <v>17</v>
      </c>
      <c r="E456" s="3">
        <f>SUMIFS(tbl_raw[Net_Profit],tbl_raw[Product_Name],A456)</f>
        <v>14365</v>
      </c>
      <c r="F456" s="2">
        <f>SUMIFS(tbl_raw[Return_Flag],tbl_raw[Product_Name],A456)</f>
        <v>0</v>
      </c>
      <c r="G456" s="3" cm="1">
        <f t="array" ref="G456">SUMPRODUCT((tbl_raw[Product_Name]=A456)*(tbl_raw[MRP]-tbl_raw[Selling_Price])*tbl_raw[Units_Sold])</f>
        <v>2601</v>
      </c>
      <c r="H456" s="83">
        <f>AVERAGEIFS(tbl_raw[Discount_Pct],tbl_raw[Product_Name],A456)</f>
        <v>0.08</v>
      </c>
    </row>
    <row r="457" spans="1:8" hidden="1" x14ac:dyDescent="0.25">
      <c r="A457" s="2" t="str">
        <v>Lipstick - Model 439</v>
      </c>
      <c r="B457" s="2" t="str">
        <f>_xlfn.XLOOKUP(A457,tbl_raw[Product_Name],tbl_raw[Category])</f>
        <v>Beauty</v>
      </c>
      <c r="C457" s="2">
        <f>COUNTIF(tbl_raw[Product_Name],A457)</f>
        <v>1</v>
      </c>
      <c r="D457" s="2">
        <f>SUMIFS(tbl_raw[Units_Sold],tbl_raw[Product_Name],A457)</f>
        <v>10</v>
      </c>
      <c r="E457" s="3">
        <f>SUMIFS(tbl_raw[Net_Profit],tbl_raw[Product_Name],A457)</f>
        <v>-370</v>
      </c>
      <c r="F457" s="2">
        <f>SUMIFS(tbl_raw[Return_Flag],tbl_raw[Product_Name],A457)</f>
        <v>0</v>
      </c>
      <c r="G457" s="3" cm="1">
        <f t="array" ref="G457">SUMPRODUCT((tbl_raw[Product_Name]=A457)*(tbl_raw[MRP]-tbl_raw[Selling_Price])*tbl_raw[Units_Sold])</f>
        <v>6470</v>
      </c>
      <c r="H457" s="83">
        <f>AVERAGEIFS(tbl_raw[Discount_Pct],tbl_raw[Product_Name],A457)</f>
        <v>0.34</v>
      </c>
    </row>
    <row r="458" spans="1:8" hidden="1" x14ac:dyDescent="0.25">
      <c r="A458" s="2" t="str">
        <v>Moisturizer - Model 798</v>
      </c>
      <c r="B458" s="2" t="str">
        <f>_xlfn.XLOOKUP(A458,tbl_raw[Product_Name],tbl_raw[Category])</f>
        <v>Beauty</v>
      </c>
      <c r="C458" s="2">
        <f>COUNTIF(tbl_raw[Product_Name],A458)</f>
        <v>1</v>
      </c>
      <c r="D458" s="2">
        <f>SUMIFS(tbl_raw[Units_Sold],tbl_raw[Product_Name],A458)</f>
        <v>13</v>
      </c>
      <c r="E458" s="3">
        <f>SUMIFS(tbl_raw[Net_Profit],tbl_raw[Product_Name],A458)</f>
        <v>1898</v>
      </c>
      <c r="F458" s="2">
        <f>SUMIFS(tbl_raw[Return_Flag],tbl_raw[Product_Name],A458)</f>
        <v>0</v>
      </c>
      <c r="G458" s="3" cm="1">
        <f t="array" ref="G458">SUMPRODUCT((tbl_raw[Product_Name]=A458)*(tbl_raw[MRP]-tbl_raw[Selling_Price])*tbl_raw[Units_Sold])</f>
        <v>41054</v>
      </c>
      <c r="H458" s="83">
        <f>AVERAGEIFS(tbl_raw[Discount_Pct],tbl_raw[Product_Name],A458)</f>
        <v>0.43</v>
      </c>
    </row>
    <row r="459" spans="1:8" hidden="1" x14ac:dyDescent="0.25">
      <c r="A459" s="2" t="str">
        <v>Pulses - Model 144</v>
      </c>
      <c r="B459" s="2" t="str">
        <f>_xlfn.XLOOKUP(A459,tbl_raw[Product_Name],tbl_raw[Category])</f>
        <v>Grocery</v>
      </c>
      <c r="C459" s="2">
        <f>COUNTIF(tbl_raw[Product_Name],A459)</f>
        <v>1</v>
      </c>
      <c r="D459" s="2">
        <f>SUMIFS(tbl_raw[Units_Sold],tbl_raw[Product_Name],A459)</f>
        <v>7</v>
      </c>
      <c r="E459" s="3">
        <f>SUMIFS(tbl_raw[Net_Profit],tbl_raw[Product_Name],A459)</f>
        <v>8708</v>
      </c>
      <c r="F459" s="2">
        <f>SUMIFS(tbl_raw[Return_Flag],tbl_raw[Product_Name],A459)</f>
        <v>0</v>
      </c>
      <c r="G459" s="3" cm="1">
        <f t="array" ref="G459">SUMPRODUCT((tbl_raw[Product_Name]=A459)*(tbl_raw[MRP]-tbl_raw[Selling_Price])*tbl_raw[Units_Sold])</f>
        <v>756</v>
      </c>
      <c r="H459" s="83">
        <f>AVERAGEIFS(tbl_raw[Discount_Pct],tbl_raw[Product_Name],A459)</f>
        <v>0.04</v>
      </c>
    </row>
    <row r="460" spans="1:8" hidden="1" x14ac:dyDescent="0.25">
      <c r="A460" s="2" t="str">
        <v>Perfume - Model 955</v>
      </c>
      <c r="B460" s="2" t="str">
        <f>_xlfn.XLOOKUP(A460,tbl_raw[Product_Name],tbl_raw[Category])</f>
        <v>Beauty</v>
      </c>
      <c r="C460" s="2">
        <f>COUNTIF(tbl_raw[Product_Name],A460)</f>
        <v>1</v>
      </c>
      <c r="D460" s="2">
        <f>SUMIFS(tbl_raw[Units_Sold],tbl_raw[Product_Name],A460)</f>
        <v>7</v>
      </c>
      <c r="E460" s="3">
        <f>SUMIFS(tbl_raw[Net_Profit],tbl_raw[Product_Name],A460)</f>
        <v>-2919</v>
      </c>
      <c r="F460" s="2">
        <f>SUMIFS(tbl_raw[Return_Flag],tbl_raw[Product_Name],A460)</f>
        <v>0</v>
      </c>
      <c r="G460" s="3" cm="1">
        <f t="array" ref="G460">SUMPRODUCT((tbl_raw[Product_Name]=A460)*(tbl_raw[MRP]-tbl_raw[Selling_Price])*tbl_raw[Units_Sold])</f>
        <v>9842</v>
      </c>
      <c r="H460" s="83">
        <f>AVERAGEIFS(tbl_raw[Discount_Pct],tbl_raw[Product_Name],A460)</f>
        <v>0.32</v>
      </c>
    </row>
    <row r="461" spans="1:8" hidden="1" x14ac:dyDescent="0.25">
      <c r="A461" s="2" t="str">
        <v>Fiction - Model 189</v>
      </c>
      <c r="B461" s="2" t="str">
        <f>_xlfn.XLOOKUP(A461,tbl_raw[Product_Name],tbl_raw[Category])</f>
        <v>Books</v>
      </c>
      <c r="C461" s="2">
        <f>COUNTIF(tbl_raw[Product_Name],A461)</f>
        <v>1</v>
      </c>
      <c r="D461" s="2">
        <f>SUMIFS(tbl_raw[Units_Sold],tbl_raw[Product_Name],A461)</f>
        <v>2</v>
      </c>
      <c r="E461" s="3">
        <f>SUMIFS(tbl_raw[Net_Profit],tbl_raw[Product_Name],A461)</f>
        <v>1172</v>
      </c>
      <c r="F461" s="2">
        <f>SUMIFS(tbl_raw[Return_Flag],tbl_raw[Product_Name],A461)</f>
        <v>0</v>
      </c>
      <c r="G461" s="3" cm="1">
        <f t="array" ref="G461">SUMPRODUCT((tbl_raw[Product_Name]=A461)*(tbl_raw[MRP]-tbl_raw[Selling_Price])*tbl_raw[Units_Sold])</f>
        <v>350</v>
      </c>
      <c r="H461" s="83">
        <f>AVERAGEIFS(tbl_raw[Discount_Pct],tbl_raw[Product_Name],A461)</f>
        <v>0.11</v>
      </c>
    </row>
    <row r="462" spans="1:8" hidden="1" x14ac:dyDescent="0.25">
      <c r="A462" s="2" t="str">
        <v>Fiction - Model 498</v>
      </c>
      <c r="B462" s="2" t="str">
        <f>_xlfn.XLOOKUP(A462,tbl_raw[Product_Name],tbl_raw[Category])</f>
        <v>Books</v>
      </c>
      <c r="C462" s="2">
        <f>COUNTIF(tbl_raw[Product_Name],A462)</f>
        <v>1</v>
      </c>
      <c r="D462" s="2">
        <f>SUMIFS(tbl_raw[Units_Sold],tbl_raw[Product_Name],A462)</f>
        <v>18</v>
      </c>
      <c r="E462" s="3">
        <f>SUMIFS(tbl_raw[Net_Profit],tbl_raw[Product_Name],A462)</f>
        <v>-1422</v>
      </c>
      <c r="F462" s="2">
        <f>SUMIFS(tbl_raw[Return_Flag],tbl_raw[Product_Name],A462)</f>
        <v>0</v>
      </c>
      <c r="G462" s="3" cm="1">
        <f t="array" ref="G462">SUMPRODUCT((tbl_raw[Product_Name]=A462)*(tbl_raw[MRP]-tbl_raw[Selling_Price])*tbl_raw[Units_Sold])</f>
        <v>1422</v>
      </c>
      <c r="H462" s="83">
        <f>AVERAGEIFS(tbl_raw[Discount_Pct],tbl_raw[Product_Name],A462)</f>
        <v>0.32</v>
      </c>
    </row>
    <row r="463" spans="1:8" hidden="1" x14ac:dyDescent="0.25">
      <c r="A463" s="2" t="str">
        <v>Yoga Mat - Model 721</v>
      </c>
      <c r="B463" s="2" t="str">
        <f>_xlfn.XLOOKUP(A463,tbl_raw[Product_Name],tbl_raw[Category])</f>
        <v>Sports</v>
      </c>
      <c r="C463" s="2">
        <f>COUNTIF(tbl_raw[Product_Name],A463)</f>
        <v>1</v>
      </c>
      <c r="D463" s="2">
        <f>SUMIFS(tbl_raw[Units_Sold],tbl_raw[Product_Name],A463)</f>
        <v>10</v>
      </c>
      <c r="E463" s="3">
        <f>SUMIFS(tbl_raw[Net_Profit],tbl_raw[Product_Name],A463)</f>
        <v>14850</v>
      </c>
      <c r="F463" s="2">
        <f>SUMIFS(tbl_raw[Return_Flag],tbl_raw[Product_Name],A463)</f>
        <v>0</v>
      </c>
      <c r="G463" s="3" cm="1">
        <f t="array" ref="G463">SUMPRODUCT((tbl_raw[Product_Name]=A463)*(tbl_raw[MRP]-tbl_raw[Selling_Price])*tbl_raw[Units_Sold])</f>
        <v>12340</v>
      </c>
      <c r="H463" s="83">
        <f>AVERAGEIFS(tbl_raw[Discount_Pct],tbl_raw[Product_Name],A463)</f>
        <v>0.2</v>
      </c>
    </row>
    <row r="464" spans="1:8" hidden="1" x14ac:dyDescent="0.25">
      <c r="A464" s="2" t="str">
        <v>Cricket Bat - Model 405</v>
      </c>
      <c r="B464" s="2" t="str">
        <f>_xlfn.XLOOKUP(A464,tbl_raw[Product_Name],tbl_raw[Category])</f>
        <v>Sports</v>
      </c>
      <c r="C464" s="2">
        <f>COUNTIF(tbl_raw[Product_Name],A464)</f>
        <v>1</v>
      </c>
      <c r="D464" s="2">
        <f>SUMIFS(tbl_raw[Units_Sold],tbl_raw[Product_Name],A464)</f>
        <v>1</v>
      </c>
      <c r="E464" s="3">
        <f>SUMIFS(tbl_raw[Net_Profit],tbl_raw[Product_Name],A464)</f>
        <v>1355</v>
      </c>
      <c r="F464" s="2">
        <f>SUMIFS(tbl_raw[Return_Flag],tbl_raw[Product_Name],A464)</f>
        <v>0</v>
      </c>
      <c r="G464" s="3" cm="1">
        <f t="array" ref="G464">SUMPRODUCT((tbl_raw[Product_Name]=A464)*(tbl_raw[MRP]-tbl_raw[Selling_Price])*tbl_raw[Units_Sold])</f>
        <v>1129</v>
      </c>
      <c r="H464" s="83">
        <f>AVERAGEIFS(tbl_raw[Discount_Pct],tbl_raw[Product_Name],A464)</f>
        <v>0.25</v>
      </c>
    </row>
    <row r="465" spans="1:8" hidden="1" x14ac:dyDescent="0.25">
      <c r="A465" s="2" t="str">
        <v>Lipstick - Model 316</v>
      </c>
      <c r="B465" s="2" t="str">
        <f>_xlfn.XLOOKUP(A465,tbl_raw[Product_Name],tbl_raw[Category])</f>
        <v>Beauty</v>
      </c>
      <c r="C465" s="2">
        <f>COUNTIF(tbl_raw[Product_Name],A465)</f>
        <v>1</v>
      </c>
      <c r="D465" s="2">
        <f>SUMIFS(tbl_raw[Units_Sold],tbl_raw[Product_Name],A465)</f>
        <v>17</v>
      </c>
      <c r="E465" s="3">
        <f>SUMIFS(tbl_raw[Net_Profit],tbl_raw[Product_Name],A465)</f>
        <v>5627</v>
      </c>
      <c r="F465" s="2">
        <f>SUMIFS(tbl_raw[Return_Flag],tbl_raw[Product_Name],A465)</f>
        <v>1</v>
      </c>
      <c r="G465" s="3" cm="1">
        <f t="array" ref="G465">SUMPRODUCT((tbl_raw[Product_Name]=A465)*(tbl_raw[MRP]-tbl_raw[Selling_Price])*tbl_raw[Units_Sold])</f>
        <v>1785</v>
      </c>
      <c r="H465" s="83">
        <f>AVERAGEIFS(tbl_raw[Discount_Pct],tbl_raw[Product_Name],A465)</f>
        <v>0.08</v>
      </c>
    </row>
    <row r="466" spans="1:8" hidden="1" x14ac:dyDescent="0.25">
      <c r="A466" s="2" t="str">
        <v>Spices - Model 174</v>
      </c>
      <c r="B466" s="2" t="str">
        <f>_xlfn.XLOOKUP(A466,tbl_raw[Product_Name],tbl_raw[Category])</f>
        <v>Grocery</v>
      </c>
      <c r="C466" s="2">
        <f>COUNTIF(tbl_raw[Product_Name],A466)</f>
        <v>1</v>
      </c>
      <c r="D466" s="2">
        <f>SUMIFS(tbl_raw[Units_Sold],tbl_raw[Product_Name],A466)</f>
        <v>3</v>
      </c>
      <c r="E466" s="3">
        <f>SUMIFS(tbl_raw[Net_Profit],tbl_raw[Product_Name],A466)</f>
        <v>1464</v>
      </c>
      <c r="F466" s="2">
        <f>SUMIFS(tbl_raw[Return_Flag],tbl_raw[Product_Name],A466)</f>
        <v>0</v>
      </c>
      <c r="G466" s="3" cm="1">
        <f t="array" ref="G466">SUMPRODUCT((tbl_raw[Product_Name]=A466)*(tbl_raw[MRP]-tbl_raw[Selling_Price])*tbl_raw[Units_Sold])</f>
        <v>582</v>
      </c>
      <c r="H466" s="83">
        <f>AVERAGEIFS(tbl_raw[Discount_Pct],tbl_raw[Product_Name],A466)</f>
        <v>0.09</v>
      </c>
    </row>
    <row r="467" spans="1:8" hidden="1" x14ac:dyDescent="0.25">
      <c r="A467" s="2" t="str">
        <v>Jeans - Model 425</v>
      </c>
      <c r="B467" s="2" t="str">
        <f>_xlfn.XLOOKUP(A467,tbl_raw[Product_Name],tbl_raw[Category])</f>
        <v>Fashion</v>
      </c>
      <c r="C467" s="2">
        <f>COUNTIF(tbl_raw[Product_Name],A467)</f>
        <v>1</v>
      </c>
      <c r="D467" s="2">
        <f>SUMIFS(tbl_raw[Units_Sold],tbl_raw[Product_Name],A467)</f>
        <v>15</v>
      </c>
      <c r="E467" s="3">
        <f>SUMIFS(tbl_raw[Net_Profit],tbl_raw[Product_Name],A467)</f>
        <v>1575</v>
      </c>
      <c r="F467" s="2">
        <f>SUMIFS(tbl_raw[Return_Flag],tbl_raw[Product_Name],A467)</f>
        <v>0</v>
      </c>
      <c r="G467" s="3" cm="1">
        <f t="array" ref="G467">SUMPRODUCT((tbl_raw[Product_Name]=A467)*(tbl_raw[MRP]-tbl_raw[Selling_Price])*tbl_raw[Units_Sold])</f>
        <v>12420</v>
      </c>
      <c r="H467" s="83">
        <f>AVERAGEIFS(tbl_raw[Discount_Pct],tbl_raw[Product_Name],A467)</f>
        <v>0.3</v>
      </c>
    </row>
    <row r="468" spans="1:8" hidden="1" x14ac:dyDescent="0.25">
      <c r="A468" s="2" t="str">
        <v>Headphones - Model 352</v>
      </c>
      <c r="B468" s="2" t="str">
        <f>_xlfn.XLOOKUP(A468,tbl_raw[Product_Name],tbl_raw[Category])</f>
        <v>Electronics</v>
      </c>
      <c r="C468" s="2">
        <f>COUNTIF(tbl_raw[Product_Name],A468)</f>
        <v>1</v>
      </c>
      <c r="D468" s="2">
        <f>SUMIFS(tbl_raw[Units_Sold],tbl_raw[Product_Name],A468)</f>
        <v>14</v>
      </c>
      <c r="E468" s="3">
        <f>SUMIFS(tbl_raw[Net_Profit],tbl_raw[Product_Name],A468)</f>
        <v>5558</v>
      </c>
      <c r="F468" s="2">
        <f>SUMIFS(tbl_raw[Return_Flag],tbl_raw[Product_Name],A468)</f>
        <v>0</v>
      </c>
      <c r="G468" s="3" cm="1">
        <f t="array" ref="G468">SUMPRODUCT((tbl_raw[Product_Name]=A468)*(tbl_raw[MRP]-tbl_raw[Selling_Price])*tbl_raw[Units_Sold])</f>
        <v>5278</v>
      </c>
      <c r="H468" s="83">
        <f>AVERAGEIFS(tbl_raw[Discount_Pct],tbl_raw[Product_Name],A468)</f>
        <v>0.16</v>
      </c>
    </row>
    <row r="469" spans="1:8" hidden="1" x14ac:dyDescent="0.25">
      <c r="A469" s="2" t="str">
        <v>Jeans - Model 761</v>
      </c>
      <c r="B469" s="2" t="str">
        <f>_xlfn.XLOOKUP(A469,tbl_raw[Product_Name],tbl_raw[Category])</f>
        <v>Fashion</v>
      </c>
      <c r="C469" s="2">
        <f>COUNTIF(tbl_raw[Product_Name],A469)</f>
        <v>1</v>
      </c>
      <c r="D469" s="2">
        <f>SUMIFS(tbl_raw[Units_Sold],tbl_raw[Product_Name],A469)</f>
        <v>3</v>
      </c>
      <c r="E469" s="3">
        <f>SUMIFS(tbl_raw[Net_Profit],tbl_raw[Product_Name],A469)</f>
        <v>2934</v>
      </c>
      <c r="F469" s="2">
        <f>SUMIFS(tbl_raw[Return_Flag],tbl_raw[Product_Name],A469)</f>
        <v>0</v>
      </c>
      <c r="G469" s="3" cm="1">
        <f t="array" ref="G469">SUMPRODUCT((tbl_raw[Product_Name]=A469)*(tbl_raw[MRP]-tbl_raw[Selling_Price])*tbl_raw[Units_Sold])</f>
        <v>7917</v>
      </c>
      <c r="H469" s="83">
        <f>AVERAGEIFS(tbl_raw[Discount_Pct],tbl_raw[Product_Name],A469)</f>
        <v>0.39</v>
      </c>
    </row>
    <row r="470" spans="1:8" hidden="1" x14ac:dyDescent="0.25">
      <c r="A470" s="2" t="str">
        <v>Tablet - Model 746</v>
      </c>
      <c r="B470" s="2" t="str">
        <f>_xlfn.XLOOKUP(A470,tbl_raw[Product_Name],tbl_raw[Category])</f>
        <v>Electronics</v>
      </c>
      <c r="C470" s="2">
        <f>COUNTIF(tbl_raw[Product_Name],A470)</f>
        <v>1</v>
      </c>
      <c r="D470" s="2">
        <f>SUMIFS(tbl_raw[Units_Sold],tbl_raw[Product_Name],A470)</f>
        <v>19</v>
      </c>
      <c r="E470" s="3">
        <f>SUMIFS(tbl_raw[Net_Profit],tbl_raw[Product_Name],A470)</f>
        <v>15067</v>
      </c>
      <c r="F470" s="2">
        <f>SUMIFS(tbl_raw[Return_Flag],tbl_raw[Product_Name],A470)</f>
        <v>0</v>
      </c>
      <c r="G470" s="3" cm="1">
        <f t="array" ref="G470">SUMPRODUCT((tbl_raw[Product_Name]=A470)*(tbl_raw[MRP]-tbl_raw[Selling_Price])*tbl_raw[Units_Sold])</f>
        <v>31350</v>
      </c>
      <c r="H470" s="83">
        <f>AVERAGEIFS(tbl_raw[Discount_Pct],tbl_raw[Product_Name],A470)</f>
        <v>0.35</v>
      </c>
    </row>
    <row r="471" spans="1:8" hidden="1" x14ac:dyDescent="0.25">
      <c r="A471" s="2" t="str">
        <v>Bedsheet - Model 501</v>
      </c>
      <c r="B471" s="2" t="str">
        <f>_xlfn.XLOOKUP(A471,tbl_raw[Product_Name],tbl_raw[Category])</f>
        <v>Home &amp; Kitchen</v>
      </c>
      <c r="C471" s="2">
        <f>COUNTIF(tbl_raw[Product_Name],A471)</f>
        <v>1</v>
      </c>
      <c r="D471" s="2">
        <f>SUMIFS(tbl_raw[Units_Sold],tbl_raw[Product_Name],A471)</f>
        <v>19</v>
      </c>
      <c r="E471" s="3">
        <f>SUMIFS(tbl_raw[Net_Profit],tbl_raw[Product_Name],A471)</f>
        <v>32547</v>
      </c>
      <c r="F471" s="2">
        <f>SUMIFS(tbl_raw[Return_Flag],tbl_raw[Product_Name],A471)</f>
        <v>0</v>
      </c>
      <c r="G471" s="3" cm="1">
        <f t="array" ref="G471">SUMPRODUCT((tbl_raw[Product_Name]=A471)*(tbl_raw[MRP]-tbl_raw[Selling_Price])*tbl_raw[Units_Sold])</f>
        <v>14611</v>
      </c>
      <c r="H471" s="83">
        <f>AVERAGEIFS(tbl_raw[Discount_Pct],tbl_raw[Product_Name],A471)</f>
        <v>0.13</v>
      </c>
    </row>
    <row r="472" spans="1:8" hidden="1" x14ac:dyDescent="0.25">
      <c r="A472" s="2" t="str">
        <v>Lamp - Model 243</v>
      </c>
      <c r="B472" s="2" t="str">
        <f>_xlfn.XLOOKUP(A472,tbl_raw[Product_Name],tbl_raw[Category])</f>
        <v>Home &amp; Kitchen</v>
      </c>
      <c r="C472" s="2">
        <f>COUNTIF(tbl_raw[Product_Name],A472)</f>
        <v>1</v>
      </c>
      <c r="D472" s="2">
        <f>SUMIFS(tbl_raw[Units_Sold],tbl_raw[Product_Name],A472)</f>
        <v>6</v>
      </c>
      <c r="E472" s="3">
        <f>SUMIFS(tbl_raw[Net_Profit],tbl_raw[Product_Name],A472)</f>
        <v>-1632</v>
      </c>
      <c r="F472" s="2">
        <f>SUMIFS(tbl_raw[Return_Flag],tbl_raw[Product_Name],A472)</f>
        <v>0</v>
      </c>
      <c r="G472" s="3" cm="1">
        <f t="array" ref="G472">SUMPRODUCT((tbl_raw[Product_Name]=A472)*(tbl_raw[MRP]-tbl_raw[Selling_Price])*tbl_raw[Units_Sold])</f>
        <v>4122</v>
      </c>
      <c r="H472" s="83">
        <f>AVERAGEIFS(tbl_raw[Discount_Pct],tbl_raw[Product_Name],A472)</f>
        <v>0.43</v>
      </c>
    </row>
    <row r="473" spans="1:8" hidden="1" x14ac:dyDescent="0.25">
      <c r="A473" s="2" t="str">
        <v>Saree - Model 478</v>
      </c>
      <c r="B473" s="2" t="str">
        <f>_xlfn.XLOOKUP(A473,tbl_raw[Product_Name],tbl_raw[Category])</f>
        <v>Fashion</v>
      </c>
      <c r="C473" s="2">
        <f>COUNTIF(tbl_raw[Product_Name],A473)</f>
        <v>1</v>
      </c>
      <c r="D473" s="2">
        <f>SUMIFS(tbl_raw[Units_Sold],tbl_raw[Product_Name],A473)</f>
        <v>2</v>
      </c>
      <c r="E473" s="3">
        <f>SUMIFS(tbl_raw[Net_Profit],tbl_raw[Product_Name],A473)</f>
        <v>832</v>
      </c>
      <c r="F473" s="2">
        <f>SUMIFS(tbl_raw[Return_Flag],tbl_raw[Product_Name],A473)</f>
        <v>0</v>
      </c>
      <c r="G473" s="3" cm="1">
        <f t="array" ref="G473">SUMPRODUCT((tbl_raw[Product_Name]=A473)*(tbl_raw[MRP]-tbl_raw[Selling_Price])*tbl_raw[Units_Sold])</f>
        <v>2490</v>
      </c>
      <c r="H473" s="83">
        <f>AVERAGEIFS(tbl_raw[Discount_Pct],tbl_raw[Product_Name],A473)</f>
        <v>0.23</v>
      </c>
    </row>
    <row r="474" spans="1:8" hidden="1" x14ac:dyDescent="0.25">
      <c r="A474" s="2" t="str">
        <v>Jacket - Model 748</v>
      </c>
      <c r="B474" s="2" t="str">
        <f>_xlfn.XLOOKUP(A474,tbl_raw[Product_Name],tbl_raw[Category])</f>
        <v>Fashion</v>
      </c>
      <c r="C474" s="2">
        <f>COUNTIF(tbl_raw[Product_Name],A474)</f>
        <v>1</v>
      </c>
      <c r="D474" s="2">
        <f>SUMIFS(tbl_raw[Units_Sold],tbl_raw[Product_Name],A474)</f>
        <v>9</v>
      </c>
      <c r="E474" s="3">
        <f>SUMIFS(tbl_raw[Net_Profit],tbl_raw[Product_Name],A474)</f>
        <v>8046</v>
      </c>
      <c r="F474" s="2">
        <f>SUMIFS(tbl_raw[Return_Flag],tbl_raw[Product_Name],A474)</f>
        <v>0</v>
      </c>
      <c r="G474" s="3" cm="1">
        <f t="array" ref="G474">SUMPRODUCT((tbl_raw[Product_Name]=A474)*(tbl_raw[MRP]-tbl_raw[Selling_Price])*tbl_raw[Units_Sold])</f>
        <v>11025</v>
      </c>
      <c r="H474" s="83">
        <f>AVERAGEIFS(tbl_raw[Discount_Pct],tbl_raw[Product_Name],A474)</f>
        <v>0.26</v>
      </c>
    </row>
    <row r="475" spans="1:8" hidden="1" x14ac:dyDescent="0.25">
      <c r="A475" s="2" t="str">
        <v>Board Game - Model 628</v>
      </c>
      <c r="B475" s="2" t="str">
        <f>_xlfn.XLOOKUP(A475,tbl_raw[Product_Name],tbl_raw[Category])</f>
        <v>Toys</v>
      </c>
      <c r="C475" s="2">
        <f>COUNTIF(tbl_raw[Product_Name],A475)</f>
        <v>1</v>
      </c>
      <c r="D475" s="2">
        <f>SUMIFS(tbl_raw[Units_Sold],tbl_raw[Product_Name],A475)</f>
        <v>12</v>
      </c>
      <c r="E475" s="3">
        <f>SUMIFS(tbl_raw[Net_Profit],tbl_raw[Product_Name],A475)</f>
        <v>10872</v>
      </c>
      <c r="F475" s="2">
        <f>SUMIFS(tbl_raw[Return_Flag],tbl_raw[Product_Name],A475)</f>
        <v>0</v>
      </c>
      <c r="G475" s="3" cm="1">
        <f t="array" ref="G475">SUMPRODUCT((tbl_raw[Product_Name]=A475)*(tbl_raw[MRP]-tbl_raw[Selling_Price])*tbl_raw[Units_Sold])</f>
        <v>12624</v>
      </c>
      <c r="H475" s="83">
        <f>AVERAGEIFS(tbl_raw[Discount_Pct],tbl_raw[Product_Name],A475)</f>
        <v>0.16</v>
      </c>
    </row>
    <row r="476" spans="1:8" hidden="1" x14ac:dyDescent="0.25">
      <c r="A476" s="2" t="str">
        <v>Jacket - Model 758</v>
      </c>
      <c r="B476" s="2" t="str">
        <f>_xlfn.XLOOKUP(A476,tbl_raw[Product_Name],tbl_raw[Category])</f>
        <v>Fashion</v>
      </c>
      <c r="C476" s="2">
        <f>COUNTIF(tbl_raw[Product_Name],A476)</f>
        <v>1</v>
      </c>
      <c r="D476" s="2">
        <f>SUMIFS(tbl_raw[Units_Sold],tbl_raw[Product_Name],A476)</f>
        <v>7</v>
      </c>
      <c r="E476" s="3">
        <f>SUMIFS(tbl_raw[Net_Profit],tbl_raw[Product_Name],A476)</f>
        <v>1995</v>
      </c>
      <c r="F476" s="2">
        <f>SUMIFS(tbl_raw[Return_Flag],tbl_raw[Product_Name],A476)</f>
        <v>0</v>
      </c>
      <c r="G476" s="3" cm="1">
        <f t="array" ref="G476">SUMPRODUCT((tbl_raw[Product_Name]=A476)*(tbl_raw[MRP]-tbl_raw[Selling_Price])*tbl_raw[Units_Sold])</f>
        <v>672</v>
      </c>
      <c r="H476" s="83">
        <f>AVERAGEIFS(tbl_raw[Discount_Pct],tbl_raw[Product_Name],A476)</f>
        <v>7.0000000000000007E-2</v>
      </c>
    </row>
    <row r="477" spans="1:8" hidden="1" x14ac:dyDescent="0.25">
      <c r="A477" s="2" t="str">
        <v>Pulses - Model 315</v>
      </c>
      <c r="B477" s="2" t="str">
        <f>_xlfn.XLOOKUP(A477,tbl_raw[Product_Name],tbl_raw[Category])</f>
        <v>Grocery</v>
      </c>
      <c r="C477" s="2">
        <f>COUNTIF(tbl_raw[Product_Name],A477)</f>
        <v>1</v>
      </c>
      <c r="D477" s="2">
        <f>SUMIFS(tbl_raw[Units_Sold],tbl_raw[Product_Name],A477)</f>
        <v>6</v>
      </c>
      <c r="E477" s="3">
        <f>SUMIFS(tbl_raw[Net_Profit],tbl_raw[Product_Name],A477)</f>
        <v>10248</v>
      </c>
      <c r="F477" s="2">
        <f>SUMIFS(tbl_raw[Return_Flag],tbl_raw[Product_Name],A477)</f>
        <v>0</v>
      </c>
      <c r="G477" s="3" cm="1">
        <f t="array" ref="G477">SUMPRODUCT((tbl_raw[Product_Name]=A477)*(tbl_raw[MRP]-tbl_raw[Selling_Price])*tbl_raw[Units_Sold])</f>
        <v>5670</v>
      </c>
      <c r="H477" s="83">
        <f>AVERAGEIFS(tbl_raw[Discount_Pct],tbl_raw[Product_Name],A477)</f>
        <v>0.18</v>
      </c>
    </row>
    <row r="478" spans="1:8" hidden="1" x14ac:dyDescent="0.25">
      <c r="A478" s="2" t="str">
        <v>Mixer - Model 270</v>
      </c>
      <c r="B478" s="2" t="str">
        <f>_xlfn.XLOOKUP(A478,tbl_raw[Product_Name],tbl_raw[Category])</f>
        <v>Home &amp; Kitchen</v>
      </c>
      <c r="C478" s="2">
        <f>COUNTIF(tbl_raw[Product_Name],A478)</f>
        <v>1</v>
      </c>
      <c r="D478" s="2">
        <f>SUMIFS(tbl_raw[Units_Sold],tbl_raw[Product_Name],A478)</f>
        <v>6</v>
      </c>
      <c r="E478" s="3">
        <f>SUMIFS(tbl_raw[Net_Profit],tbl_raw[Product_Name],A478)</f>
        <v>1296</v>
      </c>
      <c r="F478" s="2">
        <f>SUMIFS(tbl_raw[Return_Flag],tbl_raw[Product_Name],A478)</f>
        <v>0</v>
      </c>
      <c r="G478" s="3" cm="1">
        <f t="array" ref="G478">SUMPRODUCT((tbl_raw[Product_Name]=A478)*(tbl_raw[MRP]-tbl_raw[Selling_Price])*tbl_raw[Units_Sold])</f>
        <v>4566</v>
      </c>
      <c r="H478" s="83">
        <f>AVERAGEIFS(tbl_raw[Discount_Pct],tbl_raw[Product_Name],A478)</f>
        <v>0.18</v>
      </c>
    </row>
    <row r="479" spans="1:8" hidden="1" x14ac:dyDescent="0.25">
      <c r="A479" s="2" t="str">
        <v>Oil - Model 324</v>
      </c>
      <c r="B479" s="2" t="str">
        <f>_xlfn.XLOOKUP(A479,tbl_raw[Product_Name],tbl_raw[Category])</f>
        <v>Grocery</v>
      </c>
      <c r="C479" s="2">
        <f>COUNTIF(tbl_raw[Product_Name],A479)</f>
        <v>1</v>
      </c>
      <c r="D479" s="2">
        <f>SUMIFS(tbl_raw[Units_Sold],tbl_raw[Product_Name],A479)</f>
        <v>20</v>
      </c>
      <c r="E479" s="3">
        <f>SUMIFS(tbl_raw[Net_Profit],tbl_raw[Product_Name],A479)</f>
        <v>-580</v>
      </c>
      <c r="F479" s="2">
        <f>SUMIFS(tbl_raw[Return_Flag],tbl_raw[Product_Name],A479)</f>
        <v>0</v>
      </c>
      <c r="G479" s="3" cm="1">
        <f t="array" ref="G479">SUMPRODUCT((tbl_raw[Product_Name]=A479)*(tbl_raw[MRP]-tbl_raw[Selling_Price])*tbl_raw[Units_Sold])</f>
        <v>6820</v>
      </c>
      <c r="H479" s="83">
        <f>AVERAGEIFS(tbl_raw[Discount_Pct],tbl_raw[Product_Name],A479)</f>
        <v>0.26</v>
      </c>
    </row>
    <row r="480" spans="1:8" hidden="1" x14ac:dyDescent="0.25">
      <c r="A480" s="2" t="str">
        <v>Jeans - Model 487</v>
      </c>
      <c r="B480" s="2" t="str">
        <f>_xlfn.XLOOKUP(A480,tbl_raw[Product_Name],tbl_raw[Category])</f>
        <v>Fashion</v>
      </c>
      <c r="C480" s="2">
        <f>COUNTIF(tbl_raw[Product_Name],A480)</f>
        <v>1</v>
      </c>
      <c r="D480" s="2">
        <f>SUMIFS(tbl_raw[Units_Sold],tbl_raw[Product_Name],A480)</f>
        <v>5</v>
      </c>
      <c r="E480" s="3">
        <f>SUMIFS(tbl_raw[Net_Profit],tbl_raw[Product_Name],A480)</f>
        <v>565</v>
      </c>
      <c r="F480" s="2">
        <f>SUMIFS(tbl_raw[Return_Flag],tbl_raw[Product_Name],A480)</f>
        <v>0</v>
      </c>
      <c r="G480" s="3" cm="1">
        <f t="array" ref="G480">SUMPRODUCT((tbl_raw[Product_Name]=A480)*(tbl_raw[MRP]-tbl_raw[Selling_Price])*tbl_raw[Units_Sold])</f>
        <v>470</v>
      </c>
      <c r="H480" s="83">
        <f>AVERAGEIFS(tbl_raw[Discount_Pct],tbl_raw[Product_Name],A480)</f>
        <v>0.09</v>
      </c>
    </row>
    <row r="481" spans="1:8" hidden="1" x14ac:dyDescent="0.25">
      <c r="A481" s="2" t="str">
        <v>Tablet - Model 615</v>
      </c>
      <c r="B481" s="2" t="str">
        <f>_xlfn.XLOOKUP(A481,tbl_raw[Product_Name],tbl_raw[Category])</f>
        <v>Electronics</v>
      </c>
      <c r="C481" s="2">
        <f>COUNTIF(tbl_raw[Product_Name],A481)</f>
        <v>1</v>
      </c>
      <c r="D481" s="2">
        <f>SUMIFS(tbl_raw[Units_Sold],tbl_raw[Product_Name],A481)</f>
        <v>3</v>
      </c>
      <c r="E481" s="3">
        <f>SUMIFS(tbl_raw[Net_Profit],tbl_raw[Product_Name],A481)</f>
        <v>3444</v>
      </c>
      <c r="F481" s="2">
        <f>SUMIFS(tbl_raw[Return_Flag],tbl_raw[Product_Name],A481)</f>
        <v>0</v>
      </c>
      <c r="G481" s="3" cm="1">
        <f t="array" ref="G481">SUMPRODUCT((tbl_raw[Product_Name]=A481)*(tbl_raw[MRP]-tbl_raw[Selling_Price])*tbl_raw[Units_Sold])</f>
        <v>714</v>
      </c>
      <c r="H481" s="83">
        <f>AVERAGEIFS(tbl_raw[Discount_Pct],tbl_raw[Product_Name],A481)</f>
        <v>0.06</v>
      </c>
    </row>
    <row r="482" spans="1:8" hidden="1" x14ac:dyDescent="0.25">
      <c r="A482" s="2" t="str">
        <v>Board Game - Model 921</v>
      </c>
      <c r="B482" s="2" t="str">
        <f>_xlfn.XLOOKUP(A482,tbl_raw[Product_Name],tbl_raw[Category])</f>
        <v>Toys</v>
      </c>
      <c r="C482" s="2">
        <f>COUNTIF(tbl_raw[Product_Name],A482)</f>
        <v>1</v>
      </c>
      <c r="D482" s="2">
        <f>SUMIFS(tbl_raw[Units_Sold],tbl_raw[Product_Name],A482)</f>
        <v>13</v>
      </c>
      <c r="E482" s="3">
        <f>SUMIFS(tbl_raw[Net_Profit],tbl_raw[Product_Name],A482)</f>
        <v>-4992</v>
      </c>
      <c r="F482" s="2">
        <f>SUMIFS(tbl_raw[Return_Flag],tbl_raw[Product_Name],A482)</f>
        <v>0</v>
      </c>
      <c r="G482" s="3" cm="1">
        <f t="array" ref="G482">SUMPRODUCT((tbl_raw[Product_Name]=A482)*(tbl_raw[MRP]-tbl_raw[Selling_Price])*tbl_raw[Units_Sold])</f>
        <v>13728</v>
      </c>
      <c r="H482" s="83">
        <f>AVERAGEIFS(tbl_raw[Discount_Pct],tbl_raw[Product_Name],A482)</f>
        <v>0.36</v>
      </c>
    </row>
    <row r="483" spans="1:8" hidden="1" x14ac:dyDescent="0.25">
      <c r="A483" s="2" t="str">
        <v>Moisturizer - Model 390</v>
      </c>
      <c r="B483" s="2" t="str">
        <f>_xlfn.XLOOKUP(A483,tbl_raw[Product_Name],tbl_raw[Category])</f>
        <v>Beauty</v>
      </c>
      <c r="C483" s="2">
        <f>COUNTIF(tbl_raw[Product_Name],A483)</f>
        <v>1</v>
      </c>
      <c r="D483" s="2">
        <f>SUMIFS(tbl_raw[Units_Sold],tbl_raw[Product_Name],A483)</f>
        <v>18</v>
      </c>
      <c r="E483" s="3">
        <f>SUMIFS(tbl_raw[Net_Profit],tbl_raw[Product_Name],A483)</f>
        <v>13302</v>
      </c>
      <c r="F483" s="2">
        <f>SUMIFS(tbl_raw[Return_Flag],tbl_raw[Product_Name],A483)</f>
        <v>0</v>
      </c>
      <c r="G483" s="3" cm="1">
        <f t="array" ref="G483">SUMPRODUCT((tbl_raw[Product_Name]=A483)*(tbl_raw[MRP]-tbl_raw[Selling_Price])*tbl_raw[Units_Sold])</f>
        <v>5490</v>
      </c>
      <c r="H483" s="83">
        <f>AVERAGEIFS(tbl_raw[Discount_Pct],tbl_raw[Product_Name],A483)</f>
        <v>0.09</v>
      </c>
    </row>
    <row r="484" spans="1:8" hidden="1" x14ac:dyDescent="0.25">
      <c r="A484" s="2" t="str">
        <v>Lipstick - Model 518</v>
      </c>
      <c r="B484" s="2" t="str">
        <f>_xlfn.XLOOKUP(A484,tbl_raw[Product_Name],tbl_raw[Category])</f>
        <v>Beauty</v>
      </c>
      <c r="C484" s="2">
        <f>COUNTIF(tbl_raw[Product_Name],A484)</f>
        <v>1</v>
      </c>
      <c r="D484" s="2">
        <f>SUMIFS(tbl_raw[Units_Sold],tbl_raw[Product_Name],A484)</f>
        <v>4</v>
      </c>
      <c r="E484" s="3">
        <f>SUMIFS(tbl_raw[Net_Profit],tbl_raw[Product_Name],A484)</f>
        <v>612</v>
      </c>
      <c r="F484" s="2">
        <f>SUMIFS(tbl_raw[Return_Flag],tbl_raw[Product_Name],A484)</f>
        <v>0</v>
      </c>
      <c r="G484" s="3" cm="1">
        <f t="array" ref="G484">SUMPRODUCT((tbl_raw[Product_Name]=A484)*(tbl_raw[MRP]-tbl_raw[Selling_Price])*tbl_raw[Units_Sold])</f>
        <v>1632</v>
      </c>
      <c r="H484" s="83">
        <f>AVERAGEIFS(tbl_raw[Discount_Pct],tbl_raw[Product_Name],A484)</f>
        <v>0.28999999999999998</v>
      </c>
    </row>
    <row r="485" spans="1:8" hidden="1" x14ac:dyDescent="0.25">
      <c r="A485" s="2" t="str">
        <v>Perfume - Model 665</v>
      </c>
      <c r="B485" s="2" t="str">
        <f>_xlfn.XLOOKUP(A485,tbl_raw[Product_Name],tbl_raw[Category])</f>
        <v>Beauty</v>
      </c>
      <c r="C485" s="2">
        <f>COUNTIF(tbl_raw[Product_Name],A485)</f>
        <v>1</v>
      </c>
      <c r="D485" s="2">
        <f>SUMIFS(tbl_raw[Units_Sold],tbl_raw[Product_Name],A485)</f>
        <v>16</v>
      </c>
      <c r="E485" s="3">
        <f>SUMIFS(tbl_raw[Net_Profit],tbl_raw[Product_Name],A485)</f>
        <v>1776</v>
      </c>
      <c r="F485" s="2">
        <f>SUMIFS(tbl_raw[Return_Flag],tbl_raw[Product_Name],A485)</f>
        <v>0</v>
      </c>
      <c r="G485" s="3" cm="1">
        <f t="array" ref="G485">SUMPRODUCT((tbl_raw[Product_Name]=A485)*(tbl_raw[MRP]-tbl_raw[Selling_Price])*tbl_raw[Units_Sold])</f>
        <v>6368</v>
      </c>
      <c r="H485" s="83">
        <f>AVERAGEIFS(tbl_raw[Discount_Pct],tbl_raw[Product_Name],A485)</f>
        <v>0.25</v>
      </c>
    </row>
    <row r="486" spans="1:8" hidden="1" x14ac:dyDescent="0.25">
      <c r="A486" s="2" t="str">
        <v>Jeans - Model 557</v>
      </c>
      <c r="B486" s="2" t="str">
        <f>_xlfn.XLOOKUP(A486,tbl_raw[Product_Name],tbl_raw[Category])</f>
        <v>Fashion</v>
      </c>
      <c r="C486" s="2">
        <f>COUNTIF(tbl_raw[Product_Name],A486)</f>
        <v>1</v>
      </c>
      <c r="D486" s="2">
        <f>SUMIFS(tbl_raw[Units_Sold],tbl_raw[Product_Name],A486)</f>
        <v>4</v>
      </c>
      <c r="E486" s="3">
        <f>SUMIFS(tbl_raw[Net_Profit],tbl_raw[Product_Name],A486)</f>
        <v>1808</v>
      </c>
      <c r="F486" s="2">
        <f>SUMIFS(tbl_raw[Return_Flag],tbl_raw[Product_Name],A486)</f>
        <v>0</v>
      </c>
      <c r="G486" s="3" cm="1">
        <f t="array" ref="G486">SUMPRODUCT((tbl_raw[Product_Name]=A486)*(tbl_raw[MRP]-tbl_raw[Selling_Price])*tbl_raw[Units_Sold])</f>
        <v>1348</v>
      </c>
      <c r="H486" s="83">
        <f>AVERAGEIFS(tbl_raw[Discount_Pct],tbl_raw[Product_Name],A486)</f>
        <v>0.18</v>
      </c>
    </row>
    <row r="487" spans="1:8" hidden="1" x14ac:dyDescent="0.25">
      <c r="A487" s="2" t="str">
        <v>Jeans - Model 582</v>
      </c>
      <c r="B487" s="2" t="str">
        <f>_xlfn.XLOOKUP(A487,tbl_raw[Product_Name],tbl_raw[Category])</f>
        <v>Fashion</v>
      </c>
      <c r="C487" s="2">
        <f>COUNTIF(tbl_raw[Product_Name],A487)</f>
        <v>1</v>
      </c>
      <c r="D487" s="2">
        <f>SUMIFS(tbl_raw[Units_Sold],tbl_raw[Product_Name],A487)</f>
        <v>14</v>
      </c>
      <c r="E487" s="3">
        <f>SUMIFS(tbl_raw[Net_Profit],tbl_raw[Product_Name],A487)</f>
        <v>2660</v>
      </c>
      <c r="F487" s="2">
        <f>SUMIFS(tbl_raw[Return_Flag],tbl_raw[Product_Name],A487)</f>
        <v>0</v>
      </c>
      <c r="G487" s="3" cm="1">
        <f t="array" ref="G487">SUMPRODUCT((tbl_raw[Product_Name]=A487)*(tbl_raw[MRP]-tbl_raw[Selling_Price])*tbl_raw[Units_Sold])</f>
        <v>1484</v>
      </c>
      <c r="H487" s="83">
        <f>AVERAGEIFS(tbl_raw[Discount_Pct],tbl_raw[Product_Name],A487)</f>
        <v>0.12</v>
      </c>
    </row>
    <row r="488" spans="1:8" hidden="1" x14ac:dyDescent="0.25">
      <c r="A488" s="2" t="str">
        <v>Cycle - Model 158</v>
      </c>
      <c r="B488" s="2" t="str">
        <f>_xlfn.XLOOKUP(A488,tbl_raw[Product_Name],tbl_raw[Category])</f>
        <v>Sports</v>
      </c>
      <c r="C488" s="2">
        <f>COUNTIF(tbl_raw[Product_Name],A488)</f>
        <v>1</v>
      </c>
      <c r="D488" s="2">
        <f>SUMIFS(tbl_raw[Units_Sold],tbl_raw[Product_Name],A488)</f>
        <v>16</v>
      </c>
      <c r="E488" s="3">
        <f>SUMIFS(tbl_raw[Net_Profit],tbl_raw[Product_Name],A488)</f>
        <v>13824</v>
      </c>
      <c r="F488" s="2">
        <f>SUMIFS(tbl_raw[Return_Flag],tbl_raw[Product_Name],A488)</f>
        <v>1</v>
      </c>
      <c r="G488" s="3" cm="1">
        <f t="array" ref="G488">SUMPRODUCT((tbl_raw[Product_Name]=A488)*(tbl_raw[MRP]-tbl_raw[Selling_Price])*tbl_raw[Units_Sold])</f>
        <v>5216</v>
      </c>
      <c r="H488" s="83">
        <f>AVERAGEIFS(tbl_raw[Discount_Pct],tbl_raw[Product_Name],A488)</f>
        <v>0.09</v>
      </c>
    </row>
    <row r="489" spans="1:8" hidden="1" x14ac:dyDescent="0.25">
      <c r="A489" s="2" t="str">
        <v>Sunscreen - Model 273</v>
      </c>
      <c r="B489" s="2" t="str">
        <f>_xlfn.XLOOKUP(A489,tbl_raw[Product_Name],tbl_raw[Category])</f>
        <v>Beauty</v>
      </c>
      <c r="C489" s="2">
        <f>COUNTIF(tbl_raw[Product_Name],A489)</f>
        <v>1</v>
      </c>
      <c r="D489" s="2">
        <f>SUMIFS(tbl_raw[Units_Sold],tbl_raw[Product_Name],A489)</f>
        <v>12</v>
      </c>
      <c r="E489" s="3">
        <f>SUMIFS(tbl_raw[Net_Profit],tbl_raw[Product_Name],A489)</f>
        <v>11352</v>
      </c>
      <c r="F489" s="2">
        <f>SUMIFS(tbl_raw[Return_Flag],tbl_raw[Product_Name],A489)</f>
        <v>0</v>
      </c>
      <c r="G489" s="3" cm="1">
        <f t="array" ref="G489">SUMPRODUCT((tbl_raw[Product_Name]=A489)*(tbl_raw[MRP]-tbl_raw[Selling_Price])*tbl_raw[Units_Sold])</f>
        <v>0</v>
      </c>
      <c r="H489" s="83">
        <f>AVERAGEIFS(tbl_raw[Discount_Pct],tbl_raw[Product_Name],A489)</f>
        <v>0</v>
      </c>
    </row>
    <row r="490" spans="1:8" hidden="1" x14ac:dyDescent="0.25">
      <c r="A490" s="2" t="str">
        <v>Mobile - Model 192</v>
      </c>
      <c r="B490" s="2" t="str">
        <f>_xlfn.XLOOKUP(A490,tbl_raw[Product_Name],tbl_raw[Category])</f>
        <v>Electronics</v>
      </c>
      <c r="C490" s="2">
        <f>COUNTIF(tbl_raw[Product_Name],A490)</f>
        <v>1</v>
      </c>
      <c r="D490" s="2">
        <f>SUMIFS(tbl_raw[Units_Sold],tbl_raw[Product_Name],A490)</f>
        <v>10</v>
      </c>
      <c r="E490" s="3">
        <f>SUMIFS(tbl_raw[Net_Profit],tbl_raw[Product_Name],A490)</f>
        <v>7740</v>
      </c>
      <c r="F490" s="2">
        <f>SUMIFS(tbl_raw[Return_Flag],tbl_raw[Product_Name],A490)</f>
        <v>0</v>
      </c>
      <c r="G490" s="3" cm="1">
        <f t="array" ref="G490">SUMPRODUCT((tbl_raw[Product_Name]=A490)*(tbl_raw[MRP]-tbl_raw[Selling_Price])*tbl_raw[Units_Sold])</f>
        <v>14660</v>
      </c>
      <c r="H490" s="83">
        <f>AVERAGEIFS(tbl_raw[Discount_Pct],tbl_raw[Product_Name],A490)</f>
        <v>0.25</v>
      </c>
    </row>
    <row r="491" spans="1:8" hidden="1" x14ac:dyDescent="0.25">
      <c r="A491" s="2" t="str">
        <v>Headphones - Model 279</v>
      </c>
      <c r="B491" s="2" t="str">
        <f>_xlfn.XLOOKUP(A491,tbl_raw[Product_Name],tbl_raw[Category])</f>
        <v>Electronics</v>
      </c>
      <c r="C491" s="2">
        <f>COUNTIF(tbl_raw[Product_Name],A491)</f>
        <v>1</v>
      </c>
      <c r="D491" s="2">
        <f>SUMIFS(tbl_raw[Units_Sold],tbl_raw[Product_Name],A491)</f>
        <v>17</v>
      </c>
      <c r="E491" s="3">
        <f>SUMIFS(tbl_raw[Net_Profit],tbl_raw[Product_Name],A491)</f>
        <v>5253</v>
      </c>
      <c r="F491" s="2">
        <f>SUMIFS(tbl_raw[Return_Flag],tbl_raw[Product_Name],A491)</f>
        <v>0</v>
      </c>
      <c r="G491" s="3" cm="1">
        <f t="array" ref="G491">SUMPRODUCT((tbl_raw[Product_Name]=A491)*(tbl_raw[MRP]-tbl_raw[Selling_Price])*tbl_raw[Units_Sold])</f>
        <v>527</v>
      </c>
      <c r="H491" s="83">
        <f>AVERAGEIFS(tbl_raw[Discount_Pct],tbl_raw[Product_Name],A491)</f>
        <v>0.03</v>
      </c>
    </row>
    <row r="492" spans="1:8" hidden="1" x14ac:dyDescent="0.25">
      <c r="A492" s="2" t="str">
        <v>Pulses - Model 676</v>
      </c>
      <c r="B492" s="2" t="str">
        <f>_xlfn.XLOOKUP(A492,tbl_raw[Product_Name],tbl_raw[Category])</f>
        <v>Grocery</v>
      </c>
      <c r="C492" s="2">
        <f>COUNTIF(tbl_raw[Product_Name],A492)</f>
        <v>1</v>
      </c>
      <c r="D492" s="2">
        <f>SUMIFS(tbl_raw[Units_Sold],tbl_raw[Product_Name],A492)</f>
        <v>8</v>
      </c>
      <c r="E492" s="3">
        <f>SUMIFS(tbl_raw[Net_Profit],tbl_raw[Product_Name],A492)</f>
        <v>-328</v>
      </c>
      <c r="F492" s="2">
        <f>SUMIFS(tbl_raw[Return_Flag],tbl_raw[Product_Name],A492)</f>
        <v>0</v>
      </c>
      <c r="G492" s="3" cm="1">
        <f t="array" ref="G492">SUMPRODUCT((tbl_raw[Product_Name]=A492)*(tbl_raw[MRP]-tbl_raw[Selling_Price])*tbl_raw[Units_Sold])</f>
        <v>21008</v>
      </c>
      <c r="H492" s="83">
        <f>AVERAGEIFS(tbl_raw[Discount_Pct],tbl_raw[Product_Name],A492)</f>
        <v>0.43</v>
      </c>
    </row>
    <row r="493" spans="1:8" hidden="1" x14ac:dyDescent="0.25">
      <c r="A493" s="2" t="str">
        <v>Board Game - Model 793</v>
      </c>
      <c r="B493" s="2" t="str">
        <f>_xlfn.XLOOKUP(A493,tbl_raw[Product_Name],tbl_raw[Category])</f>
        <v>Toys</v>
      </c>
      <c r="C493" s="2">
        <f>COUNTIF(tbl_raw[Product_Name],A493)</f>
        <v>1</v>
      </c>
      <c r="D493" s="2">
        <f>SUMIFS(tbl_raw[Units_Sold],tbl_raw[Product_Name],A493)</f>
        <v>11</v>
      </c>
      <c r="E493" s="3">
        <f>SUMIFS(tbl_raw[Net_Profit],tbl_raw[Product_Name],A493)</f>
        <v>8008</v>
      </c>
      <c r="F493" s="2">
        <f>SUMIFS(tbl_raw[Return_Flag],tbl_raw[Product_Name],A493)</f>
        <v>0</v>
      </c>
      <c r="G493" s="3" cm="1">
        <f t="array" ref="G493">SUMPRODUCT((tbl_raw[Product_Name]=A493)*(tbl_raw[MRP]-tbl_raw[Selling_Price])*tbl_raw[Units_Sold])</f>
        <v>6017</v>
      </c>
      <c r="H493" s="83">
        <f>AVERAGEIFS(tbl_raw[Discount_Pct],tbl_raw[Product_Name],A493)</f>
        <v>0.16</v>
      </c>
    </row>
    <row r="494" spans="1:8" hidden="1" x14ac:dyDescent="0.25">
      <c r="A494" s="2" t="str">
        <v>Fiction - Model 667</v>
      </c>
      <c r="B494" s="2" t="str">
        <f>_xlfn.XLOOKUP(A494,tbl_raw[Product_Name],tbl_raw[Category])</f>
        <v>Books</v>
      </c>
      <c r="C494" s="2">
        <f>COUNTIF(tbl_raw[Product_Name],A494)</f>
        <v>1</v>
      </c>
      <c r="D494" s="2">
        <f>SUMIFS(tbl_raw[Units_Sold],tbl_raw[Product_Name],A494)</f>
        <v>16</v>
      </c>
      <c r="E494" s="3">
        <f>SUMIFS(tbl_raw[Net_Profit],tbl_raw[Product_Name],A494)</f>
        <v>11760</v>
      </c>
      <c r="F494" s="2">
        <f>SUMIFS(tbl_raw[Return_Flag],tbl_raw[Product_Name],A494)</f>
        <v>0</v>
      </c>
      <c r="G494" s="3" cm="1">
        <f t="array" ref="G494">SUMPRODUCT((tbl_raw[Product_Name]=A494)*(tbl_raw[MRP]-tbl_raw[Selling_Price])*tbl_raw[Units_Sold])</f>
        <v>4240</v>
      </c>
      <c r="H494" s="83">
        <f>AVERAGEIFS(tbl_raw[Discount_Pct],tbl_raw[Product_Name],A494)</f>
        <v>0.1</v>
      </c>
    </row>
    <row r="495" spans="1:8" hidden="1" x14ac:dyDescent="0.25">
      <c r="A495" s="2" t="str">
        <v>Cricket Bat - Model 334</v>
      </c>
      <c r="B495" s="2" t="str">
        <f>_xlfn.XLOOKUP(A495,tbl_raw[Product_Name],tbl_raw[Category])</f>
        <v>Sports</v>
      </c>
      <c r="C495" s="2">
        <f>COUNTIF(tbl_raw[Product_Name],A495)</f>
        <v>1</v>
      </c>
      <c r="D495" s="2">
        <f>SUMIFS(tbl_raw[Units_Sold],tbl_raw[Product_Name],A495)</f>
        <v>8</v>
      </c>
      <c r="E495" s="3">
        <f>SUMIFS(tbl_raw[Net_Profit],tbl_raw[Product_Name],A495)</f>
        <v>8616</v>
      </c>
      <c r="F495" s="2">
        <f>SUMIFS(tbl_raw[Return_Flag],tbl_raw[Product_Name],A495)</f>
        <v>0</v>
      </c>
      <c r="G495" s="3" cm="1">
        <f t="array" ref="G495">SUMPRODUCT((tbl_raw[Product_Name]=A495)*(tbl_raw[MRP]-tbl_raw[Selling_Price])*tbl_raw[Units_Sold])</f>
        <v>8608</v>
      </c>
      <c r="H495" s="83">
        <f>AVERAGEIFS(tbl_raw[Discount_Pct],tbl_raw[Product_Name],A495)</f>
        <v>0.16</v>
      </c>
    </row>
    <row r="496" spans="1:8" hidden="1" x14ac:dyDescent="0.25">
      <c r="A496" s="2" t="str">
        <v>Smartwatch - Model 480</v>
      </c>
      <c r="B496" s="2" t="str">
        <f>_xlfn.XLOOKUP(A496,tbl_raw[Product_Name],tbl_raw[Category])</f>
        <v>Electronics</v>
      </c>
      <c r="C496" s="2">
        <f>COUNTIF(tbl_raw[Product_Name],A496)</f>
        <v>1</v>
      </c>
      <c r="D496" s="2">
        <f>SUMIFS(tbl_raw[Units_Sold],tbl_raw[Product_Name],A496)</f>
        <v>11</v>
      </c>
      <c r="E496" s="3">
        <f>SUMIFS(tbl_raw[Net_Profit],tbl_raw[Product_Name],A496)</f>
        <v>-8602</v>
      </c>
      <c r="F496" s="2">
        <f>SUMIFS(tbl_raw[Return_Flag],tbl_raw[Product_Name],A496)</f>
        <v>1</v>
      </c>
      <c r="G496" s="3" cm="1">
        <f t="array" ref="G496">SUMPRODUCT((tbl_raw[Product_Name]=A496)*(tbl_raw[MRP]-tbl_raw[Selling_Price])*tbl_raw[Units_Sold])</f>
        <v>19558</v>
      </c>
      <c r="H496" s="83">
        <f>AVERAGEIFS(tbl_raw[Discount_Pct],tbl_raw[Product_Name],A496)</f>
        <v>0.44</v>
      </c>
    </row>
    <row r="497" spans="1:8" hidden="1" x14ac:dyDescent="0.25">
      <c r="A497" s="2" t="str">
        <v>Board Game - Model 868</v>
      </c>
      <c r="B497" s="2" t="str">
        <f>_xlfn.XLOOKUP(A497,tbl_raw[Product_Name],tbl_raw[Category])</f>
        <v>Toys</v>
      </c>
      <c r="C497" s="2">
        <f>COUNTIF(tbl_raw[Product_Name],A497)</f>
        <v>1</v>
      </c>
      <c r="D497" s="2">
        <f>SUMIFS(tbl_raw[Units_Sold],tbl_raw[Product_Name],A497)</f>
        <v>5</v>
      </c>
      <c r="E497" s="3">
        <f>SUMIFS(tbl_raw[Net_Profit],tbl_raw[Product_Name],A497)</f>
        <v>-330</v>
      </c>
      <c r="F497" s="2">
        <f>SUMIFS(tbl_raw[Return_Flag],tbl_raw[Product_Name],A497)</f>
        <v>0</v>
      </c>
      <c r="G497" s="3" cm="1">
        <f t="array" ref="G497">SUMPRODUCT((tbl_raw[Product_Name]=A497)*(tbl_raw[MRP]-tbl_raw[Selling_Price])*tbl_raw[Units_Sold])</f>
        <v>1120</v>
      </c>
      <c r="H497" s="83">
        <f>AVERAGEIFS(tbl_raw[Discount_Pct],tbl_raw[Product_Name],A497)</f>
        <v>0.36</v>
      </c>
    </row>
    <row r="498" spans="1:8" hidden="1" x14ac:dyDescent="0.25">
      <c r="A498" s="2" t="str">
        <v>Jacket - Model 571</v>
      </c>
      <c r="B498" s="2" t="str">
        <f>_xlfn.XLOOKUP(A498,tbl_raw[Product_Name],tbl_raw[Category])</f>
        <v>Fashion</v>
      </c>
      <c r="C498" s="2">
        <f>COUNTIF(tbl_raw[Product_Name],A498)</f>
        <v>1</v>
      </c>
      <c r="D498" s="2">
        <f>SUMIFS(tbl_raw[Units_Sold],tbl_raw[Product_Name],A498)</f>
        <v>1</v>
      </c>
      <c r="E498" s="3">
        <f>SUMIFS(tbl_raw[Net_Profit],tbl_raw[Product_Name],A498)</f>
        <v>11</v>
      </c>
      <c r="F498" s="2">
        <f>SUMIFS(tbl_raw[Return_Flag],tbl_raw[Product_Name],A498)</f>
        <v>0</v>
      </c>
      <c r="G498" s="3" cm="1">
        <f t="array" ref="G498">SUMPRODUCT((tbl_raw[Product_Name]=A498)*(tbl_raw[MRP]-tbl_raw[Selling_Price])*tbl_raw[Units_Sold])</f>
        <v>26</v>
      </c>
      <c r="H498" s="83">
        <f>AVERAGEIFS(tbl_raw[Discount_Pct],tbl_raw[Product_Name],A498)</f>
        <v>0.09</v>
      </c>
    </row>
    <row r="499" spans="1:8" hidden="1" x14ac:dyDescent="0.25">
      <c r="A499" s="2" t="str">
        <v>Dumbbells - Model 727</v>
      </c>
      <c r="B499" s="2" t="str">
        <f>_xlfn.XLOOKUP(A499,tbl_raw[Product_Name],tbl_raw[Category])</f>
        <v>Sports</v>
      </c>
      <c r="C499" s="2">
        <f>COUNTIF(tbl_raw[Product_Name],A499)</f>
        <v>1</v>
      </c>
      <c r="D499" s="2">
        <f>SUMIFS(tbl_raw[Units_Sold],tbl_raw[Product_Name],A499)</f>
        <v>12</v>
      </c>
      <c r="E499" s="3">
        <f>SUMIFS(tbl_raw[Net_Profit],tbl_raw[Product_Name],A499)</f>
        <v>3444</v>
      </c>
      <c r="F499" s="2">
        <f>SUMIFS(tbl_raw[Return_Flag],tbl_raw[Product_Name],A499)</f>
        <v>0</v>
      </c>
      <c r="G499" s="3" cm="1">
        <f t="array" ref="G499">SUMPRODUCT((tbl_raw[Product_Name]=A499)*(tbl_raw[MRP]-tbl_raw[Selling_Price])*tbl_raw[Units_Sold])</f>
        <v>3732</v>
      </c>
      <c r="H499" s="83">
        <f>AVERAGEIFS(tbl_raw[Discount_Pct],tbl_raw[Product_Name],A499)</f>
        <v>0.19</v>
      </c>
    </row>
    <row r="500" spans="1:8" hidden="1" x14ac:dyDescent="0.25">
      <c r="A500" s="2" t="str">
        <v>Lamp - Model 802</v>
      </c>
      <c r="B500" s="2" t="str">
        <f>_xlfn.XLOOKUP(A500,tbl_raw[Product_Name],tbl_raw[Category])</f>
        <v>Home &amp; Kitchen</v>
      </c>
      <c r="C500" s="2">
        <f>COUNTIF(tbl_raw[Product_Name],A500)</f>
        <v>2</v>
      </c>
      <c r="D500" s="2">
        <f>SUMIFS(tbl_raw[Units_Sold],tbl_raw[Product_Name],A500)</f>
        <v>15</v>
      </c>
      <c r="E500" s="3">
        <f>SUMIFS(tbl_raw[Net_Profit],tbl_raw[Product_Name],A500)</f>
        <v>6493</v>
      </c>
      <c r="F500" s="2">
        <f>SUMIFS(tbl_raw[Return_Flag],tbl_raw[Product_Name],A500)</f>
        <v>1</v>
      </c>
      <c r="G500" s="3" cm="1">
        <f t="array" ref="G500">SUMPRODUCT((tbl_raw[Product_Name]=A500)*(tbl_raw[MRP]-tbl_raw[Selling_Price])*tbl_raw[Units_Sold])</f>
        <v>24356</v>
      </c>
      <c r="H500" s="83">
        <f>AVERAGEIFS(tbl_raw[Discount_Pct],tbl_raw[Product_Name],A500)</f>
        <v>0.375</v>
      </c>
    </row>
    <row r="501" spans="1:8" hidden="1" x14ac:dyDescent="0.25">
      <c r="A501" s="2" t="str">
        <v>Laptop - Model 531</v>
      </c>
      <c r="B501" s="2" t="str">
        <f>_xlfn.XLOOKUP(A501,tbl_raw[Product_Name],tbl_raw[Category])</f>
        <v>Electronics</v>
      </c>
      <c r="C501" s="2">
        <f>COUNTIF(tbl_raw[Product_Name],A501)</f>
        <v>1</v>
      </c>
      <c r="D501" s="2">
        <f>SUMIFS(tbl_raw[Units_Sold],tbl_raw[Product_Name],A501)</f>
        <v>5</v>
      </c>
      <c r="E501" s="3">
        <f>SUMIFS(tbl_raw[Net_Profit],tbl_raw[Product_Name],A501)</f>
        <v>865</v>
      </c>
      <c r="F501" s="2">
        <f>SUMIFS(tbl_raw[Return_Flag],tbl_raw[Product_Name],A501)</f>
        <v>0</v>
      </c>
      <c r="G501" s="3" cm="1">
        <f t="array" ref="G501">SUMPRODUCT((tbl_raw[Product_Name]=A501)*(tbl_raw[MRP]-tbl_raw[Selling_Price])*tbl_raw[Units_Sold])</f>
        <v>15135</v>
      </c>
      <c r="H501" s="83">
        <f>AVERAGEIFS(tbl_raw[Discount_Pct],tbl_raw[Product_Name],A501)</f>
        <v>0.38</v>
      </c>
    </row>
    <row r="502" spans="1:8" hidden="1" x14ac:dyDescent="0.25">
      <c r="A502" s="2" t="str">
        <v>Action Figure - Model 807</v>
      </c>
      <c r="B502" s="2" t="str">
        <f>_xlfn.XLOOKUP(A502,tbl_raw[Product_Name],tbl_raw[Category])</f>
        <v>Toys</v>
      </c>
      <c r="C502" s="2">
        <f>COUNTIF(tbl_raw[Product_Name],A502)</f>
        <v>1</v>
      </c>
      <c r="D502" s="2">
        <f>SUMIFS(tbl_raw[Units_Sold],tbl_raw[Product_Name],A502)</f>
        <v>2</v>
      </c>
      <c r="E502" s="3">
        <f>SUMIFS(tbl_raw[Net_Profit],tbl_raw[Product_Name],A502)</f>
        <v>650</v>
      </c>
      <c r="F502" s="2">
        <f>SUMIFS(tbl_raw[Return_Flag],tbl_raw[Product_Name],A502)</f>
        <v>0</v>
      </c>
      <c r="G502" s="3" cm="1">
        <f t="array" ref="G502">SUMPRODUCT((tbl_raw[Product_Name]=A502)*(tbl_raw[MRP]-tbl_raw[Selling_Price])*tbl_raw[Units_Sold])</f>
        <v>414</v>
      </c>
      <c r="H502" s="83">
        <f>AVERAGEIFS(tbl_raw[Discount_Pct],tbl_raw[Product_Name],A502)</f>
        <v>0.11</v>
      </c>
    </row>
    <row r="503" spans="1:8" hidden="1" x14ac:dyDescent="0.25">
      <c r="A503" s="2" t="str">
        <v>Yoga Mat - Model 120</v>
      </c>
      <c r="B503" s="2" t="str">
        <f>_xlfn.XLOOKUP(A503,tbl_raw[Product_Name],tbl_raw[Category])</f>
        <v>Sports</v>
      </c>
      <c r="C503" s="2">
        <f>COUNTIF(tbl_raw[Product_Name],A503)</f>
        <v>1</v>
      </c>
      <c r="D503" s="2">
        <f>SUMIFS(tbl_raw[Units_Sold],tbl_raw[Product_Name],A503)</f>
        <v>4</v>
      </c>
      <c r="E503" s="3">
        <f>SUMIFS(tbl_raw[Net_Profit],tbl_raw[Product_Name],A503)</f>
        <v>448</v>
      </c>
      <c r="F503" s="2">
        <f>SUMIFS(tbl_raw[Return_Flag],tbl_raw[Product_Name],A503)</f>
        <v>1</v>
      </c>
      <c r="G503" s="3" cm="1">
        <f t="array" ref="G503">SUMPRODUCT((tbl_raw[Product_Name]=A503)*(tbl_raw[MRP]-tbl_raw[Selling_Price])*tbl_raw[Units_Sold])</f>
        <v>3644</v>
      </c>
      <c r="H503" s="83">
        <f>AVERAGEIFS(tbl_raw[Discount_Pct],tbl_raw[Product_Name],A503)</f>
        <v>0.31</v>
      </c>
    </row>
    <row r="504" spans="1:8" hidden="1" x14ac:dyDescent="0.25">
      <c r="A504" s="2" t="str">
        <v>Pulses - Model 180</v>
      </c>
      <c r="B504" s="2" t="str">
        <f>_xlfn.XLOOKUP(A504,tbl_raw[Product_Name],tbl_raw[Category])</f>
        <v>Grocery</v>
      </c>
      <c r="C504" s="2">
        <f>COUNTIF(tbl_raw[Product_Name],A504)</f>
        <v>1</v>
      </c>
      <c r="D504" s="2">
        <f>SUMIFS(tbl_raw[Units_Sold],tbl_raw[Product_Name],A504)</f>
        <v>20</v>
      </c>
      <c r="E504" s="3">
        <f>SUMIFS(tbl_raw[Net_Profit],tbl_raw[Product_Name],A504)</f>
        <v>12020</v>
      </c>
      <c r="F504" s="2">
        <f>SUMIFS(tbl_raw[Return_Flag],tbl_raw[Product_Name],A504)</f>
        <v>0</v>
      </c>
      <c r="G504" s="3" cm="1">
        <f t="array" ref="G504">SUMPRODUCT((tbl_raw[Product_Name]=A504)*(tbl_raw[MRP]-tbl_raw[Selling_Price])*tbl_raw[Units_Sold])</f>
        <v>13640</v>
      </c>
      <c r="H504" s="83">
        <f>AVERAGEIFS(tbl_raw[Discount_Pct],tbl_raw[Product_Name],A504)</f>
        <v>0.28000000000000003</v>
      </c>
    </row>
    <row r="505" spans="1:8" hidden="1" x14ac:dyDescent="0.25">
      <c r="A505" s="2" t="str">
        <v>Kurta - Model 265</v>
      </c>
      <c r="B505" s="2" t="str">
        <f>_xlfn.XLOOKUP(A505,tbl_raw[Product_Name],tbl_raw[Category])</f>
        <v>Fashion</v>
      </c>
      <c r="C505" s="2">
        <f>COUNTIF(tbl_raw[Product_Name],A505)</f>
        <v>1</v>
      </c>
      <c r="D505" s="2">
        <f>SUMIFS(tbl_raw[Units_Sold],tbl_raw[Product_Name],A505)</f>
        <v>8</v>
      </c>
      <c r="E505" s="3">
        <f>SUMIFS(tbl_raw[Net_Profit],tbl_raw[Product_Name],A505)</f>
        <v>328</v>
      </c>
      <c r="F505" s="2">
        <f>SUMIFS(tbl_raw[Return_Flag],tbl_raw[Product_Name],A505)</f>
        <v>0</v>
      </c>
      <c r="G505" s="3" cm="1">
        <f t="array" ref="G505">SUMPRODUCT((tbl_raw[Product_Name]=A505)*(tbl_raw[MRP]-tbl_raw[Selling_Price])*tbl_raw[Units_Sold])</f>
        <v>6136</v>
      </c>
      <c r="H505" s="83">
        <f>AVERAGEIFS(tbl_raw[Discount_Pct],tbl_raw[Product_Name],A505)</f>
        <v>0.28999999999999998</v>
      </c>
    </row>
    <row r="506" spans="1:8" hidden="1" x14ac:dyDescent="0.25">
      <c r="A506" s="2" t="str">
        <v>Pulses - Model 271</v>
      </c>
      <c r="B506" s="2" t="str">
        <f>_xlfn.XLOOKUP(A506,tbl_raw[Product_Name],tbl_raw[Category])</f>
        <v>Grocery</v>
      </c>
      <c r="C506" s="2">
        <f>COUNTIF(tbl_raw[Product_Name],A506)</f>
        <v>1</v>
      </c>
      <c r="D506" s="2">
        <f>SUMIFS(tbl_raw[Units_Sold],tbl_raw[Product_Name],A506)</f>
        <v>1</v>
      </c>
      <c r="E506" s="3">
        <f>SUMIFS(tbl_raw[Net_Profit],tbl_raw[Product_Name],A506)</f>
        <v>331</v>
      </c>
      <c r="F506" s="2">
        <f>SUMIFS(tbl_raw[Return_Flag],tbl_raw[Product_Name],A506)</f>
        <v>0</v>
      </c>
      <c r="G506" s="3" cm="1">
        <f t="array" ref="G506">SUMPRODUCT((tbl_raw[Product_Name]=A506)*(tbl_raw[MRP]-tbl_raw[Selling_Price])*tbl_raw[Units_Sold])</f>
        <v>129</v>
      </c>
      <c r="H506" s="83">
        <f>AVERAGEIFS(tbl_raw[Discount_Pct],tbl_raw[Product_Name],A506)</f>
        <v>0.11</v>
      </c>
    </row>
    <row r="507" spans="1:8" hidden="1" x14ac:dyDescent="0.25">
      <c r="A507" s="2" t="str">
        <v>Spices - Model 155</v>
      </c>
      <c r="B507" s="2" t="str">
        <f>_xlfn.XLOOKUP(A507,tbl_raw[Product_Name],tbl_raw[Category])</f>
        <v>Grocery</v>
      </c>
      <c r="C507" s="2">
        <f>COUNTIF(tbl_raw[Product_Name],A507)</f>
        <v>1</v>
      </c>
      <c r="D507" s="2">
        <f>SUMIFS(tbl_raw[Units_Sold],tbl_raw[Product_Name],A507)</f>
        <v>13</v>
      </c>
      <c r="E507" s="3">
        <f>SUMIFS(tbl_raw[Net_Profit],tbl_raw[Product_Name],A507)</f>
        <v>4732</v>
      </c>
      <c r="F507" s="2">
        <f>SUMIFS(tbl_raw[Return_Flag],tbl_raw[Product_Name],A507)</f>
        <v>0</v>
      </c>
      <c r="G507" s="3" cm="1">
        <f t="array" ref="G507">SUMPRODUCT((tbl_raw[Product_Name]=A507)*(tbl_raw[MRP]-tbl_raw[Selling_Price])*tbl_raw[Units_Sold])</f>
        <v>25077</v>
      </c>
      <c r="H507" s="83">
        <f>AVERAGEIFS(tbl_raw[Discount_Pct],tbl_raw[Product_Name],A507)</f>
        <v>0.45</v>
      </c>
    </row>
    <row r="508" spans="1:8" hidden="1" x14ac:dyDescent="0.25">
      <c r="A508" s="2" t="str">
        <v>Lipstick - Model 553</v>
      </c>
      <c r="B508" s="2" t="str">
        <f>_xlfn.XLOOKUP(A508,tbl_raw[Product_Name],tbl_raw[Category])</f>
        <v>Beauty</v>
      </c>
      <c r="C508" s="2">
        <f>COUNTIF(tbl_raw[Product_Name],A508)</f>
        <v>1</v>
      </c>
      <c r="D508" s="2">
        <f>SUMIFS(tbl_raw[Units_Sold],tbl_raw[Product_Name],A508)</f>
        <v>5</v>
      </c>
      <c r="E508" s="3">
        <f>SUMIFS(tbl_raw[Net_Profit],tbl_raw[Product_Name],A508)</f>
        <v>10515</v>
      </c>
      <c r="F508" s="2">
        <f>SUMIFS(tbl_raw[Return_Flag],tbl_raw[Product_Name],A508)</f>
        <v>0</v>
      </c>
      <c r="G508" s="3" cm="1">
        <f t="array" ref="G508">SUMPRODUCT((tbl_raw[Product_Name]=A508)*(tbl_raw[MRP]-tbl_raw[Selling_Price])*tbl_raw[Units_Sold])</f>
        <v>1725</v>
      </c>
      <c r="H508" s="83">
        <f>AVERAGEIFS(tbl_raw[Discount_Pct],tbl_raw[Product_Name],A508)</f>
        <v>0.08</v>
      </c>
    </row>
    <row r="509" spans="1:8" hidden="1" x14ac:dyDescent="0.25">
      <c r="A509" s="2" t="str">
        <v>Oil - Model 814</v>
      </c>
      <c r="B509" s="2" t="str">
        <f>_xlfn.XLOOKUP(A509,tbl_raw[Product_Name],tbl_raw[Category])</f>
        <v>Grocery</v>
      </c>
      <c r="C509" s="2">
        <f>COUNTIF(tbl_raw[Product_Name],A509)</f>
        <v>1</v>
      </c>
      <c r="D509" s="2">
        <f>SUMIFS(tbl_raw[Units_Sold],tbl_raw[Product_Name],A509)</f>
        <v>6</v>
      </c>
      <c r="E509" s="3">
        <f>SUMIFS(tbl_raw[Net_Profit],tbl_raw[Product_Name],A509)</f>
        <v>2718</v>
      </c>
      <c r="F509" s="2">
        <f>SUMIFS(tbl_raw[Return_Flag],tbl_raw[Product_Name],A509)</f>
        <v>0</v>
      </c>
      <c r="G509" s="3" cm="1">
        <f t="array" ref="G509">SUMPRODUCT((tbl_raw[Product_Name]=A509)*(tbl_raw[MRP]-tbl_raw[Selling_Price])*tbl_raw[Units_Sold])</f>
        <v>6060</v>
      </c>
      <c r="H509" s="83">
        <f>AVERAGEIFS(tbl_raw[Discount_Pct],tbl_raw[Product_Name],A509)</f>
        <v>0.21</v>
      </c>
    </row>
    <row r="510" spans="1:8" hidden="1" x14ac:dyDescent="0.25">
      <c r="A510" s="2" t="str">
        <v>Spices - Model 332</v>
      </c>
      <c r="B510" s="2" t="str">
        <f>_xlfn.XLOOKUP(A510,tbl_raw[Product_Name],tbl_raw[Category])</f>
        <v>Grocery</v>
      </c>
      <c r="C510" s="2">
        <f>COUNTIF(tbl_raw[Product_Name],A510)</f>
        <v>1</v>
      </c>
      <c r="D510" s="2">
        <f>SUMIFS(tbl_raw[Units_Sold],tbl_raw[Product_Name],A510)</f>
        <v>15</v>
      </c>
      <c r="E510" s="3">
        <f>SUMIFS(tbl_raw[Net_Profit],tbl_raw[Product_Name],A510)</f>
        <v>13395</v>
      </c>
      <c r="F510" s="2">
        <f>SUMIFS(tbl_raw[Return_Flag],tbl_raw[Product_Name],A510)</f>
        <v>0</v>
      </c>
      <c r="G510" s="3" cm="1">
        <f t="array" ref="G510">SUMPRODUCT((tbl_raw[Product_Name]=A510)*(tbl_raw[MRP]-tbl_raw[Selling_Price])*tbl_raw[Units_Sold])</f>
        <v>7410</v>
      </c>
      <c r="H510" s="83">
        <f>AVERAGEIFS(tbl_raw[Discount_Pct],tbl_raw[Product_Name],A510)</f>
        <v>0.19</v>
      </c>
    </row>
    <row r="511" spans="1:8" hidden="1" x14ac:dyDescent="0.25">
      <c r="A511" s="2" t="str">
        <v>Spices - Model 108</v>
      </c>
      <c r="B511" s="2" t="str">
        <f>_xlfn.XLOOKUP(A511,tbl_raw[Product_Name],tbl_raw[Category])</f>
        <v>Grocery</v>
      </c>
      <c r="C511" s="2">
        <f>COUNTIF(tbl_raw[Product_Name],A511)</f>
        <v>1</v>
      </c>
      <c r="D511" s="2">
        <f>SUMIFS(tbl_raw[Units_Sold],tbl_raw[Product_Name],A511)</f>
        <v>16</v>
      </c>
      <c r="E511" s="3">
        <f>SUMIFS(tbl_raw[Net_Profit],tbl_raw[Product_Name],A511)</f>
        <v>-2704</v>
      </c>
      <c r="F511" s="2">
        <f>SUMIFS(tbl_raw[Return_Flag],tbl_raw[Product_Name],A511)</f>
        <v>0</v>
      </c>
      <c r="G511" s="3" cm="1">
        <f t="array" ref="G511">SUMPRODUCT((tbl_raw[Product_Name]=A511)*(tbl_raw[MRP]-tbl_raw[Selling_Price])*tbl_raw[Units_Sold])</f>
        <v>13808</v>
      </c>
      <c r="H511" s="83">
        <f>AVERAGEIFS(tbl_raw[Discount_Pct],tbl_raw[Product_Name],A511)</f>
        <v>0.34</v>
      </c>
    </row>
    <row r="512" spans="1:8" hidden="1" x14ac:dyDescent="0.25">
      <c r="A512" s="2" t="str">
        <v>Board Game - Model 267</v>
      </c>
      <c r="B512" s="2" t="str">
        <f>_xlfn.XLOOKUP(A512,tbl_raw[Product_Name],tbl_raw[Category])</f>
        <v>Toys</v>
      </c>
      <c r="C512" s="2">
        <f>COUNTIF(tbl_raw[Product_Name],A512)</f>
        <v>2</v>
      </c>
      <c r="D512" s="2">
        <f>SUMIFS(tbl_raw[Units_Sold],tbl_raw[Product_Name],A512)</f>
        <v>30</v>
      </c>
      <c r="E512" s="3">
        <f>SUMIFS(tbl_raw[Net_Profit],tbl_raw[Product_Name],A512)</f>
        <v>46037</v>
      </c>
      <c r="F512" s="2">
        <f>SUMIFS(tbl_raw[Return_Flag],tbl_raw[Product_Name],A512)</f>
        <v>0</v>
      </c>
      <c r="G512" s="3" cm="1">
        <f t="array" ref="G512">SUMPRODUCT((tbl_raw[Product_Name]=A512)*(tbl_raw[MRP]-tbl_raw[Selling_Price])*tbl_raw[Units_Sold])</f>
        <v>24937</v>
      </c>
      <c r="H512" s="83">
        <f>AVERAGEIFS(tbl_raw[Discount_Pct],tbl_raw[Product_Name],A512)</f>
        <v>0.125</v>
      </c>
    </row>
    <row r="513" spans="1:8" hidden="1" x14ac:dyDescent="0.25">
      <c r="A513" s="2" t="str">
        <v>Dumbbells - Model 292</v>
      </c>
      <c r="B513" s="2" t="str">
        <f>_xlfn.XLOOKUP(A513,tbl_raw[Product_Name],tbl_raw[Category])</f>
        <v>Sports</v>
      </c>
      <c r="C513" s="2">
        <f>COUNTIF(tbl_raw[Product_Name],A513)</f>
        <v>1</v>
      </c>
      <c r="D513" s="2">
        <f>SUMIFS(tbl_raw[Units_Sold],tbl_raw[Product_Name],A513)</f>
        <v>6</v>
      </c>
      <c r="E513" s="3">
        <f>SUMIFS(tbl_raw[Net_Profit],tbl_raw[Product_Name],A513)</f>
        <v>2382</v>
      </c>
      <c r="F513" s="2">
        <f>SUMIFS(tbl_raw[Return_Flag],tbl_raw[Product_Name],A513)</f>
        <v>0</v>
      </c>
      <c r="G513" s="3" cm="1">
        <f t="array" ref="G513">SUMPRODUCT((tbl_raw[Product_Name]=A513)*(tbl_raw[MRP]-tbl_raw[Selling_Price])*tbl_raw[Units_Sold])</f>
        <v>378</v>
      </c>
      <c r="H513" s="83">
        <f>AVERAGEIFS(tbl_raw[Discount_Pct],tbl_raw[Product_Name],A513)</f>
        <v>0.05</v>
      </c>
    </row>
    <row r="514" spans="1:8" hidden="1" x14ac:dyDescent="0.25">
      <c r="A514" s="2" t="str">
        <v>Laptop - Model 204</v>
      </c>
      <c r="B514" s="2" t="str">
        <f>_xlfn.XLOOKUP(A514,tbl_raw[Product_Name],tbl_raw[Category])</f>
        <v>Electronics</v>
      </c>
      <c r="C514" s="2">
        <f>COUNTIF(tbl_raw[Product_Name],A514)</f>
        <v>1</v>
      </c>
      <c r="D514" s="2">
        <f>SUMIFS(tbl_raw[Units_Sold],tbl_raw[Product_Name],A514)</f>
        <v>9</v>
      </c>
      <c r="E514" s="3">
        <f>SUMIFS(tbl_raw[Net_Profit],tbl_raw[Product_Name],A514)</f>
        <v>3807</v>
      </c>
      <c r="F514" s="2">
        <f>SUMIFS(tbl_raw[Return_Flag],tbl_raw[Product_Name],A514)</f>
        <v>0</v>
      </c>
      <c r="G514" s="3" cm="1">
        <f t="array" ref="G514">SUMPRODUCT((tbl_raw[Product_Name]=A514)*(tbl_raw[MRP]-tbl_raw[Selling_Price])*tbl_raw[Units_Sold])</f>
        <v>2115</v>
      </c>
      <c r="H514" s="83">
        <f>AVERAGEIFS(tbl_raw[Discount_Pct],tbl_raw[Product_Name],A514)</f>
        <v>0.2</v>
      </c>
    </row>
    <row r="515" spans="1:8" hidden="1" x14ac:dyDescent="0.25">
      <c r="A515" s="2" t="str">
        <v>Rice - Model 574</v>
      </c>
      <c r="B515" s="2" t="str">
        <f>_xlfn.XLOOKUP(A515,tbl_raw[Product_Name],tbl_raw[Category])</f>
        <v>Grocery</v>
      </c>
      <c r="C515" s="2">
        <f>COUNTIF(tbl_raw[Product_Name],A515)</f>
        <v>1</v>
      </c>
      <c r="D515" s="2">
        <f>SUMIFS(tbl_raw[Units_Sold],tbl_raw[Product_Name],A515)</f>
        <v>11</v>
      </c>
      <c r="E515" s="3">
        <f>SUMIFS(tbl_raw[Net_Profit],tbl_raw[Product_Name],A515)</f>
        <v>1122</v>
      </c>
      <c r="F515" s="2">
        <f>SUMIFS(tbl_raw[Return_Flag],tbl_raw[Product_Name],A515)</f>
        <v>0</v>
      </c>
      <c r="G515" s="3" cm="1">
        <f t="array" ref="G515">SUMPRODUCT((tbl_raw[Product_Name]=A515)*(tbl_raw[MRP]-tbl_raw[Selling_Price])*tbl_raw[Units_Sold])</f>
        <v>3091</v>
      </c>
      <c r="H515" s="83">
        <f>AVERAGEIFS(tbl_raw[Discount_Pct],tbl_raw[Product_Name],A515)</f>
        <v>0.34</v>
      </c>
    </row>
    <row r="516" spans="1:8" hidden="1" x14ac:dyDescent="0.25">
      <c r="A516" s="2" t="str">
        <v>Dumbbells - Model 948</v>
      </c>
      <c r="B516" s="2" t="str">
        <f>_xlfn.XLOOKUP(A516,tbl_raw[Product_Name],tbl_raw[Category])</f>
        <v>Sports</v>
      </c>
      <c r="C516" s="2">
        <f>COUNTIF(tbl_raw[Product_Name],A516)</f>
        <v>1</v>
      </c>
      <c r="D516" s="2">
        <f>SUMIFS(tbl_raw[Units_Sold],tbl_raw[Product_Name],A516)</f>
        <v>4</v>
      </c>
      <c r="E516" s="3">
        <f>SUMIFS(tbl_raw[Net_Profit],tbl_raw[Product_Name],A516)</f>
        <v>3828</v>
      </c>
      <c r="F516" s="2">
        <f>SUMIFS(tbl_raw[Return_Flag],tbl_raw[Product_Name],A516)</f>
        <v>0</v>
      </c>
      <c r="G516" s="3" cm="1">
        <f t="array" ref="G516">SUMPRODUCT((tbl_raw[Product_Name]=A516)*(tbl_raw[MRP]-tbl_raw[Selling_Price])*tbl_raw[Units_Sold])</f>
        <v>9988</v>
      </c>
      <c r="H516" s="83">
        <f>AVERAGEIFS(tbl_raw[Discount_Pct],tbl_raw[Product_Name],A516)</f>
        <v>0.32</v>
      </c>
    </row>
    <row r="517" spans="1:8" hidden="1" x14ac:dyDescent="0.25">
      <c r="A517" s="2" t="str">
        <v>Jacket - Model 781</v>
      </c>
      <c r="B517" s="2" t="str">
        <f>_xlfn.XLOOKUP(A517,tbl_raw[Product_Name],tbl_raw[Category])</f>
        <v>Fashion</v>
      </c>
      <c r="C517" s="2">
        <f>COUNTIF(tbl_raw[Product_Name],A517)</f>
        <v>1</v>
      </c>
      <c r="D517" s="2">
        <f>SUMIFS(tbl_raw[Units_Sold],tbl_raw[Product_Name],A517)</f>
        <v>16</v>
      </c>
      <c r="E517" s="3">
        <f>SUMIFS(tbl_raw[Net_Profit],tbl_raw[Product_Name],A517)</f>
        <v>-9024</v>
      </c>
      <c r="F517" s="2">
        <f>SUMIFS(tbl_raw[Return_Flag],tbl_raw[Product_Name],A517)</f>
        <v>0</v>
      </c>
      <c r="G517" s="3" cm="1">
        <f t="array" ref="G517">SUMPRODUCT((tbl_raw[Product_Name]=A517)*(tbl_raw[MRP]-tbl_raw[Selling_Price])*tbl_raw[Units_Sold])</f>
        <v>22256</v>
      </c>
      <c r="H517" s="83">
        <f>AVERAGEIFS(tbl_raw[Discount_Pct],tbl_raw[Product_Name],A517)</f>
        <v>0.43</v>
      </c>
    </row>
    <row r="518" spans="1:8" hidden="1" x14ac:dyDescent="0.25">
      <c r="A518" s="2" t="str">
        <v>Rice - Model 303</v>
      </c>
      <c r="B518" s="2" t="str">
        <f>_xlfn.XLOOKUP(A518,tbl_raw[Product_Name],tbl_raw[Category])</f>
        <v>Grocery</v>
      </c>
      <c r="C518" s="2">
        <f>COUNTIF(tbl_raw[Product_Name],A518)</f>
        <v>1</v>
      </c>
      <c r="D518" s="2">
        <f>SUMIFS(tbl_raw[Units_Sold],tbl_raw[Product_Name],A518)</f>
        <v>2</v>
      </c>
      <c r="E518" s="3">
        <f>SUMIFS(tbl_raw[Net_Profit],tbl_raw[Product_Name],A518)</f>
        <v>6138</v>
      </c>
      <c r="F518" s="2">
        <f>SUMIFS(tbl_raw[Return_Flag],tbl_raw[Product_Name],A518)</f>
        <v>1</v>
      </c>
      <c r="G518" s="3" cm="1">
        <f t="array" ref="G518">SUMPRODUCT((tbl_raw[Product_Name]=A518)*(tbl_raw[MRP]-tbl_raw[Selling_Price])*tbl_raw[Units_Sold])</f>
        <v>1388</v>
      </c>
      <c r="H518" s="83">
        <f>AVERAGEIFS(tbl_raw[Discount_Pct],tbl_raw[Product_Name],A518)</f>
        <v>0.1</v>
      </c>
    </row>
    <row r="519" spans="1:8" hidden="1" x14ac:dyDescent="0.25">
      <c r="A519" s="2" t="str">
        <v>Board Game - Model 109</v>
      </c>
      <c r="B519" s="2" t="str">
        <f>_xlfn.XLOOKUP(A519,tbl_raw[Product_Name],tbl_raw[Category])</f>
        <v>Toys</v>
      </c>
      <c r="C519" s="2">
        <f>COUNTIF(tbl_raw[Product_Name],A519)</f>
        <v>1</v>
      </c>
      <c r="D519" s="2">
        <f>SUMIFS(tbl_raw[Units_Sold],tbl_raw[Product_Name],A519)</f>
        <v>19</v>
      </c>
      <c r="E519" s="3">
        <f>SUMIFS(tbl_raw[Net_Profit],tbl_raw[Product_Name],A519)</f>
        <v>20121</v>
      </c>
      <c r="F519" s="2">
        <f>SUMIFS(tbl_raw[Return_Flag],tbl_raw[Product_Name],A519)</f>
        <v>0</v>
      </c>
      <c r="G519" s="3" cm="1">
        <f t="array" ref="G519">SUMPRODUCT((tbl_raw[Product_Name]=A519)*(tbl_raw[MRP]-tbl_raw[Selling_Price])*tbl_raw[Units_Sold])</f>
        <v>25175</v>
      </c>
      <c r="H519" s="83">
        <f>AVERAGEIFS(tbl_raw[Discount_Pct],tbl_raw[Product_Name],A519)</f>
        <v>0.21</v>
      </c>
    </row>
    <row r="520" spans="1:8" hidden="1" x14ac:dyDescent="0.25">
      <c r="A520" s="2" t="str">
        <v>Fiction - Model 161</v>
      </c>
      <c r="B520" s="2" t="str">
        <f>_xlfn.XLOOKUP(A520,tbl_raw[Product_Name],tbl_raw[Category])</f>
        <v>Books</v>
      </c>
      <c r="C520" s="2">
        <f>COUNTIF(tbl_raw[Product_Name],A520)</f>
        <v>1</v>
      </c>
      <c r="D520" s="2">
        <f>SUMIFS(tbl_raw[Units_Sold],tbl_raw[Product_Name],A520)</f>
        <v>5</v>
      </c>
      <c r="E520" s="3">
        <f>SUMIFS(tbl_raw[Net_Profit],tbl_raw[Product_Name],A520)</f>
        <v>5230</v>
      </c>
      <c r="F520" s="2">
        <f>SUMIFS(tbl_raw[Return_Flag],tbl_raw[Product_Name],A520)</f>
        <v>1</v>
      </c>
      <c r="G520" s="3" cm="1">
        <f t="array" ref="G520">SUMPRODUCT((tbl_raw[Product_Name]=A520)*(tbl_raw[MRP]-tbl_raw[Selling_Price])*tbl_raw[Units_Sold])</f>
        <v>10205</v>
      </c>
      <c r="H520" s="83">
        <f>AVERAGEIFS(tbl_raw[Discount_Pct],tbl_raw[Product_Name],A520)</f>
        <v>0.36</v>
      </c>
    </row>
    <row r="521" spans="1:8" hidden="1" x14ac:dyDescent="0.25">
      <c r="A521" s="2" t="str">
        <v>Moisturizer - Model 805</v>
      </c>
      <c r="B521" s="2" t="str">
        <f>_xlfn.XLOOKUP(A521,tbl_raw[Product_Name],tbl_raw[Category])</f>
        <v>Beauty</v>
      </c>
      <c r="C521" s="2">
        <f>COUNTIF(tbl_raw[Product_Name],A521)</f>
        <v>1</v>
      </c>
      <c r="D521" s="2">
        <f>SUMIFS(tbl_raw[Units_Sold],tbl_raw[Product_Name],A521)</f>
        <v>12</v>
      </c>
      <c r="E521" s="3">
        <f>SUMIFS(tbl_raw[Net_Profit],tbl_raw[Product_Name],A521)</f>
        <v>31788</v>
      </c>
      <c r="F521" s="2">
        <f>SUMIFS(tbl_raw[Return_Flag],tbl_raw[Product_Name],A521)</f>
        <v>0</v>
      </c>
      <c r="G521" s="3" cm="1">
        <f t="array" ref="G521">SUMPRODUCT((tbl_raw[Product_Name]=A521)*(tbl_raw[MRP]-tbl_raw[Selling_Price])*tbl_raw[Units_Sold])</f>
        <v>7728</v>
      </c>
      <c r="H521" s="83">
        <f>AVERAGEIFS(tbl_raw[Discount_Pct],tbl_raw[Product_Name],A521)</f>
        <v>0.11</v>
      </c>
    </row>
    <row r="522" spans="1:8" hidden="1" x14ac:dyDescent="0.25">
      <c r="A522" s="2" t="str">
        <v>Lamp - Model 456</v>
      </c>
      <c r="B522" s="2" t="str">
        <f>_xlfn.XLOOKUP(A522,tbl_raw[Product_Name],tbl_raw[Category])</f>
        <v>Home &amp; Kitchen</v>
      </c>
      <c r="C522" s="2">
        <f>COUNTIF(tbl_raw[Product_Name],A522)</f>
        <v>1</v>
      </c>
      <c r="D522" s="2">
        <f>SUMIFS(tbl_raw[Units_Sold],tbl_raw[Product_Name],A522)</f>
        <v>15</v>
      </c>
      <c r="E522" s="3">
        <f>SUMIFS(tbl_raw[Net_Profit],tbl_raw[Product_Name],A522)</f>
        <v>-4875</v>
      </c>
      <c r="F522" s="2">
        <f>SUMIFS(tbl_raw[Return_Flag],tbl_raw[Product_Name],A522)</f>
        <v>0</v>
      </c>
      <c r="G522" s="3" cm="1">
        <f t="array" ref="G522">SUMPRODUCT((tbl_raw[Product_Name]=A522)*(tbl_raw[MRP]-tbl_raw[Selling_Price])*tbl_raw[Units_Sold])</f>
        <v>13035</v>
      </c>
      <c r="H522" s="83">
        <f>AVERAGEIFS(tbl_raw[Discount_Pct],tbl_raw[Product_Name],A522)</f>
        <v>0.37</v>
      </c>
    </row>
    <row r="523" spans="1:8" hidden="1" x14ac:dyDescent="0.25">
      <c r="A523" s="2" t="str">
        <v>Children - Model 100</v>
      </c>
      <c r="B523" s="2" t="str">
        <f>_xlfn.XLOOKUP(A523,tbl_raw[Product_Name],tbl_raw[Category])</f>
        <v>Books</v>
      </c>
      <c r="C523" s="2">
        <f>COUNTIF(tbl_raw[Product_Name],A523)</f>
        <v>1</v>
      </c>
      <c r="D523" s="2">
        <f>SUMIFS(tbl_raw[Units_Sold],tbl_raw[Product_Name],A523)</f>
        <v>13</v>
      </c>
      <c r="E523" s="3">
        <f>SUMIFS(tbl_raw[Net_Profit],tbl_raw[Product_Name],A523)</f>
        <v>-2405</v>
      </c>
      <c r="F523" s="2">
        <f>SUMIFS(tbl_raw[Return_Flag],tbl_raw[Product_Name],A523)</f>
        <v>0</v>
      </c>
      <c r="G523" s="3" cm="1">
        <f t="array" ref="G523">SUMPRODUCT((tbl_raw[Product_Name]=A523)*(tbl_raw[MRP]-tbl_raw[Selling_Price])*tbl_raw[Units_Sold])</f>
        <v>30797</v>
      </c>
      <c r="H523" s="83">
        <f>AVERAGEIFS(tbl_raw[Discount_Pct],tbl_raw[Product_Name],A523)</f>
        <v>0.4</v>
      </c>
    </row>
    <row r="524" spans="1:8" hidden="1" x14ac:dyDescent="0.25">
      <c r="A524" s="2" t="str">
        <v>Board Game - Model 636</v>
      </c>
      <c r="B524" s="2" t="str">
        <f>_xlfn.XLOOKUP(A524,tbl_raw[Product_Name],tbl_raw[Category])</f>
        <v>Toys</v>
      </c>
      <c r="C524" s="2">
        <f>COUNTIF(tbl_raw[Product_Name],A524)</f>
        <v>1</v>
      </c>
      <c r="D524" s="2">
        <f>SUMIFS(tbl_raw[Units_Sold],tbl_raw[Product_Name],A524)</f>
        <v>18</v>
      </c>
      <c r="E524" s="3">
        <f>SUMIFS(tbl_raw[Net_Profit],tbl_raw[Product_Name],A524)</f>
        <v>6840</v>
      </c>
      <c r="F524" s="2">
        <f>SUMIFS(tbl_raw[Return_Flag],tbl_raw[Product_Name],A524)</f>
        <v>0</v>
      </c>
      <c r="G524" s="3" cm="1">
        <f t="array" ref="G524">SUMPRODUCT((tbl_raw[Product_Name]=A524)*(tbl_raw[MRP]-tbl_raw[Selling_Price])*tbl_raw[Units_Sold])</f>
        <v>3276</v>
      </c>
      <c r="H524" s="83">
        <f>AVERAGEIFS(tbl_raw[Discount_Pct],tbl_raw[Product_Name],A524)</f>
        <v>0.13</v>
      </c>
    </row>
    <row r="525" spans="1:8" hidden="1" x14ac:dyDescent="0.25">
      <c r="A525" s="2" t="str">
        <v>Laptop - Model 209</v>
      </c>
      <c r="B525" s="2" t="str">
        <f>_xlfn.XLOOKUP(A525,tbl_raw[Product_Name],tbl_raw[Category])</f>
        <v>Electronics</v>
      </c>
      <c r="C525" s="2">
        <f>COUNTIF(tbl_raw[Product_Name],A525)</f>
        <v>1</v>
      </c>
      <c r="D525" s="2">
        <f>SUMIFS(tbl_raw[Units_Sold],tbl_raw[Product_Name],A525)</f>
        <v>7</v>
      </c>
      <c r="E525" s="3">
        <f>SUMIFS(tbl_raw[Net_Profit],tbl_raw[Product_Name],A525)</f>
        <v>-581</v>
      </c>
      <c r="F525" s="2">
        <f>SUMIFS(tbl_raw[Return_Flag],tbl_raw[Product_Name],A525)</f>
        <v>0</v>
      </c>
      <c r="G525" s="3" cm="1">
        <f t="array" ref="G525">SUMPRODUCT((tbl_raw[Product_Name]=A525)*(tbl_raw[MRP]-tbl_raw[Selling_Price])*tbl_raw[Units_Sold])</f>
        <v>1764</v>
      </c>
      <c r="H525" s="83">
        <f>AVERAGEIFS(tbl_raw[Discount_Pct],tbl_raw[Product_Name],A525)</f>
        <v>0.26</v>
      </c>
    </row>
    <row r="526" spans="1:8" hidden="1" x14ac:dyDescent="0.25">
      <c r="A526" s="2" t="str">
        <v>Sunscreen - Model 835</v>
      </c>
      <c r="B526" s="2" t="str">
        <f>_xlfn.XLOOKUP(A526,tbl_raw[Product_Name],tbl_raw[Category])</f>
        <v>Beauty</v>
      </c>
      <c r="C526" s="2">
        <f>COUNTIF(tbl_raw[Product_Name],A526)</f>
        <v>1</v>
      </c>
      <c r="D526" s="2">
        <f>SUMIFS(tbl_raw[Units_Sold],tbl_raw[Product_Name],A526)</f>
        <v>1</v>
      </c>
      <c r="E526" s="3">
        <f>SUMIFS(tbl_raw[Net_Profit],tbl_raw[Product_Name],A526)</f>
        <v>2357</v>
      </c>
      <c r="F526" s="2">
        <f>SUMIFS(tbl_raw[Return_Flag],tbl_raw[Product_Name],A526)</f>
        <v>0</v>
      </c>
      <c r="G526" s="3" cm="1">
        <f t="array" ref="G526">SUMPRODUCT((tbl_raw[Product_Name]=A526)*(tbl_raw[MRP]-tbl_raw[Selling_Price])*tbl_raw[Units_Sold])</f>
        <v>671</v>
      </c>
      <c r="H526" s="83">
        <f>AVERAGEIFS(tbl_raw[Discount_Pct],tbl_raw[Product_Name],A526)</f>
        <v>0.09</v>
      </c>
    </row>
    <row r="527" spans="1:8" hidden="1" x14ac:dyDescent="0.25">
      <c r="A527" s="2" t="str">
        <v>Puzzle - Model 913</v>
      </c>
      <c r="B527" s="2" t="str">
        <f>_xlfn.XLOOKUP(A527,tbl_raw[Product_Name],tbl_raw[Category])</f>
        <v>Toys</v>
      </c>
      <c r="C527" s="2">
        <f>COUNTIF(tbl_raw[Product_Name],A527)</f>
        <v>1</v>
      </c>
      <c r="D527" s="2">
        <f>SUMIFS(tbl_raw[Units_Sold],tbl_raw[Product_Name],A527)</f>
        <v>20</v>
      </c>
      <c r="E527" s="3">
        <f>SUMIFS(tbl_raw[Net_Profit],tbl_raw[Product_Name],A527)</f>
        <v>23740</v>
      </c>
      <c r="F527" s="2">
        <f>SUMIFS(tbl_raw[Return_Flag],tbl_raw[Product_Name],A527)</f>
        <v>0</v>
      </c>
      <c r="G527" s="3" cm="1">
        <f t="array" ref="G527">SUMPRODUCT((tbl_raw[Product_Name]=A527)*(tbl_raw[MRP]-tbl_raw[Selling_Price])*tbl_raw[Units_Sold])</f>
        <v>900</v>
      </c>
      <c r="H527" s="83">
        <f>AVERAGEIFS(tbl_raw[Discount_Pct],tbl_raw[Product_Name],A527)</f>
        <v>0.02</v>
      </c>
    </row>
    <row r="528" spans="1:8" hidden="1" x14ac:dyDescent="0.25">
      <c r="A528" s="2" t="str">
        <v>Board Game - Model 297</v>
      </c>
      <c r="B528" s="2" t="str">
        <f>_xlfn.XLOOKUP(A528,tbl_raw[Product_Name],tbl_raw[Category])</f>
        <v>Toys</v>
      </c>
      <c r="C528" s="2">
        <f>COUNTIF(tbl_raw[Product_Name],A528)</f>
        <v>1</v>
      </c>
      <c r="D528" s="2">
        <f>SUMIFS(tbl_raw[Units_Sold],tbl_raw[Product_Name],A528)</f>
        <v>8</v>
      </c>
      <c r="E528" s="3">
        <f>SUMIFS(tbl_raw[Net_Profit],tbl_raw[Product_Name],A528)</f>
        <v>-1856</v>
      </c>
      <c r="F528" s="2">
        <f>SUMIFS(tbl_raw[Return_Flag],tbl_raw[Product_Name],A528)</f>
        <v>0</v>
      </c>
      <c r="G528" s="3" cm="1">
        <f t="array" ref="G528">SUMPRODUCT((tbl_raw[Product_Name]=A528)*(tbl_raw[MRP]-tbl_raw[Selling_Price])*tbl_raw[Units_Sold])</f>
        <v>15984</v>
      </c>
      <c r="H528" s="83">
        <f>AVERAGEIFS(tbl_raw[Discount_Pct],tbl_raw[Product_Name],A528)</f>
        <v>0.43</v>
      </c>
    </row>
    <row r="529" spans="1:8" hidden="1" x14ac:dyDescent="0.25">
      <c r="A529" s="2" t="str">
        <v>Action Figure - Model 270</v>
      </c>
      <c r="B529" s="2" t="str">
        <f>_xlfn.XLOOKUP(A529,tbl_raw[Product_Name],tbl_raw[Category])</f>
        <v>Toys</v>
      </c>
      <c r="C529" s="2">
        <f>COUNTIF(tbl_raw[Product_Name],A529)</f>
        <v>1</v>
      </c>
      <c r="D529" s="2">
        <f>SUMIFS(tbl_raw[Units_Sold],tbl_raw[Product_Name],A529)</f>
        <v>18</v>
      </c>
      <c r="E529" s="3">
        <f>SUMIFS(tbl_raw[Net_Profit],tbl_raw[Product_Name],A529)</f>
        <v>20430</v>
      </c>
      <c r="F529" s="2">
        <f>SUMIFS(tbl_raw[Return_Flag],tbl_raw[Product_Name],A529)</f>
        <v>0</v>
      </c>
      <c r="G529" s="3" cm="1">
        <f t="array" ref="G529">SUMPRODUCT((tbl_raw[Product_Name]=A529)*(tbl_raw[MRP]-tbl_raw[Selling_Price])*tbl_raw[Units_Sold])</f>
        <v>9000</v>
      </c>
      <c r="H529" s="83">
        <f>AVERAGEIFS(tbl_raw[Discount_Pct],tbl_raw[Product_Name],A529)</f>
        <v>0.15</v>
      </c>
    </row>
    <row r="530" spans="1:8" hidden="1" x14ac:dyDescent="0.25">
      <c r="A530" s="2" t="str">
        <v>Children - Model 882</v>
      </c>
      <c r="B530" s="2" t="str">
        <f>_xlfn.XLOOKUP(A530,tbl_raw[Product_Name],tbl_raw[Category])</f>
        <v>Books</v>
      </c>
      <c r="C530" s="2">
        <f>COUNTIF(tbl_raw[Product_Name],A530)</f>
        <v>1</v>
      </c>
      <c r="D530" s="2">
        <f>SUMIFS(tbl_raw[Units_Sold],tbl_raw[Product_Name],A530)</f>
        <v>11</v>
      </c>
      <c r="E530" s="3">
        <f>SUMIFS(tbl_raw[Net_Profit],tbl_raw[Product_Name],A530)</f>
        <v>13376</v>
      </c>
      <c r="F530" s="2">
        <f>SUMIFS(tbl_raw[Return_Flag],tbl_raw[Product_Name],A530)</f>
        <v>0</v>
      </c>
      <c r="G530" s="3" cm="1">
        <f t="array" ref="G530">SUMPRODUCT((tbl_raw[Product_Name]=A530)*(tbl_raw[MRP]-tbl_raw[Selling_Price])*tbl_raw[Units_Sold])</f>
        <v>13596</v>
      </c>
      <c r="H530" s="83">
        <f>AVERAGEIFS(tbl_raw[Discount_Pct],tbl_raw[Product_Name],A530)</f>
        <v>0.25</v>
      </c>
    </row>
    <row r="531" spans="1:8" hidden="1" x14ac:dyDescent="0.25">
      <c r="A531" s="2" t="str">
        <v>Headphones - Model 710</v>
      </c>
      <c r="B531" s="2" t="str">
        <f>_xlfn.XLOOKUP(A531,tbl_raw[Product_Name],tbl_raw[Category])</f>
        <v>Electronics</v>
      </c>
      <c r="C531" s="2">
        <f>COUNTIF(tbl_raw[Product_Name],A531)</f>
        <v>1</v>
      </c>
      <c r="D531" s="2">
        <f>SUMIFS(tbl_raw[Units_Sold],tbl_raw[Product_Name],A531)</f>
        <v>17</v>
      </c>
      <c r="E531" s="3">
        <f>SUMIFS(tbl_raw[Net_Profit],tbl_raw[Product_Name],A531)</f>
        <v>1190</v>
      </c>
      <c r="F531" s="2">
        <f>SUMIFS(tbl_raw[Return_Flag],tbl_raw[Product_Name],A531)</f>
        <v>0</v>
      </c>
      <c r="G531" s="3" cm="1">
        <f t="array" ref="G531">SUMPRODUCT((tbl_raw[Product_Name]=A531)*(tbl_raw[MRP]-tbl_raw[Selling_Price])*tbl_raw[Units_Sold])</f>
        <v>8534</v>
      </c>
      <c r="H531" s="83">
        <f>AVERAGEIFS(tbl_raw[Discount_Pct],tbl_raw[Product_Name],A531)</f>
        <v>0.4</v>
      </c>
    </row>
    <row r="532" spans="1:8" hidden="1" x14ac:dyDescent="0.25">
      <c r="A532" s="2" t="str">
        <v>Cycle - Model 623</v>
      </c>
      <c r="B532" s="2" t="str">
        <f>_xlfn.XLOOKUP(A532,tbl_raw[Product_Name],tbl_raw[Category])</f>
        <v>Sports</v>
      </c>
      <c r="C532" s="2">
        <f>COUNTIF(tbl_raw[Product_Name],A532)</f>
        <v>1</v>
      </c>
      <c r="D532" s="2">
        <f>SUMIFS(tbl_raw[Units_Sold],tbl_raw[Product_Name],A532)</f>
        <v>19</v>
      </c>
      <c r="E532" s="3">
        <f>SUMIFS(tbl_raw[Net_Profit],tbl_raw[Product_Name],A532)</f>
        <v>71288</v>
      </c>
      <c r="F532" s="2">
        <f>SUMIFS(tbl_raw[Return_Flag],tbl_raw[Product_Name],A532)</f>
        <v>0</v>
      </c>
      <c r="G532" s="3" cm="1">
        <f t="array" ref="G532">SUMPRODUCT((tbl_raw[Product_Name]=A532)*(tbl_raw[MRP]-tbl_raw[Selling_Price])*tbl_raw[Units_Sold])</f>
        <v>9880</v>
      </c>
      <c r="H532" s="83">
        <f>AVERAGEIFS(tbl_raw[Discount_Pct],tbl_raw[Product_Name],A532)</f>
        <v>7.0000000000000007E-2</v>
      </c>
    </row>
    <row r="533" spans="1:8" hidden="1" x14ac:dyDescent="0.25">
      <c r="A533" s="2" t="str">
        <v>Yoga Mat - Model 194</v>
      </c>
      <c r="B533" s="2" t="str">
        <f>_xlfn.XLOOKUP(A533,tbl_raw[Product_Name],tbl_raw[Category])</f>
        <v>Sports</v>
      </c>
      <c r="C533" s="2">
        <f>COUNTIF(tbl_raw[Product_Name],A533)</f>
        <v>1</v>
      </c>
      <c r="D533" s="2">
        <f>SUMIFS(tbl_raw[Units_Sold],tbl_raw[Product_Name],A533)</f>
        <v>13</v>
      </c>
      <c r="E533" s="3">
        <f>SUMIFS(tbl_raw[Net_Profit],tbl_raw[Product_Name],A533)</f>
        <v>27495</v>
      </c>
      <c r="F533" s="2">
        <f>SUMIFS(tbl_raw[Return_Flag],tbl_raw[Product_Name],A533)</f>
        <v>1</v>
      </c>
      <c r="G533" s="3" cm="1">
        <f t="array" ref="G533">SUMPRODUCT((tbl_raw[Product_Name]=A533)*(tbl_raw[MRP]-tbl_raw[Selling_Price])*tbl_raw[Units_Sold])</f>
        <v>6032</v>
      </c>
      <c r="H533" s="83">
        <f>AVERAGEIFS(tbl_raw[Discount_Pct],tbl_raw[Product_Name],A533)</f>
        <v>0.1</v>
      </c>
    </row>
    <row r="534" spans="1:8" hidden="1" x14ac:dyDescent="0.25">
      <c r="A534" s="2" t="str">
        <v>Jacket - Model 757</v>
      </c>
      <c r="B534" s="2" t="str">
        <f>_xlfn.XLOOKUP(A534,tbl_raw[Product_Name],tbl_raw[Category])</f>
        <v>Fashion</v>
      </c>
      <c r="C534" s="2">
        <f>COUNTIF(tbl_raw[Product_Name],A534)</f>
        <v>1</v>
      </c>
      <c r="D534" s="2">
        <f>SUMIFS(tbl_raw[Units_Sold],tbl_raw[Product_Name],A534)</f>
        <v>2</v>
      </c>
      <c r="E534" s="3">
        <f>SUMIFS(tbl_raw[Net_Profit],tbl_raw[Product_Name],A534)</f>
        <v>3612</v>
      </c>
      <c r="F534" s="2">
        <f>SUMIFS(tbl_raw[Return_Flag],tbl_raw[Product_Name],A534)</f>
        <v>1</v>
      </c>
      <c r="G534" s="3" cm="1">
        <f t="array" ref="G534">SUMPRODUCT((tbl_raw[Product_Name]=A534)*(tbl_raw[MRP]-tbl_raw[Selling_Price])*tbl_raw[Units_Sold])</f>
        <v>3068</v>
      </c>
      <c r="H534" s="83">
        <f>AVERAGEIFS(tbl_raw[Discount_Pct],tbl_raw[Product_Name],A534)</f>
        <v>0.26</v>
      </c>
    </row>
    <row r="535" spans="1:8" hidden="1" x14ac:dyDescent="0.25">
      <c r="A535" s="2" t="str">
        <v>Jeans - Model 865</v>
      </c>
      <c r="B535" s="2" t="str">
        <f>_xlfn.XLOOKUP(A535,tbl_raw[Product_Name],tbl_raw[Category])</f>
        <v>Fashion</v>
      </c>
      <c r="C535" s="2">
        <f>COUNTIF(tbl_raw[Product_Name],A535)</f>
        <v>1</v>
      </c>
      <c r="D535" s="2">
        <f>SUMIFS(tbl_raw[Units_Sold],tbl_raw[Product_Name],A535)</f>
        <v>1</v>
      </c>
      <c r="E535" s="3">
        <f>SUMIFS(tbl_raw[Net_Profit],tbl_raw[Product_Name],A535)</f>
        <v>1440</v>
      </c>
      <c r="F535" s="2">
        <f>SUMIFS(tbl_raw[Return_Flag],tbl_raw[Product_Name],A535)</f>
        <v>0</v>
      </c>
      <c r="G535" s="3" cm="1">
        <f t="array" ref="G535">SUMPRODUCT((tbl_raw[Product_Name]=A535)*(tbl_raw[MRP]-tbl_raw[Selling_Price])*tbl_raw[Units_Sold])</f>
        <v>1440</v>
      </c>
      <c r="H535" s="83">
        <f>AVERAGEIFS(tbl_raw[Discount_Pct],tbl_raw[Product_Name],A535)</f>
        <v>0.28000000000000003</v>
      </c>
    </row>
    <row r="536" spans="1:8" hidden="1" x14ac:dyDescent="0.25">
      <c r="A536" s="2" t="str">
        <v>Serum - Model 151</v>
      </c>
      <c r="B536" s="2" t="str">
        <f>_xlfn.XLOOKUP(A536,tbl_raw[Product_Name],tbl_raw[Category])</f>
        <v>Beauty</v>
      </c>
      <c r="C536" s="2">
        <f>COUNTIF(tbl_raw[Product_Name],A536)</f>
        <v>1</v>
      </c>
      <c r="D536" s="2">
        <f>SUMIFS(tbl_raw[Units_Sold],tbl_raw[Product_Name],A536)</f>
        <v>15</v>
      </c>
      <c r="E536" s="3">
        <f>SUMIFS(tbl_raw[Net_Profit],tbl_raw[Product_Name],A536)</f>
        <v>26670</v>
      </c>
      <c r="F536" s="2">
        <f>SUMIFS(tbl_raw[Return_Flag],tbl_raw[Product_Name],A536)</f>
        <v>0</v>
      </c>
      <c r="G536" s="3" cm="1">
        <f t="array" ref="G536">SUMPRODUCT((tbl_raw[Product_Name]=A536)*(tbl_raw[MRP]-tbl_raw[Selling_Price])*tbl_raw[Units_Sold])</f>
        <v>23685</v>
      </c>
      <c r="H536" s="83">
        <f>AVERAGEIFS(tbl_raw[Discount_Pct],tbl_raw[Product_Name],A536)</f>
        <v>0.26</v>
      </c>
    </row>
    <row r="537" spans="1:8" hidden="1" x14ac:dyDescent="0.25">
      <c r="A537" s="2" t="str">
        <v>Tablet - Model 508</v>
      </c>
      <c r="B537" s="2" t="str">
        <f>_xlfn.XLOOKUP(A537,tbl_raw[Product_Name],tbl_raw[Category])</f>
        <v>Electronics</v>
      </c>
      <c r="C537" s="2">
        <f>COUNTIF(tbl_raw[Product_Name],A537)</f>
        <v>2</v>
      </c>
      <c r="D537" s="2">
        <f>SUMIFS(tbl_raw[Units_Sold],tbl_raw[Product_Name],A537)</f>
        <v>13</v>
      </c>
      <c r="E537" s="3">
        <f>SUMIFS(tbl_raw[Net_Profit],tbl_raw[Product_Name],A537)</f>
        <v>9813</v>
      </c>
      <c r="F537" s="2">
        <f>SUMIFS(tbl_raw[Return_Flag],tbl_raw[Product_Name],A537)</f>
        <v>0</v>
      </c>
      <c r="G537" s="3" cm="1">
        <f t="array" ref="G537">SUMPRODUCT((tbl_raw[Product_Name]=A537)*(tbl_raw[MRP]-tbl_raw[Selling_Price])*tbl_raw[Units_Sold])</f>
        <v>6176</v>
      </c>
      <c r="H537" s="83">
        <f>AVERAGEIFS(tbl_raw[Discount_Pct],tbl_raw[Product_Name],A537)</f>
        <v>0.19</v>
      </c>
    </row>
    <row r="538" spans="1:8" hidden="1" x14ac:dyDescent="0.25">
      <c r="A538" s="2" t="str">
        <v>Sunscreen - Model 730</v>
      </c>
      <c r="B538" s="2" t="str">
        <f>_xlfn.XLOOKUP(A538,tbl_raw[Product_Name],tbl_raw[Category])</f>
        <v>Beauty</v>
      </c>
      <c r="C538" s="2">
        <f>COUNTIF(tbl_raw[Product_Name],A538)</f>
        <v>1</v>
      </c>
      <c r="D538" s="2">
        <f>SUMIFS(tbl_raw[Units_Sold],tbl_raw[Product_Name],A538)</f>
        <v>8</v>
      </c>
      <c r="E538" s="3">
        <f>SUMIFS(tbl_raw[Net_Profit],tbl_raw[Product_Name],A538)</f>
        <v>4440</v>
      </c>
      <c r="F538" s="2">
        <f>SUMIFS(tbl_raw[Return_Flag],tbl_raw[Product_Name],A538)</f>
        <v>0</v>
      </c>
      <c r="G538" s="3" cm="1">
        <f t="array" ref="G538">SUMPRODUCT((tbl_raw[Product_Name]=A538)*(tbl_raw[MRP]-tbl_raw[Selling_Price])*tbl_raw[Units_Sold])</f>
        <v>2008</v>
      </c>
      <c r="H538" s="83">
        <f>AVERAGEIFS(tbl_raw[Discount_Pct],tbl_raw[Product_Name],A538)</f>
        <v>0.12</v>
      </c>
    </row>
    <row r="539" spans="1:8" hidden="1" x14ac:dyDescent="0.25">
      <c r="A539" s="2" t="str">
        <v>Self-Help - Model 428</v>
      </c>
      <c r="B539" s="2" t="str">
        <f>_xlfn.XLOOKUP(A539,tbl_raw[Product_Name],tbl_raw[Category])</f>
        <v>Books</v>
      </c>
      <c r="C539" s="2">
        <f>COUNTIF(tbl_raw[Product_Name],A539)</f>
        <v>1</v>
      </c>
      <c r="D539" s="2">
        <f>SUMIFS(tbl_raw[Units_Sold],tbl_raw[Product_Name],A539)</f>
        <v>20</v>
      </c>
      <c r="E539" s="3">
        <f>SUMIFS(tbl_raw[Net_Profit],tbl_raw[Product_Name],A539)</f>
        <v>18640</v>
      </c>
      <c r="F539" s="2">
        <f>SUMIFS(tbl_raw[Return_Flag],tbl_raw[Product_Name],A539)</f>
        <v>0</v>
      </c>
      <c r="G539" s="3" cm="1">
        <f t="array" ref="G539">SUMPRODUCT((tbl_raw[Product_Name]=A539)*(tbl_raw[MRP]-tbl_raw[Selling_Price])*tbl_raw[Units_Sold])</f>
        <v>37180</v>
      </c>
      <c r="H539" s="83">
        <f>AVERAGEIFS(tbl_raw[Discount_Pct],tbl_raw[Product_Name],A539)</f>
        <v>0.35</v>
      </c>
    </row>
    <row r="540" spans="1:8" hidden="1" x14ac:dyDescent="0.25">
      <c r="A540" s="2" t="str">
        <v>Self-Help - Model 875</v>
      </c>
      <c r="B540" s="2" t="str">
        <f>_xlfn.XLOOKUP(A540,tbl_raw[Product_Name],tbl_raw[Category])</f>
        <v>Books</v>
      </c>
      <c r="C540" s="2">
        <f>COUNTIF(tbl_raw[Product_Name],A540)</f>
        <v>1</v>
      </c>
      <c r="D540" s="2">
        <f>SUMIFS(tbl_raw[Units_Sold],tbl_raw[Product_Name],A540)</f>
        <v>4</v>
      </c>
      <c r="E540" s="3">
        <f>SUMIFS(tbl_raw[Net_Profit],tbl_raw[Product_Name],A540)</f>
        <v>6300</v>
      </c>
      <c r="F540" s="2">
        <f>SUMIFS(tbl_raw[Return_Flag],tbl_raw[Product_Name],A540)</f>
        <v>0</v>
      </c>
      <c r="G540" s="3" cm="1">
        <f t="array" ref="G540">SUMPRODUCT((tbl_raw[Product_Name]=A540)*(tbl_raw[MRP]-tbl_raw[Selling_Price])*tbl_raw[Units_Sold])</f>
        <v>2628</v>
      </c>
      <c r="H540" s="83">
        <f>AVERAGEIFS(tbl_raw[Discount_Pct],tbl_raw[Product_Name],A540)</f>
        <v>0.11</v>
      </c>
    </row>
    <row r="541" spans="1:8" hidden="1" x14ac:dyDescent="0.25">
      <c r="A541" s="2" t="str">
        <v>Pulses - Model 123</v>
      </c>
      <c r="B541" s="2" t="str">
        <f>_xlfn.XLOOKUP(A541,tbl_raw[Product_Name],tbl_raw[Category])</f>
        <v>Grocery</v>
      </c>
      <c r="C541" s="2">
        <f>COUNTIF(tbl_raw[Product_Name],A541)</f>
        <v>1</v>
      </c>
      <c r="D541" s="2">
        <f>SUMIFS(tbl_raw[Units_Sold],tbl_raw[Product_Name],A541)</f>
        <v>7</v>
      </c>
      <c r="E541" s="3">
        <f>SUMIFS(tbl_raw[Net_Profit],tbl_raw[Product_Name],A541)</f>
        <v>11907</v>
      </c>
      <c r="F541" s="2">
        <f>SUMIFS(tbl_raw[Return_Flag],tbl_raw[Product_Name],A541)</f>
        <v>0</v>
      </c>
      <c r="G541" s="3" cm="1">
        <f t="array" ref="G541">SUMPRODUCT((tbl_raw[Product_Name]=A541)*(tbl_raw[MRP]-tbl_raw[Selling_Price])*tbl_raw[Units_Sold])</f>
        <v>4179</v>
      </c>
      <c r="H541" s="83">
        <f>AVERAGEIFS(tbl_raw[Discount_Pct],tbl_raw[Product_Name],A541)</f>
        <v>0.1</v>
      </c>
    </row>
    <row r="542" spans="1:8" hidden="1" x14ac:dyDescent="0.25">
      <c r="A542" s="2" t="str">
        <v>Smartwatch - Model 696</v>
      </c>
      <c r="B542" s="2" t="str">
        <f>_xlfn.XLOOKUP(A542,tbl_raw[Product_Name],tbl_raw[Category])</f>
        <v>Electronics</v>
      </c>
      <c r="C542" s="2">
        <f>COUNTIF(tbl_raw[Product_Name],A542)</f>
        <v>1</v>
      </c>
      <c r="D542" s="2">
        <f>SUMIFS(tbl_raw[Units_Sold],tbl_raw[Product_Name],A542)</f>
        <v>2</v>
      </c>
      <c r="E542" s="3">
        <f>SUMIFS(tbl_raw[Net_Profit],tbl_raw[Product_Name],A542)</f>
        <v>1924</v>
      </c>
      <c r="F542" s="2">
        <f>SUMIFS(tbl_raw[Return_Flag],tbl_raw[Product_Name],A542)</f>
        <v>0</v>
      </c>
      <c r="G542" s="3" cm="1">
        <f t="array" ref="G542">SUMPRODUCT((tbl_raw[Product_Name]=A542)*(tbl_raw[MRP]-tbl_raw[Selling_Price])*tbl_raw[Units_Sold])</f>
        <v>132</v>
      </c>
      <c r="H542" s="83">
        <f>AVERAGEIFS(tbl_raw[Discount_Pct],tbl_raw[Product_Name],A542)</f>
        <v>0.03</v>
      </c>
    </row>
    <row r="543" spans="1:8" hidden="1" x14ac:dyDescent="0.25">
      <c r="A543" s="2" t="str">
        <v>Puzzle - Model 778</v>
      </c>
      <c r="B543" s="2" t="str">
        <f>_xlfn.XLOOKUP(A543,tbl_raw[Product_Name],tbl_raw[Category])</f>
        <v>Toys</v>
      </c>
      <c r="C543" s="2">
        <f>COUNTIF(tbl_raw[Product_Name],A543)</f>
        <v>1</v>
      </c>
      <c r="D543" s="2">
        <f>SUMIFS(tbl_raw[Units_Sold],tbl_raw[Product_Name],A543)</f>
        <v>4</v>
      </c>
      <c r="E543" s="3">
        <f>SUMIFS(tbl_raw[Net_Profit],tbl_raw[Product_Name],A543)</f>
        <v>-284</v>
      </c>
      <c r="F543" s="2">
        <f>SUMIFS(tbl_raw[Return_Flag],tbl_raw[Product_Name],A543)</f>
        <v>0</v>
      </c>
      <c r="G543" s="3" cm="1">
        <f t="array" ref="G543">SUMPRODUCT((tbl_raw[Product_Name]=A543)*(tbl_raw[MRP]-tbl_raw[Selling_Price])*tbl_raw[Units_Sold])</f>
        <v>544</v>
      </c>
      <c r="H543" s="83">
        <f>AVERAGEIFS(tbl_raw[Discount_Pct],tbl_raw[Product_Name],A543)</f>
        <v>0.39</v>
      </c>
    </row>
    <row r="544" spans="1:8" hidden="1" x14ac:dyDescent="0.25">
      <c r="A544" s="2" t="str">
        <v>Jeans - Model 303</v>
      </c>
      <c r="B544" s="2" t="str">
        <f>_xlfn.XLOOKUP(A544,tbl_raw[Product_Name],tbl_raw[Category])</f>
        <v>Fashion</v>
      </c>
      <c r="C544" s="2">
        <f>COUNTIF(tbl_raw[Product_Name],A544)</f>
        <v>1</v>
      </c>
      <c r="D544" s="2">
        <f>SUMIFS(tbl_raw[Units_Sold],tbl_raw[Product_Name],A544)</f>
        <v>15</v>
      </c>
      <c r="E544" s="3">
        <f>SUMIFS(tbl_raw[Net_Profit],tbl_raw[Product_Name],A544)</f>
        <v>15735</v>
      </c>
      <c r="F544" s="2">
        <f>SUMIFS(tbl_raw[Return_Flag],tbl_raw[Product_Name],A544)</f>
        <v>0</v>
      </c>
      <c r="G544" s="3" cm="1">
        <f t="array" ref="G544">SUMPRODUCT((tbl_raw[Product_Name]=A544)*(tbl_raw[MRP]-tbl_raw[Selling_Price])*tbl_raw[Units_Sold])</f>
        <v>21945</v>
      </c>
      <c r="H544" s="83">
        <f>AVERAGEIFS(tbl_raw[Discount_Pct],tbl_raw[Product_Name],A544)</f>
        <v>0.32</v>
      </c>
    </row>
    <row r="545" spans="1:8" hidden="1" x14ac:dyDescent="0.25">
      <c r="A545" s="2" t="str">
        <v>Textbook - Model 463</v>
      </c>
      <c r="B545" s="2" t="str">
        <f>_xlfn.XLOOKUP(A545,tbl_raw[Product_Name],tbl_raw[Category])</f>
        <v>Books</v>
      </c>
      <c r="C545" s="2">
        <f>COUNTIF(tbl_raw[Product_Name],A545)</f>
        <v>1</v>
      </c>
      <c r="D545" s="2">
        <f>SUMIFS(tbl_raw[Units_Sold],tbl_raw[Product_Name],A545)</f>
        <v>8</v>
      </c>
      <c r="E545" s="3">
        <f>SUMIFS(tbl_raw[Net_Profit],tbl_raw[Product_Name],A545)</f>
        <v>3736</v>
      </c>
      <c r="F545" s="2">
        <f>SUMIFS(tbl_raw[Return_Flag],tbl_raw[Product_Name],A545)</f>
        <v>0</v>
      </c>
      <c r="G545" s="3" cm="1">
        <f t="array" ref="G545">SUMPRODUCT((tbl_raw[Product_Name]=A545)*(tbl_raw[MRP]-tbl_raw[Selling_Price])*tbl_raw[Units_Sold])</f>
        <v>28048</v>
      </c>
      <c r="H545" s="83">
        <f>AVERAGEIFS(tbl_raw[Discount_Pct],tbl_raw[Product_Name],A545)</f>
        <v>0.44</v>
      </c>
    </row>
    <row r="546" spans="1:8" hidden="1" x14ac:dyDescent="0.25">
      <c r="A546" s="2" t="str">
        <v>Cricket Bat - Model 255</v>
      </c>
      <c r="B546" s="2" t="str">
        <f>_xlfn.XLOOKUP(A546,tbl_raw[Product_Name],tbl_raw[Category])</f>
        <v>Sports</v>
      </c>
      <c r="C546" s="2">
        <f>COUNTIF(tbl_raw[Product_Name],A546)</f>
        <v>1</v>
      </c>
      <c r="D546" s="2">
        <f>SUMIFS(tbl_raw[Units_Sold],tbl_raw[Product_Name],A546)</f>
        <v>13</v>
      </c>
      <c r="E546" s="3">
        <f>SUMIFS(tbl_raw[Net_Profit],tbl_raw[Product_Name],A546)</f>
        <v>27235</v>
      </c>
      <c r="F546" s="2">
        <f>SUMIFS(tbl_raw[Return_Flag],tbl_raw[Product_Name],A546)</f>
        <v>0</v>
      </c>
      <c r="G546" s="3" cm="1">
        <f t="array" ref="G546">SUMPRODUCT((tbl_raw[Product_Name]=A546)*(tbl_raw[MRP]-tbl_raw[Selling_Price])*tbl_raw[Units_Sold])</f>
        <v>2769</v>
      </c>
      <c r="H546" s="83">
        <f>AVERAGEIFS(tbl_raw[Discount_Pct],tbl_raw[Product_Name],A546)</f>
        <v>0.04</v>
      </c>
    </row>
    <row r="547" spans="1:8" hidden="1" x14ac:dyDescent="0.25">
      <c r="A547" s="2" t="str">
        <v>Curtain - Model 419</v>
      </c>
      <c r="B547" s="2" t="str">
        <f>_xlfn.XLOOKUP(A547,tbl_raw[Product_Name],tbl_raw[Category])</f>
        <v>Home &amp; Kitchen</v>
      </c>
      <c r="C547" s="2">
        <f>COUNTIF(tbl_raw[Product_Name],A547)</f>
        <v>1</v>
      </c>
      <c r="D547" s="2">
        <f>SUMIFS(tbl_raw[Units_Sold],tbl_raw[Product_Name],A547)</f>
        <v>11</v>
      </c>
      <c r="E547" s="3">
        <f>SUMIFS(tbl_raw[Net_Profit],tbl_raw[Product_Name],A547)</f>
        <v>11418</v>
      </c>
      <c r="F547" s="2">
        <f>SUMIFS(tbl_raw[Return_Flag],tbl_raw[Product_Name],A547)</f>
        <v>0</v>
      </c>
      <c r="G547" s="3" cm="1">
        <f t="array" ref="G547">SUMPRODUCT((tbl_raw[Product_Name]=A547)*(tbl_raw[MRP]-tbl_raw[Selling_Price])*tbl_raw[Units_Sold])</f>
        <v>2442</v>
      </c>
      <c r="H547" s="83">
        <f>AVERAGEIFS(tbl_raw[Discount_Pct],tbl_raw[Product_Name],A547)</f>
        <v>0.06</v>
      </c>
    </row>
    <row r="548" spans="1:8" hidden="1" x14ac:dyDescent="0.25">
      <c r="A548" s="2" t="str">
        <v>Curtain - Model 888</v>
      </c>
      <c r="B548" s="2" t="str">
        <f>_xlfn.XLOOKUP(A548,tbl_raw[Product_Name],tbl_raw[Category])</f>
        <v>Home &amp; Kitchen</v>
      </c>
      <c r="C548" s="2">
        <f>COUNTIF(tbl_raw[Product_Name],A548)</f>
        <v>1</v>
      </c>
      <c r="D548" s="2">
        <f>SUMIFS(tbl_raw[Units_Sold],tbl_raw[Product_Name],A548)</f>
        <v>19</v>
      </c>
      <c r="E548" s="3">
        <f>SUMIFS(tbl_raw[Net_Profit],tbl_raw[Product_Name],A548)</f>
        <v>33744</v>
      </c>
      <c r="F548" s="2">
        <f>SUMIFS(tbl_raw[Return_Flag],tbl_raw[Product_Name],A548)</f>
        <v>0</v>
      </c>
      <c r="G548" s="3" cm="1">
        <f t="array" ref="G548">SUMPRODUCT((tbl_raw[Product_Name]=A548)*(tbl_raw[MRP]-tbl_raw[Selling_Price])*tbl_raw[Units_Sold])</f>
        <v>19551</v>
      </c>
      <c r="H548" s="83">
        <f>AVERAGEIFS(tbl_raw[Discount_Pct],tbl_raw[Product_Name],A548)</f>
        <v>0.14000000000000001</v>
      </c>
    </row>
    <row r="549" spans="1:8" hidden="1" x14ac:dyDescent="0.25">
      <c r="A549" s="2" t="str">
        <v>Headphones - Model 523</v>
      </c>
      <c r="B549" s="2" t="str">
        <f>_xlfn.XLOOKUP(A549,tbl_raw[Product_Name],tbl_raw[Category])</f>
        <v>Electronics</v>
      </c>
      <c r="C549" s="2">
        <f>COUNTIF(tbl_raw[Product_Name],A549)</f>
        <v>1</v>
      </c>
      <c r="D549" s="2">
        <f>SUMIFS(tbl_raw[Units_Sold],tbl_raw[Product_Name],A549)</f>
        <v>10</v>
      </c>
      <c r="E549" s="3">
        <f>SUMIFS(tbl_raw[Net_Profit],tbl_raw[Product_Name],A549)</f>
        <v>-6560</v>
      </c>
      <c r="F549" s="2">
        <f>SUMIFS(tbl_raw[Return_Flag],tbl_raw[Product_Name],A549)</f>
        <v>0</v>
      </c>
      <c r="G549" s="3" cm="1">
        <f t="array" ref="G549">SUMPRODUCT((tbl_raw[Product_Name]=A549)*(tbl_raw[MRP]-tbl_raw[Selling_Price])*tbl_raw[Units_Sold])</f>
        <v>15350</v>
      </c>
      <c r="H549" s="83">
        <f>AVERAGEIFS(tbl_raw[Discount_Pct],tbl_raw[Product_Name],A549)</f>
        <v>0.42</v>
      </c>
    </row>
    <row r="550" spans="1:8" hidden="1" x14ac:dyDescent="0.25">
      <c r="A550" s="2" t="str">
        <v>Tablet - Model 731</v>
      </c>
      <c r="B550" s="2" t="str">
        <f>_xlfn.XLOOKUP(A550,tbl_raw[Product_Name],tbl_raw[Category])</f>
        <v>Electronics</v>
      </c>
      <c r="C550" s="2">
        <f>COUNTIF(tbl_raw[Product_Name],A550)</f>
        <v>1</v>
      </c>
      <c r="D550" s="2">
        <f>SUMIFS(tbl_raw[Units_Sold],tbl_raw[Product_Name],A550)</f>
        <v>20</v>
      </c>
      <c r="E550" s="3">
        <f>SUMIFS(tbl_raw[Net_Profit],tbl_raw[Product_Name],A550)</f>
        <v>36060</v>
      </c>
      <c r="F550" s="2">
        <f>SUMIFS(tbl_raw[Return_Flag],tbl_raw[Product_Name],A550)</f>
        <v>1</v>
      </c>
      <c r="G550" s="3" cm="1">
        <f t="array" ref="G550">SUMPRODUCT((tbl_raw[Product_Name]=A550)*(tbl_raw[MRP]-tbl_raw[Selling_Price])*tbl_raw[Units_Sold])</f>
        <v>9240</v>
      </c>
      <c r="H550" s="83">
        <f>AVERAGEIFS(tbl_raw[Discount_Pct],tbl_raw[Product_Name],A550)</f>
        <v>0.1</v>
      </c>
    </row>
    <row r="551" spans="1:8" hidden="1" x14ac:dyDescent="0.25">
      <c r="A551" s="2" t="str">
        <v>Rice - Model 288</v>
      </c>
      <c r="B551" s="2" t="str">
        <f>_xlfn.XLOOKUP(A551,tbl_raw[Product_Name],tbl_raw[Category])</f>
        <v>Grocery</v>
      </c>
      <c r="C551" s="2">
        <f>COUNTIF(tbl_raw[Product_Name],A551)</f>
        <v>1</v>
      </c>
      <c r="D551" s="2">
        <f>SUMIFS(tbl_raw[Units_Sold],tbl_raw[Product_Name],A551)</f>
        <v>16</v>
      </c>
      <c r="E551" s="3">
        <f>SUMIFS(tbl_raw[Net_Profit],tbl_raw[Product_Name],A551)</f>
        <v>26640</v>
      </c>
      <c r="F551" s="2">
        <f>SUMIFS(tbl_raw[Return_Flag],tbl_raw[Product_Name],A551)</f>
        <v>0</v>
      </c>
      <c r="G551" s="3" cm="1">
        <f t="array" ref="G551">SUMPRODUCT((tbl_raw[Product_Name]=A551)*(tbl_raw[MRP]-tbl_raw[Selling_Price])*tbl_raw[Units_Sold])</f>
        <v>4368</v>
      </c>
      <c r="H551" s="83">
        <f>AVERAGEIFS(tbl_raw[Discount_Pct],tbl_raw[Product_Name],A551)</f>
        <v>7.0000000000000007E-2</v>
      </c>
    </row>
    <row r="552" spans="1:8" hidden="1" x14ac:dyDescent="0.25">
      <c r="A552" s="2" t="str">
        <v>Serum - Model 167</v>
      </c>
      <c r="B552" s="2" t="str">
        <f>_xlfn.XLOOKUP(A552,tbl_raw[Product_Name],tbl_raw[Category])</f>
        <v>Beauty</v>
      </c>
      <c r="C552" s="2">
        <f>COUNTIF(tbl_raw[Product_Name],A552)</f>
        <v>1</v>
      </c>
      <c r="D552" s="2">
        <f>SUMIFS(tbl_raw[Units_Sold],tbl_raw[Product_Name],A552)</f>
        <v>15</v>
      </c>
      <c r="E552" s="3">
        <f>SUMIFS(tbl_raw[Net_Profit],tbl_raw[Product_Name],A552)</f>
        <v>26325</v>
      </c>
      <c r="F552" s="2">
        <f>SUMIFS(tbl_raw[Return_Flag],tbl_raw[Product_Name],A552)</f>
        <v>0</v>
      </c>
      <c r="G552" s="3" cm="1">
        <f t="array" ref="G552">SUMPRODUCT((tbl_raw[Product_Name]=A552)*(tbl_raw[MRP]-tbl_raw[Selling_Price])*tbl_raw[Units_Sold])</f>
        <v>22980</v>
      </c>
      <c r="H552" s="83">
        <f>AVERAGEIFS(tbl_raw[Discount_Pct],tbl_raw[Product_Name],A552)</f>
        <v>0.22</v>
      </c>
    </row>
    <row r="553" spans="1:8" hidden="1" x14ac:dyDescent="0.25">
      <c r="A553" s="2" t="str">
        <v>Puzzle - Model 503</v>
      </c>
      <c r="B553" s="2" t="str">
        <f>_xlfn.XLOOKUP(A553,tbl_raw[Product_Name],tbl_raw[Category])</f>
        <v>Toys</v>
      </c>
      <c r="C553" s="2">
        <f>COUNTIF(tbl_raw[Product_Name],A553)</f>
        <v>1</v>
      </c>
      <c r="D553" s="2">
        <f>SUMIFS(tbl_raw[Units_Sold],tbl_raw[Product_Name],A553)</f>
        <v>19</v>
      </c>
      <c r="E553" s="3">
        <f>SUMIFS(tbl_raw[Net_Profit],tbl_raw[Product_Name],A553)</f>
        <v>2090</v>
      </c>
      <c r="F553" s="2">
        <f>SUMIFS(tbl_raw[Return_Flag],tbl_raw[Product_Name],A553)</f>
        <v>0</v>
      </c>
      <c r="G553" s="3" cm="1">
        <f t="array" ref="G553">SUMPRODUCT((tbl_raw[Product_Name]=A553)*(tbl_raw[MRP]-tbl_raw[Selling_Price])*tbl_raw[Units_Sold])</f>
        <v>22040</v>
      </c>
      <c r="H553" s="83">
        <f>AVERAGEIFS(tbl_raw[Discount_Pct],tbl_raw[Product_Name],A553)</f>
        <v>0.24</v>
      </c>
    </row>
    <row r="554" spans="1:8" hidden="1" x14ac:dyDescent="0.25">
      <c r="A554" s="2" t="str">
        <v>Action Figure - Model 671</v>
      </c>
      <c r="B554" s="2" t="str">
        <f>_xlfn.XLOOKUP(A554,tbl_raw[Product_Name],tbl_raw[Category])</f>
        <v>Toys</v>
      </c>
      <c r="C554" s="2">
        <f>COUNTIF(tbl_raw[Product_Name],A554)</f>
        <v>1</v>
      </c>
      <c r="D554" s="2">
        <f>SUMIFS(tbl_raw[Units_Sold],tbl_raw[Product_Name],A554)</f>
        <v>17</v>
      </c>
      <c r="E554" s="3">
        <f>SUMIFS(tbl_raw[Net_Profit],tbl_raw[Product_Name],A554)</f>
        <v>9231</v>
      </c>
      <c r="F554" s="2">
        <f>SUMIFS(tbl_raw[Return_Flag],tbl_raw[Product_Name],A554)</f>
        <v>0</v>
      </c>
      <c r="G554" s="3" cm="1">
        <f t="array" ref="G554">SUMPRODUCT((tbl_raw[Product_Name]=A554)*(tbl_raw[MRP]-tbl_raw[Selling_Price])*tbl_raw[Units_Sold])</f>
        <v>45084</v>
      </c>
      <c r="H554" s="83">
        <f>AVERAGEIFS(tbl_raw[Discount_Pct],tbl_raw[Product_Name],A554)</f>
        <v>0.43</v>
      </c>
    </row>
    <row r="555" spans="1:8" hidden="1" x14ac:dyDescent="0.25">
      <c r="A555" s="2" t="str">
        <v>Cycle - Model 155</v>
      </c>
      <c r="B555" s="2" t="str">
        <f>_xlfn.XLOOKUP(A555,tbl_raw[Product_Name],tbl_raw[Category])</f>
        <v>Sports</v>
      </c>
      <c r="C555" s="2">
        <f>COUNTIF(tbl_raw[Product_Name],A555)</f>
        <v>1</v>
      </c>
      <c r="D555" s="2">
        <f>SUMIFS(tbl_raw[Units_Sold],tbl_raw[Product_Name],A555)</f>
        <v>5</v>
      </c>
      <c r="E555" s="3">
        <f>SUMIFS(tbl_raw[Net_Profit],tbl_raw[Product_Name],A555)</f>
        <v>4785</v>
      </c>
      <c r="F555" s="2">
        <f>SUMIFS(tbl_raw[Return_Flag],tbl_raw[Product_Name],A555)</f>
        <v>0</v>
      </c>
      <c r="G555" s="3" cm="1">
        <f t="array" ref="G555">SUMPRODUCT((tbl_raw[Product_Name]=A555)*(tbl_raw[MRP]-tbl_raw[Selling_Price])*tbl_raw[Units_Sold])</f>
        <v>5535</v>
      </c>
      <c r="H555" s="83">
        <f>AVERAGEIFS(tbl_raw[Discount_Pct],tbl_raw[Product_Name],A555)</f>
        <v>0.28999999999999998</v>
      </c>
    </row>
    <row r="556" spans="1:8" hidden="1" x14ac:dyDescent="0.25">
      <c r="A556" s="2" t="str">
        <v>Curtain - Model 523</v>
      </c>
      <c r="B556" s="2" t="str">
        <f>_xlfn.XLOOKUP(A556,tbl_raw[Product_Name],tbl_raw[Category])</f>
        <v>Home &amp; Kitchen</v>
      </c>
      <c r="C556" s="2">
        <f>COUNTIF(tbl_raw[Product_Name],A556)</f>
        <v>1</v>
      </c>
      <c r="D556" s="2">
        <f>SUMIFS(tbl_raw[Units_Sold],tbl_raw[Product_Name],A556)</f>
        <v>15</v>
      </c>
      <c r="E556" s="3">
        <f>SUMIFS(tbl_raw[Net_Profit],tbl_raw[Product_Name],A556)</f>
        <v>-1950</v>
      </c>
      <c r="F556" s="2">
        <f>SUMIFS(tbl_raw[Return_Flag],tbl_raw[Product_Name],A556)</f>
        <v>0</v>
      </c>
      <c r="G556" s="3" cm="1">
        <f t="array" ref="G556">SUMPRODUCT((tbl_raw[Product_Name]=A556)*(tbl_raw[MRP]-tbl_raw[Selling_Price])*tbl_raw[Units_Sold])</f>
        <v>1185</v>
      </c>
      <c r="H556" s="83">
        <f>AVERAGEIFS(tbl_raw[Discount_Pct],tbl_raw[Product_Name],A556)</f>
        <v>0.2</v>
      </c>
    </row>
    <row r="557" spans="1:8" hidden="1" x14ac:dyDescent="0.25">
      <c r="A557" s="2" t="str">
        <v>Mixer - Model 193</v>
      </c>
      <c r="B557" s="2" t="str">
        <f>_xlfn.XLOOKUP(A557,tbl_raw[Product_Name],tbl_raw[Category])</f>
        <v>Home &amp; Kitchen</v>
      </c>
      <c r="C557" s="2">
        <f>COUNTIF(tbl_raw[Product_Name],A557)</f>
        <v>1</v>
      </c>
      <c r="D557" s="2">
        <f>SUMIFS(tbl_raw[Units_Sold],tbl_raw[Product_Name],A557)</f>
        <v>15</v>
      </c>
      <c r="E557" s="3">
        <f>SUMIFS(tbl_raw[Net_Profit],tbl_raw[Product_Name],A557)</f>
        <v>22035</v>
      </c>
      <c r="F557" s="2">
        <f>SUMIFS(tbl_raw[Return_Flag],tbl_raw[Product_Name],A557)</f>
        <v>0</v>
      </c>
      <c r="G557" s="3" cm="1">
        <f t="array" ref="G557">SUMPRODUCT((tbl_raw[Product_Name]=A557)*(tbl_raw[MRP]-tbl_raw[Selling_Price])*tbl_raw[Units_Sold])</f>
        <v>3090</v>
      </c>
      <c r="H557" s="83">
        <f>AVERAGEIFS(tbl_raw[Discount_Pct],tbl_raw[Product_Name],A557)</f>
        <v>0.04</v>
      </c>
    </row>
    <row r="558" spans="1:8" hidden="1" x14ac:dyDescent="0.25">
      <c r="A558" s="2" t="str">
        <v>Laptop - Model 443</v>
      </c>
      <c r="B558" s="2" t="str">
        <f>_xlfn.XLOOKUP(A558,tbl_raw[Product_Name],tbl_raw[Category])</f>
        <v>Electronics</v>
      </c>
      <c r="C558" s="2">
        <f>COUNTIF(tbl_raw[Product_Name],A558)</f>
        <v>1</v>
      </c>
      <c r="D558" s="2">
        <f>SUMIFS(tbl_raw[Units_Sold],tbl_raw[Product_Name],A558)</f>
        <v>5</v>
      </c>
      <c r="E558" s="3">
        <f>SUMIFS(tbl_raw[Net_Profit],tbl_raw[Product_Name],A558)</f>
        <v>1720</v>
      </c>
      <c r="F558" s="2">
        <f>SUMIFS(tbl_raw[Return_Flag],tbl_raw[Product_Name],A558)</f>
        <v>1</v>
      </c>
      <c r="G558" s="3" cm="1">
        <f t="array" ref="G558">SUMPRODUCT((tbl_raw[Product_Name]=A558)*(tbl_raw[MRP]-tbl_raw[Selling_Price])*tbl_raw[Units_Sold])</f>
        <v>515</v>
      </c>
      <c r="H558" s="83">
        <f>AVERAGEIFS(tbl_raw[Discount_Pct],tbl_raw[Product_Name],A558)</f>
        <v>7.0000000000000007E-2</v>
      </c>
    </row>
    <row r="559" spans="1:8" hidden="1" x14ac:dyDescent="0.25">
      <c r="A559" s="2" t="str">
        <v>Mixer - Model 234</v>
      </c>
      <c r="B559" s="2" t="str">
        <f>_xlfn.XLOOKUP(A559,tbl_raw[Product_Name],tbl_raw[Category])</f>
        <v>Home &amp; Kitchen</v>
      </c>
      <c r="C559" s="2">
        <f>COUNTIF(tbl_raw[Product_Name],A559)</f>
        <v>1</v>
      </c>
      <c r="D559" s="2">
        <f>SUMIFS(tbl_raw[Units_Sold],tbl_raw[Product_Name],A559)</f>
        <v>1</v>
      </c>
      <c r="E559" s="3">
        <f>SUMIFS(tbl_raw[Net_Profit],tbl_raw[Product_Name],A559)</f>
        <v>1508</v>
      </c>
      <c r="F559" s="2">
        <f>SUMIFS(tbl_raw[Return_Flag],tbl_raw[Product_Name],A559)</f>
        <v>0</v>
      </c>
      <c r="G559" s="3" cm="1">
        <f t="array" ref="G559">SUMPRODUCT((tbl_raw[Product_Name]=A559)*(tbl_raw[MRP]-tbl_raw[Selling_Price])*tbl_raw[Units_Sold])</f>
        <v>556</v>
      </c>
      <c r="H559" s="83">
        <f>AVERAGEIFS(tbl_raw[Discount_Pct],tbl_raw[Product_Name],A559)</f>
        <v>0.11</v>
      </c>
    </row>
    <row r="560" spans="1:8" hidden="1" x14ac:dyDescent="0.25">
      <c r="A560" s="2" t="str">
        <v>Sunscreen - Model 775</v>
      </c>
      <c r="B560" s="2" t="str">
        <f>_xlfn.XLOOKUP(A560,tbl_raw[Product_Name],tbl_raw[Category])</f>
        <v>Beauty</v>
      </c>
      <c r="C560" s="2">
        <f>COUNTIF(tbl_raw[Product_Name],A560)</f>
        <v>1</v>
      </c>
      <c r="D560" s="2">
        <f>SUMIFS(tbl_raw[Units_Sold],tbl_raw[Product_Name],A560)</f>
        <v>15</v>
      </c>
      <c r="E560" s="3">
        <f>SUMIFS(tbl_raw[Net_Profit],tbl_raw[Product_Name],A560)</f>
        <v>16830</v>
      </c>
      <c r="F560" s="2">
        <f>SUMIFS(tbl_raw[Return_Flag],tbl_raw[Product_Name],A560)</f>
        <v>0</v>
      </c>
      <c r="G560" s="3" cm="1">
        <f t="array" ref="G560">SUMPRODUCT((tbl_raw[Product_Name]=A560)*(tbl_raw[MRP]-tbl_raw[Selling_Price])*tbl_raw[Units_Sold])</f>
        <v>2040</v>
      </c>
      <c r="H560" s="83">
        <f>AVERAGEIFS(tbl_raw[Discount_Pct],tbl_raw[Product_Name],A560)</f>
        <v>0.04</v>
      </c>
    </row>
    <row r="561" spans="1:8" hidden="1" x14ac:dyDescent="0.25">
      <c r="A561" s="2" t="str">
        <v>Pressure Cooker - Model 156</v>
      </c>
      <c r="B561" s="2" t="str">
        <f>_xlfn.XLOOKUP(A561,tbl_raw[Product_Name],tbl_raw[Category])</f>
        <v>Home &amp; Kitchen</v>
      </c>
      <c r="C561" s="2">
        <f>COUNTIF(tbl_raw[Product_Name],A561)</f>
        <v>1</v>
      </c>
      <c r="D561" s="2">
        <f>SUMIFS(tbl_raw[Units_Sold],tbl_raw[Product_Name],A561)</f>
        <v>2</v>
      </c>
      <c r="E561" s="3">
        <f>SUMIFS(tbl_raw[Net_Profit],tbl_raw[Product_Name],A561)</f>
        <v>794</v>
      </c>
      <c r="F561" s="2">
        <f>SUMIFS(tbl_raw[Return_Flag],tbl_raw[Product_Name],A561)</f>
        <v>0</v>
      </c>
      <c r="G561" s="3" cm="1">
        <f t="array" ref="G561">SUMPRODUCT((tbl_raw[Product_Name]=A561)*(tbl_raw[MRP]-tbl_raw[Selling_Price])*tbl_raw[Units_Sold])</f>
        <v>26</v>
      </c>
      <c r="H561" s="83">
        <f>AVERAGEIFS(tbl_raw[Discount_Pct],tbl_raw[Product_Name],A561)</f>
        <v>0.01</v>
      </c>
    </row>
    <row r="562" spans="1:8" hidden="1" x14ac:dyDescent="0.25">
      <c r="A562" s="2" t="str">
        <v>Bedsheet - Model 725</v>
      </c>
      <c r="B562" s="2" t="str">
        <f>_xlfn.XLOOKUP(A562,tbl_raw[Product_Name],tbl_raw[Category])</f>
        <v>Home &amp; Kitchen</v>
      </c>
      <c r="C562" s="2">
        <f>COUNTIF(tbl_raw[Product_Name],A562)</f>
        <v>1</v>
      </c>
      <c r="D562" s="2">
        <f>SUMIFS(tbl_raw[Units_Sold],tbl_raw[Product_Name],A562)</f>
        <v>19</v>
      </c>
      <c r="E562" s="3">
        <f>SUMIFS(tbl_raw[Net_Profit],tbl_raw[Product_Name],A562)</f>
        <v>41230</v>
      </c>
      <c r="F562" s="2">
        <f>SUMIFS(tbl_raw[Return_Flag],tbl_raw[Product_Name],A562)</f>
        <v>0</v>
      </c>
      <c r="G562" s="3" cm="1">
        <f t="array" ref="G562">SUMPRODUCT((tbl_raw[Product_Name]=A562)*(tbl_raw[MRP]-tbl_raw[Selling_Price])*tbl_raw[Units_Sold])</f>
        <v>9633</v>
      </c>
      <c r="H562" s="83">
        <f>AVERAGEIFS(tbl_raw[Discount_Pct],tbl_raw[Product_Name],A562)</f>
        <v>0.08</v>
      </c>
    </row>
    <row r="563" spans="1:8" hidden="1" x14ac:dyDescent="0.25">
      <c r="A563" s="2" t="str">
        <v>Shoes - Model 963</v>
      </c>
      <c r="B563" s="2" t="str">
        <f>_xlfn.XLOOKUP(A563,tbl_raw[Product_Name],tbl_raw[Category])</f>
        <v>Fashion</v>
      </c>
      <c r="C563" s="2">
        <f>COUNTIF(tbl_raw[Product_Name],A563)</f>
        <v>1</v>
      </c>
      <c r="D563" s="2">
        <f>SUMIFS(tbl_raw[Units_Sold],tbl_raw[Product_Name],A563)</f>
        <v>3</v>
      </c>
      <c r="E563" s="3">
        <f>SUMIFS(tbl_raw[Net_Profit],tbl_raw[Product_Name],A563)</f>
        <v>1998</v>
      </c>
      <c r="F563" s="2">
        <f>SUMIFS(tbl_raw[Return_Flag],tbl_raw[Product_Name],A563)</f>
        <v>0</v>
      </c>
      <c r="G563" s="3" cm="1">
        <f t="array" ref="G563">SUMPRODUCT((tbl_raw[Product_Name]=A563)*(tbl_raw[MRP]-tbl_raw[Selling_Price])*tbl_raw[Units_Sold])</f>
        <v>447</v>
      </c>
      <c r="H563" s="83">
        <f>AVERAGEIFS(tbl_raw[Discount_Pct],tbl_raw[Product_Name],A563)</f>
        <v>0.06</v>
      </c>
    </row>
    <row r="564" spans="1:8" hidden="1" x14ac:dyDescent="0.25">
      <c r="A564" s="2" t="str">
        <v>Mobile - Model 685</v>
      </c>
      <c r="B564" s="2" t="str">
        <f>_xlfn.XLOOKUP(A564,tbl_raw[Product_Name],tbl_raw[Category])</f>
        <v>Electronics</v>
      </c>
      <c r="C564" s="2">
        <f>COUNTIF(tbl_raw[Product_Name],A564)</f>
        <v>1</v>
      </c>
      <c r="D564" s="2">
        <f>SUMIFS(tbl_raw[Units_Sold],tbl_raw[Product_Name],A564)</f>
        <v>3</v>
      </c>
      <c r="E564" s="3">
        <f>SUMIFS(tbl_raw[Net_Profit],tbl_raw[Product_Name],A564)</f>
        <v>-975</v>
      </c>
      <c r="F564" s="2">
        <f>SUMIFS(tbl_raw[Return_Flag],tbl_raw[Product_Name],A564)</f>
        <v>0</v>
      </c>
      <c r="G564" s="3" cm="1">
        <f t="array" ref="G564">SUMPRODUCT((tbl_raw[Product_Name]=A564)*(tbl_raw[MRP]-tbl_raw[Selling_Price])*tbl_raw[Units_Sold])</f>
        <v>3696</v>
      </c>
      <c r="H564" s="83">
        <f>AVERAGEIFS(tbl_raw[Discount_Pct],tbl_raw[Product_Name],A564)</f>
        <v>0.31</v>
      </c>
    </row>
    <row r="565" spans="1:8" hidden="1" x14ac:dyDescent="0.25">
      <c r="A565" s="2" t="str">
        <v>Self-Help - Model 729</v>
      </c>
      <c r="B565" s="2" t="str">
        <f>_xlfn.XLOOKUP(A565,tbl_raw[Product_Name],tbl_raw[Category])</f>
        <v>Books</v>
      </c>
      <c r="C565" s="2">
        <f>COUNTIF(tbl_raw[Product_Name],A565)</f>
        <v>1</v>
      </c>
      <c r="D565" s="2">
        <f>SUMIFS(tbl_raw[Units_Sold],tbl_raw[Product_Name],A565)</f>
        <v>16</v>
      </c>
      <c r="E565" s="3">
        <f>SUMIFS(tbl_raw[Net_Profit],tbl_raw[Product_Name],A565)</f>
        <v>9136</v>
      </c>
      <c r="F565" s="2">
        <f>SUMIFS(tbl_raw[Return_Flag],tbl_raw[Product_Name],A565)</f>
        <v>0</v>
      </c>
      <c r="G565" s="3" cm="1">
        <f t="array" ref="G565">SUMPRODUCT((tbl_raw[Product_Name]=A565)*(tbl_raw[MRP]-tbl_raw[Selling_Price])*tbl_raw[Units_Sold])</f>
        <v>19056</v>
      </c>
      <c r="H565" s="83">
        <f>AVERAGEIFS(tbl_raw[Discount_Pct],tbl_raw[Product_Name],A565)</f>
        <v>0.28000000000000003</v>
      </c>
    </row>
    <row r="566" spans="1:8" hidden="1" x14ac:dyDescent="0.25">
      <c r="A566" s="2" t="str">
        <v>Kurta - Model 576</v>
      </c>
      <c r="B566" s="2" t="str">
        <f>_xlfn.XLOOKUP(A566,tbl_raw[Product_Name],tbl_raw[Category])</f>
        <v>Fashion</v>
      </c>
      <c r="C566" s="2">
        <f>COUNTIF(tbl_raw[Product_Name],A566)</f>
        <v>1</v>
      </c>
      <c r="D566" s="2">
        <f>SUMIFS(tbl_raw[Units_Sold],tbl_raw[Product_Name],A566)</f>
        <v>7</v>
      </c>
      <c r="E566" s="3">
        <f>SUMIFS(tbl_raw[Net_Profit],tbl_raw[Product_Name],A566)</f>
        <v>-336</v>
      </c>
      <c r="F566" s="2">
        <f>SUMIFS(tbl_raw[Return_Flag],tbl_raw[Product_Name],A566)</f>
        <v>0</v>
      </c>
      <c r="G566" s="3" cm="1">
        <f t="array" ref="G566">SUMPRODUCT((tbl_raw[Product_Name]=A566)*(tbl_raw[MRP]-tbl_raw[Selling_Price])*tbl_raw[Units_Sold])</f>
        <v>20279</v>
      </c>
      <c r="H566" s="83">
        <f>AVERAGEIFS(tbl_raw[Discount_Pct],tbl_raw[Product_Name],A566)</f>
        <v>0.45</v>
      </c>
    </row>
    <row r="567" spans="1:8" hidden="1" x14ac:dyDescent="0.25">
      <c r="A567" s="2" t="str">
        <v>Yoga Mat - Model 909</v>
      </c>
      <c r="B567" s="2" t="str">
        <f>_xlfn.XLOOKUP(A567,tbl_raw[Product_Name],tbl_raw[Category])</f>
        <v>Sports</v>
      </c>
      <c r="C567" s="2">
        <f>COUNTIF(tbl_raw[Product_Name],A567)</f>
        <v>1</v>
      </c>
      <c r="D567" s="2">
        <f>SUMIFS(tbl_raw[Units_Sold],tbl_raw[Product_Name],A567)</f>
        <v>10</v>
      </c>
      <c r="E567" s="3">
        <f>SUMIFS(tbl_raw[Net_Profit],tbl_raw[Product_Name],A567)</f>
        <v>1600</v>
      </c>
      <c r="F567" s="2">
        <f>SUMIFS(tbl_raw[Return_Flag],tbl_raw[Product_Name],A567)</f>
        <v>0</v>
      </c>
      <c r="G567" s="3" cm="1">
        <f t="array" ref="G567">SUMPRODUCT((tbl_raw[Product_Name]=A567)*(tbl_raw[MRP]-tbl_raw[Selling_Price])*tbl_raw[Units_Sold])</f>
        <v>6360</v>
      </c>
      <c r="H567" s="83">
        <f>AVERAGEIFS(tbl_raw[Discount_Pct],tbl_raw[Product_Name],A567)</f>
        <v>0.25</v>
      </c>
    </row>
    <row r="568" spans="1:8" hidden="1" x14ac:dyDescent="0.25">
      <c r="A568" s="2" t="str">
        <v>Pressure Cooker - Model 438</v>
      </c>
      <c r="B568" s="2" t="str">
        <f>_xlfn.XLOOKUP(A568,tbl_raw[Product_Name],tbl_raw[Category])</f>
        <v>Home &amp; Kitchen</v>
      </c>
      <c r="C568" s="2">
        <f>COUNTIF(tbl_raw[Product_Name],A568)</f>
        <v>1</v>
      </c>
      <c r="D568" s="2">
        <f>SUMIFS(tbl_raw[Units_Sold],tbl_raw[Product_Name],A568)</f>
        <v>16</v>
      </c>
      <c r="E568" s="3">
        <f>SUMIFS(tbl_raw[Net_Profit],tbl_raw[Product_Name],A568)</f>
        <v>16</v>
      </c>
      <c r="F568" s="2">
        <f>SUMIFS(tbl_raw[Return_Flag],tbl_raw[Product_Name],A568)</f>
        <v>0</v>
      </c>
      <c r="G568" s="3" cm="1">
        <f t="array" ref="G568">SUMPRODUCT((tbl_raw[Product_Name]=A568)*(tbl_raw[MRP]-tbl_raw[Selling_Price])*tbl_raw[Units_Sold])</f>
        <v>42320</v>
      </c>
      <c r="H568" s="83">
        <f>AVERAGEIFS(tbl_raw[Discount_Pct],tbl_raw[Product_Name],A568)</f>
        <v>0.36</v>
      </c>
    </row>
    <row r="569" spans="1:8" hidden="1" x14ac:dyDescent="0.25">
      <c r="A569" s="2" t="str">
        <v>Action Figure - Model 955</v>
      </c>
      <c r="B569" s="2" t="str">
        <f>_xlfn.XLOOKUP(A569,tbl_raw[Product_Name],tbl_raw[Category])</f>
        <v>Toys</v>
      </c>
      <c r="C569" s="2">
        <f>COUNTIF(tbl_raw[Product_Name],A569)</f>
        <v>1</v>
      </c>
      <c r="D569" s="2">
        <f>SUMIFS(tbl_raw[Units_Sold],tbl_raw[Product_Name],A569)</f>
        <v>10</v>
      </c>
      <c r="E569" s="3">
        <f>SUMIFS(tbl_raw[Net_Profit],tbl_raw[Product_Name],A569)</f>
        <v>4080</v>
      </c>
      <c r="F569" s="2">
        <f>SUMIFS(tbl_raw[Return_Flag],tbl_raw[Product_Name],A569)</f>
        <v>1</v>
      </c>
      <c r="G569" s="3" cm="1">
        <f t="array" ref="G569">SUMPRODUCT((tbl_raw[Product_Name]=A569)*(tbl_raw[MRP]-tbl_raw[Selling_Price])*tbl_raw[Units_Sold])</f>
        <v>14280</v>
      </c>
      <c r="H569" s="83">
        <f>AVERAGEIFS(tbl_raw[Discount_Pct],tbl_raw[Product_Name],A569)</f>
        <v>0.31</v>
      </c>
    </row>
    <row r="570" spans="1:8" hidden="1" x14ac:dyDescent="0.25">
      <c r="A570" s="2" t="str">
        <v>Bedsheet - Model 960</v>
      </c>
      <c r="B570" s="2" t="str">
        <f>_xlfn.XLOOKUP(A570,tbl_raw[Product_Name],tbl_raw[Category])</f>
        <v>Home &amp; Kitchen</v>
      </c>
      <c r="C570" s="2">
        <f>COUNTIF(tbl_raw[Product_Name],A570)</f>
        <v>1</v>
      </c>
      <c r="D570" s="2">
        <f>SUMIFS(tbl_raw[Units_Sold],tbl_raw[Product_Name],A570)</f>
        <v>11</v>
      </c>
      <c r="E570" s="3">
        <f>SUMIFS(tbl_raw[Net_Profit],tbl_raw[Product_Name],A570)</f>
        <v>902</v>
      </c>
      <c r="F570" s="2">
        <f>SUMIFS(tbl_raw[Return_Flag],tbl_raw[Product_Name],A570)</f>
        <v>0</v>
      </c>
      <c r="G570" s="3" cm="1">
        <f t="array" ref="G570">SUMPRODUCT((tbl_raw[Product_Name]=A570)*(tbl_raw[MRP]-tbl_raw[Selling_Price])*tbl_raw[Units_Sold])</f>
        <v>24244</v>
      </c>
      <c r="H570" s="83">
        <f>AVERAGEIFS(tbl_raw[Discount_Pct],tbl_raw[Product_Name],A570)</f>
        <v>0.28000000000000003</v>
      </c>
    </row>
    <row r="571" spans="1:8" hidden="1" x14ac:dyDescent="0.25">
      <c r="A571" s="2" t="str">
        <v>Fiction - Model 378</v>
      </c>
      <c r="B571" s="2" t="str">
        <f>_xlfn.XLOOKUP(A571,tbl_raw[Product_Name],tbl_raw[Category])</f>
        <v>Books</v>
      </c>
      <c r="C571" s="2">
        <f>COUNTIF(tbl_raw[Product_Name],A571)</f>
        <v>1</v>
      </c>
      <c r="D571" s="2">
        <f>SUMIFS(tbl_raw[Units_Sold],tbl_raw[Product_Name],A571)</f>
        <v>3</v>
      </c>
      <c r="E571" s="3">
        <f>SUMIFS(tbl_raw[Net_Profit],tbl_raw[Product_Name],A571)</f>
        <v>3540</v>
      </c>
      <c r="F571" s="2">
        <f>SUMIFS(tbl_raw[Return_Flag],tbl_raw[Product_Name],A571)</f>
        <v>0</v>
      </c>
      <c r="G571" s="3" cm="1">
        <f t="array" ref="G571">SUMPRODUCT((tbl_raw[Product_Name]=A571)*(tbl_raw[MRP]-tbl_raw[Selling_Price])*tbl_raw[Units_Sold])</f>
        <v>1344</v>
      </c>
      <c r="H571" s="83">
        <f>AVERAGEIFS(tbl_raw[Discount_Pct],tbl_raw[Product_Name],A571)</f>
        <v>0.11</v>
      </c>
    </row>
    <row r="572" spans="1:8" hidden="1" x14ac:dyDescent="0.25">
      <c r="A572" s="2" t="str">
        <v>Laptop - Model 194</v>
      </c>
      <c r="B572" s="2" t="str">
        <f>_xlfn.XLOOKUP(A572,tbl_raw[Product_Name],tbl_raw[Category])</f>
        <v>Electronics</v>
      </c>
      <c r="C572" s="2">
        <f>COUNTIF(tbl_raw[Product_Name],A572)</f>
        <v>1</v>
      </c>
      <c r="D572" s="2">
        <f>SUMIFS(tbl_raw[Units_Sold],tbl_raw[Product_Name],A572)</f>
        <v>17</v>
      </c>
      <c r="E572" s="3">
        <f>SUMIFS(tbl_raw[Net_Profit],tbl_raw[Product_Name],A572)</f>
        <v>357</v>
      </c>
      <c r="F572" s="2">
        <f>SUMIFS(tbl_raw[Return_Flag],tbl_raw[Product_Name],A572)</f>
        <v>0</v>
      </c>
      <c r="G572" s="3" cm="1">
        <f t="array" ref="G572">SUMPRODUCT((tbl_raw[Product_Name]=A572)*(tbl_raw[MRP]-tbl_raw[Selling_Price])*tbl_raw[Units_Sold])</f>
        <v>1479</v>
      </c>
      <c r="H572" s="83">
        <f>AVERAGEIFS(tbl_raw[Discount_Pct],tbl_raw[Product_Name],A572)</f>
        <v>0.22</v>
      </c>
    </row>
    <row r="573" spans="1:8" hidden="1" x14ac:dyDescent="0.25">
      <c r="A573" s="2" t="str">
        <v>Jacket - Model 792</v>
      </c>
      <c r="B573" s="2" t="str">
        <f>_xlfn.XLOOKUP(A573,tbl_raw[Product_Name],tbl_raw[Category])</f>
        <v>Fashion</v>
      </c>
      <c r="C573" s="2">
        <f>COUNTIF(tbl_raw[Product_Name],A573)</f>
        <v>1</v>
      </c>
      <c r="D573" s="2">
        <f>SUMIFS(tbl_raw[Units_Sold],tbl_raw[Product_Name],A573)</f>
        <v>7</v>
      </c>
      <c r="E573" s="3">
        <f>SUMIFS(tbl_raw[Net_Profit],tbl_raw[Product_Name],A573)</f>
        <v>4984</v>
      </c>
      <c r="F573" s="2">
        <f>SUMIFS(tbl_raw[Return_Flag],tbl_raw[Product_Name],A573)</f>
        <v>0</v>
      </c>
      <c r="G573" s="3" cm="1">
        <f t="array" ref="G573">SUMPRODUCT((tbl_raw[Product_Name]=A573)*(tbl_raw[MRP]-tbl_raw[Selling_Price])*tbl_raw[Units_Sold])</f>
        <v>8603</v>
      </c>
      <c r="H573" s="83">
        <f>AVERAGEIFS(tbl_raw[Discount_Pct],tbl_raw[Product_Name],A573)</f>
        <v>0.21</v>
      </c>
    </row>
    <row r="574" spans="1:8" hidden="1" x14ac:dyDescent="0.25">
      <c r="A574" s="2" t="str">
        <v>Saree - Model 578</v>
      </c>
      <c r="B574" s="2" t="str">
        <f>_xlfn.XLOOKUP(A574,tbl_raw[Product_Name],tbl_raw[Category])</f>
        <v>Fashion</v>
      </c>
      <c r="C574" s="2">
        <f>COUNTIF(tbl_raw[Product_Name],A574)</f>
        <v>1</v>
      </c>
      <c r="D574" s="2">
        <f>SUMIFS(tbl_raw[Units_Sold],tbl_raw[Product_Name],A574)</f>
        <v>4</v>
      </c>
      <c r="E574" s="3">
        <f>SUMIFS(tbl_raw[Net_Profit],tbl_raw[Product_Name],A574)</f>
        <v>2784</v>
      </c>
      <c r="F574" s="2">
        <f>SUMIFS(tbl_raw[Return_Flag],tbl_raw[Product_Name],A574)</f>
        <v>0</v>
      </c>
      <c r="G574" s="3" cm="1">
        <f t="array" ref="G574">SUMPRODUCT((tbl_raw[Product_Name]=A574)*(tbl_raw[MRP]-tbl_raw[Selling_Price])*tbl_raw[Units_Sold])</f>
        <v>5112</v>
      </c>
      <c r="H574" s="83">
        <f>AVERAGEIFS(tbl_raw[Discount_Pct],tbl_raw[Product_Name],A574)</f>
        <v>0.3</v>
      </c>
    </row>
    <row r="575" spans="1:8" hidden="1" x14ac:dyDescent="0.25">
      <c r="A575" s="2" t="str">
        <v>Yoga Mat - Model 645</v>
      </c>
      <c r="B575" s="2" t="str">
        <f>_xlfn.XLOOKUP(A575,tbl_raw[Product_Name],tbl_raw[Category])</f>
        <v>Sports</v>
      </c>
      <c r="C575" s="2">
        <f>COUNTIF(tbl_raw[Product_Name],A575)</f>
        <v>1</v>
      </c>
      <c r="D575" s="2">
        <f>SUMIFS(tbl_raw[Units_Sold],tbl_raw[Product_Name],A575)</f>
        <v>15</v>
      </c>
      <c r="E575" s="3">
        <f>SUMIFS(tbl_raw[Net_Profit],tbl_raw[Product_Name],A575)</f>
        <v>33930</v>
      </c>
      <c r="F575" s="2">
        <f>SUMIFS(tbl_raw[Return_Flag],tbl_raw[Product_Name],A575)</f>
        <v>0</v>
      </c>
      <c r="G575" s="3" cm="1">
        <f t="array" ref="G575">SUMPRODUCT((tbl_raw[Product_Name]=A575)*(tbl_raw[MRP]-tbl_raw[Selling_Price])*tbl_raw[Units_Sold])</f>
        <v>9780</v>
      </c>
      <c r="H575" s="83">
        <f>AVERAGEIFS(tbl_raw[Discount_Pct],tbl_raw[Product_Name],A575)</f>
        <v>0.12</v>
      </c>
    </row>
    <row r="576" spans="1:8" hidden="1" x14ac:dyDescent="0.25">
      <c r="A576" s="2" t="str">
        <v>Textbook - Model 244</v>
      </c>
      <c r="B576" s="2" t="str">
        <f>_xlfn.XLOOKUP(A576,tbl_raw[Product_Name],tbl_raw[Category])</f>
        <v>Books</v>
      </c>
      <c r="C576" s="2">
        <f>COUNTIF(tbl_raw[Product_Name],A576)</f>
        <v>1</v>
      </c>
      <c r="D576" s="2">
        <f>SUMIFS(tbl_raw[Units_Sold],tbl_raw[Product_Name],A576)</f>
        <v>19</v>
      </c>
      <c r="E576" s="3">
        <f>SUMIFS(tbl_raw[Net_Profit],tbl_raw[Product_Name],A576)</f>
        <v>12711</v>
      </c>
      <c r="F576" s="2">
        <f>SUMIFS(tbl_raw[Return_Flag],tbl_raw[Product_Name],A576)</f>
        <v>0</v>
      </c>
      <c r="G576" s="3" cm="1">
        <f t="array" ref="G576">SUMPRODUCT((tbl_raw[Product_Name]=A576)*(tbl_raw[MRP]-tbl_raw[Selling_Price])*tbl_raw[Units_Sold])</f>
        <v>1197</v>
      </c>
      <c r="H576" s="83">
        <f>AVERAGEIFS(tbl_raw[Discount_Pct],tbl_raw[Product_Name],A576)</f>
        <v>0.03</v>
      </c>
    </row>
    <row r="577" spans="1:8" hidden="1" x14ac:dyDescent="0.25">
      <c r="A577" s="2" t="str">
        <v>Shoes - Model 155</v>
      </c>
      <c r="B577" s="2" t="str">
        <f>_xlfn.XLOOKUP(A577,tbl_raw[Product_Name],tbl_raw[Category])</f>
        <v>Fashion</v>
      </c>
      <c r="C577" s="2">
        <f>COUNTIF(tbl_raw[Product_Name],A577)</f>
        <v>1</v>
      </c>
      <c r="D577" s="2">
        <f>SUMIFS(tbl_raw[Units_Sold],tbl_raw[Product_Name],A577)</f>
        <v>14</v>
      </c>
      <c r="E577" s="3">
        <f>SUMIFS(tbl_raw[Net_Profit],tbl_raw[Product_Name],A577)</f>
        <v>-3192</v>
      </c>
      <c r="F577" s="2">
        <f>SUMIFS(tbl_raw[Return_Flag],tbl_raw[Product_Name],A577)</f>
        <v>0</v>
      </c>
      <c r="G577" s="3" cm="1">
        <f t="array" ref="G577">SUMPRODUCT((tbl_raw[Product_Name]=A577)*(tbl_raw[MRP]-tbl_raw[Selling_Price])*tbl_raw[Units_Sold])</f>
        <v>14588</v>
      </c>
      <c r="H577" s="83">
        <f>AVERAGEIFS(tbl_raw[Discount_Pct],tbl_raw[Product_Name],A577)</f>
        <v>0.32</v>
      </c>
    </row>
    <row r="578" spans="1:8" hidden="1" x14ac:dyDescent="0.25">
      <c r="A578" s="2" t="str">
        <v>Shoes - Model 681</v>
      </c>
      <c r="B578" s="2" t="str">
        <f>_xlfn.XLOOKUP(A578,tbl_raw[Product_Name],tbl_raw[Category])</f>
        <v>Fashion</v>
      </c>
      <c r="C578" s="2">
        <f>COUNTIF(tbl_raw[Product_Name],A578)</f>
        <v>1</v>
      </c>
      <c r="D578" s="2">
        <f>SUMIFS(tbl_raw[Units_Sold],tbl_raw[Product_Name],A578)</f>
        <v>3</v>
      </c>
      <c r="E578" s="3">
        <f>SUMIFS(tbl_raw[Net_Profit],tbl_raw[Product_Name],A578)</f>
        <v>219</v>
      </c>
      <c r="F578" s="2">
        <f>SUMIFS(tbl_raw[Return_Flag],tbl_raw[Product_Name],A578)</f>
        <v>0</v>
      </c>
      <c r="G578" s="3" cm="1">
        <f t="array" ref="G578">SUMPRODUCT((tbl_raw[Product_Name]=A578)*(tbl_raw[MRP]-tbl_raw[Selling_Price])*tbl_raw[Units_Sold])</f>
        <v>8043</v>
      </c>
      <c r="H578" s="83">
        <f>AVERAGEIFS(tbl_raw[Discount_Pct],tbl_raw[Product_Name],A578)</f>
        <v>0.41</v>
      </c>
    </row>
    <row r="579" spans="1:8" hidden="1" x14ac:dyDescent="0.25">
      <c r="A579" s="2" t="str">
        <v>Yoga Mat - Model 501</v>
      </c>
      <c r="B579" s="2" t="str">
        <f>_xlfn.XLOOKUP(A579,tbl_raw[Product_Name],tbl_raw[Category])</f>
        <v>Sports</v>
      </c>
      <c r="C579" s="2">
        <f>COUNTIF(tbl_raw[Product_Name],A579)</f>
        <v>1</v>
      </c>
      <c r="D579" s="2">
        <f>SUMIFS(tbl_raw[Units_Sold],tbl_raw[Product_Name],A579)</f>
        <v>11</v>
      </c>
      <c r="E579" s="3">
        <f>SUMIFS(tbl_raw[Net_Profit],tbl_raw[Product_Name],A579)</f>
        <v>2497</v>
      </c>
      <c r="F579" s="2">
        <f>SUMIFS(tbl_raw[Return_Flag],tbl_raw[Product_Name],A579)</f>
        <v>0</v>
      </c>
      <c r="G579" s="3" cm="1">
        <f t="array" ref="G579">SUMPRODUCT((tbl_raw[Product_Name]=A579)*(tbl_raw[MRP]-tbl_raw[Selling_Price])*tbl_raw[Units_Sold])</f>
        <v>27951</v>
      </c>
      <c r="H579" s="83">
        <f>AVERAGEIFS(tbl_raw[Discount_Pct],tbl_raw[Product_Name],A579)</f>
        <v>0.4</v>
      </c>
    </row>
    <row r="580" spans="1:8" hidden="1" x14ac:dyDescent="0.25">
      <c r="A580" s="2" t="str">
        <v>Comic - Model 688</v>
      </c>
      <c r="B580" s="2" t="str">
        <f>_xlfn.XLOOKUP(A580,tbl_raw[Product_Name],tbl_raw[Category])</f>
        <v>Books</v>
      </c>
      <c r="C580" s="2">
        <f>COUNTIF(tbl_raw[Product_Name],A580)</f>
        <v>1</v>
      </c>
      <c r="D580" s="2">
        <f>SUMIFS(tbl_raw[Units_Sold],tbl_raw[Product_Name],A580)</f>
        <v>17</v>
      </c>
      <c r="E580" s="3">
        <f>SUMIFS(tbl_raw[Net_Profit],tbl_raw[Product_Name],A580)</f>
        <v>-2176</v>
      </c>
      <c r="F580" s="2">
        <f>SUMIFS(tbl_raw[Return_Flag],tbl_raw[Product_Name],A580)</f>
        <v>0</v>
      </c>
      <c r="G580" s="3" cm="1">
        <f t="array" ref="G580">SUMPRODUCT((tbl_raw[Product_Name]=A580)*(tbl_raw[MRP]-tbl_raw[Selling_Price])*tbl_raw[Units_Sold])</f>
        <v>6307</v>
      </c>
      <c r="H580" s="83">
        <f>AVERAGEIFS(tbl_raw[Discount_Pct],tbl_raw[Product_Name],A580)</f>
        <v>0.37</v>
      </c>
    </row>
    <row r="581" spans="1:8" hidden="1" x14ac:dyDescent="0.25">
      <c r="A581" s="2" t="str">
        <v>Board Game - Model 735</v>
      </c>
      <c r="B581" s="2" t="str">
        <f>_xlfn.XLOOKUP(A581,tbl_raw[Product_Name],tbl_raw[Category])</f>
        <v>Toys</v>
      </c>
      <c r="C581" s="2">
        <f>COUNTIF(tbl_raw[Product_Name],A581)</f>
        <v>1</v>
      </c>
      <c r="D581" s="2">
        <f>SUMIFS(tbl_raw[Units_Sold],tbl_raw[Product_Name],A581)</f>
        <v>18</v>
      </c>
      <c r="E581" s="3">
        <f>SUMIFS(tbl_raw[Net_Profit],tbl_raw[Product_Name],A581)</f>
        <v>8154</v>
      </c>
      <c r="F581" s="2">
        <f>SUMIFS(tbl_raw[Return_Flag],tbl_raw[Product_Name],A581)</f>
        <v>0</v>
      </c>
      <c r="G581" s="3" cm="1">
        <f t="array" ref="G581">SUMPRODUCT((tbl_raw[Product_Name]=A581)*(tbl_raw[MRP]-tbl_raw[Selling_Price])*tbl_raw[Units_Sold])</f>
        <v>5706</v>
      </c>
      <c r="H581" s="83">
        <f>AVERAGEIFS(tbl_raw[Discount_Pct],tbl_raw[Product_Name],A581)</f>
        <v>0.22</v>
      </c>
    </row>
    <row r="582" spans="1:8" hidden="1" x14ac:dyDescent="0.25">
      <c r="A582" s="2" t="str">
        <v>Comic - Model 810</v>
      </c>
      <c r="B582" s="2" t="str">
        <f>_xlfn.XLOOKUP(A582,tbl_raw[Product_Name],tbl_raw[Category])</f>
        <v>Books</v>
      </c>
      <c r="C582" s="2">
        <f>COUNTIF(tbl_raw[Product_Name],A582)</f>
        <v>1</v>
      </c>
      <c r="D582" s="2">
        <f>SUMIFS(tbl_raw[Units_Sold],tbl_raw[Product_Name],A582)</f>
        <v>6</v>
      </c>
      <c r="E582" s="3">
        <f>SUMIFS(tbl_raw[Net_Profit],tbl_raw[Product_Name],A582)</f>
        <v>6846</v>
      </c>
      <c r="F582" s="2">
        <f>SUMIFS(tbl_raw[Return_Flag],tbl_raw[Product_Name],A582)</f>
        <v>0</v>
      </c>
      <c r="G582" s="3" cm="1">
        <f t="array" ref="G582">SUMPRODUCT((tbl_raw[Product_Name]=A582)*(tbl_raw[MRP]-tbl_raw[Selling_Price])*tbl_raw[Units_Sold])</f>
        <v>1290</v>
      </c>
      <c r="H582" s="83">
        <f>AVERAGEIFS(tbl_raw[Discount_Pct],tbl_raw[Product_Name],A582)</f>
        <v>0.04</v>
      </c>
    </row>
    <row r="583" spans="1:8" hidden="1" x14ac:dyDescent="0.25">
      <c r="A583" s="2" t="str">
        <v>Shoes - Model 280</v>
      </c>
      <c r="B583" s="2" t="str">
        <f>_xlfn.XLOOKUP(A583,tbl_raw[Product_Name],tbl_raw[Category])</f>
        <v>Fashion</v>
      </c>
      <c r="C583" s="2">
        <f>COUNTIF(tbl_raw[Product_Name],A583)</f>
        <v>1</v>
      </c>
      <c r="D583" s="2">
        <f>SUMIFS(tbl_raw[Units_Sold],tbl_raw[Product_Name],A583)</f>
        <v>13</v>
      </c>
      <c r="E583" s="3">
        <f>SUMIFS(tbl_raw[Net_Profit],tbl_raw[Product_Name],A583)</f>
        <v>663</v>
      </c>
      <c r="F583" s="2">
        <f>SUMIFS(tbl_raw[Return_Flag],tbl_raw[Product_Name],A583)</f>
        <v>0</v>
      </c>
      <c r="G583" s="3" cm="1">
        <f t="array" ref="G583">SUMPRODUCT((tbl_raw[Product_Name]=A583)*(tbl_raw[MRP]-tbl_raw[Selling_Price])*tbl_raw[Units_Sold])</f>
        <v>481</v>
      </c>
      <c r="H583" s="83">
        <f>AVERAGEIFS(tbl_raw[Discount_Pct],tbl_raw[Product_Name],A583)</f>
        <v>0.05</v>
      </c>
    </row>
    <row r="584" spans="1:8" hidden="1" x14ac:dyDescent="0.25">
      <c r="A584" s="2" t="str">
        <v>Serum - Model 694</v>
      </c>
      <c r="B584" s="2" t="str">
        <f>_xlfn.XLOOKUP(A584,tbl_raw[Product_Name],tbl_raw[Category])</f>
        <v>Beauty</v>
      </c>
      <c r="C584" s="2">
        <f>COUNTIF(tbl_raw[Product_Name],A584)</f>
        <v>1</v>
      </c>
      <c r="D584" s="2">
        <f>SUMIFS(tbl_raw[Units_Sold],tbl_raw[Product_Name],A584)</f>
        <v>5</v>
      </c>
      <c r="E584" s="3">
        <f>SUMIFS(tbl_raw[Net_Profit],tbl_raw[Product_Name],A584)</f>
        <v>7370</v>
      </c>
      <c r="F584" s="2">
        <f>SUMIFS(tbl_raw[Return_Flag],tbl_raw[Product_Name],A584)</f>
        <v>0</v>
      </c>
      <c r="G584" s="3" cm="1">
        <f t="array" ref="G584">SUMPRODUCT((tbl_raw[Product_Name]=A584)*(tbl_raw[MRP]-tbl_raw[Selling_Price])*tbl_raw[Units_Sold])</f>
        <v>5355</v>
      </c>
      <c r="H584" s="83">
        <f>AVERAGEIFS(tbl_raw[Discount_Pct],tbl_raw[Product_Name],A584)</f>
        <v>0.2</v>
      </c>
    </row>
    <row r="585" spans="1:8" hidden="1" x14ac:dyDescent="0.25">
      <c r="A585" s="2" t="str">
        <v>Dumbbells - Model 835</v>
      </c>
      <c r="B585" s="2" t="str">
        <f>_xlfn.XLOOKUP(A585,tbl_raw[Product_Name],tbl_raw[Category])</f>
        <v>Sports</v>
      </c>
      <c r="C585" s="2">
        <f>COUNTIF(tbl_raw[Product_Name],A585)</f>
        <v>1</v>
      </c>
      <c r="D585" s="2">
        <f>SUMIFS(tbl_raw[Units_Sold],tbl_raw[Product_Name],A585)</f>
        <v>3</v>
      </c>
      <c r="E585" s="3">
        <f>SUMIFS(tbl_raw[Net_Profit],tbl_raw[Product_Name],A585)</f>
        <v>1539</v>
      </c>
      <c r="F585" s="2">
        <f>SUMIFS(tbl_raw[Return_Flag],tbl_raw[Product_Name],A585)</f>
        <v>0</v>
      </c>
      <c r="G585" s="3" cm="1">
        <f t="array" ref="G585">SUMPRODUCT((tbl_raw[Product_Name]=A585)*(tbl_raw[MRP]-tbl_raw[Selling_Price])*tbl_raw[Units_Sold])</f>
        <v>3987</v>
      </c>
      <c r="H585" s="83">
        <f>AVERAGEIFS(tbl_raw[Discount_Pct],tbl_raw[Product_Name],A585)</f>
        <v>0.28000000000000003</v>
      </c>
    </row>
    <row r="586" spans="1:8" hidden="1" x14ac:dyDescent="0.25">
      <c r="A586" s="2" t="str">
        <v>Fiction - Model 981</v>
      </c>
      <c r="B586" s="2" t="str">
        <f>_xlfn.XLOOKUP(A586,tbl_raw[Product_Name],tbl_raw[Category])</f>
        <v>Books</v>
      </c>
      <c r="C586" s="2">
        <f>COUNTIF(tbl_raw[Product_Name],A586)</f>
        <v>1</v>
      </c>
      <c r="D586" s="2">
        <f>SUMIFS(tbl_raw[Units_Sold],tbl_raw[Product_Name],A586)</f>
        <v>1</v>
      </c>
      <c r="E586" s="3">
        <f>SUMIFS(tbl_raw[Net_Profit],tbl_raw[Product_Name],A586)</f>
        <v>211</v>
      </c>
      <c r="F586" s="2">
        <f>SUMIFS(tbl_raw[Return_Flag],tbl_raw[Product_Name],A586)</f>
        <v>0</v>
      </c>
      <c r="G586" s="3" cm="1">
        <f t="array" ref="G586">SUMPRODUCT((tbl_raw[Product_Name]=A586)*(tbl_raw[MRP]-tbl_raw[Selling_Price])*tbl_raw[Units_Sold])</f>
        <v>651</v>
      </c>
      <c r="H586" s="83">
        <f>AVERAGEIFS(tbl_raw[Discount_Pct],tbl_raw[Product_Name],A586)</f>
        <v>0.32</v>
      </c>
    </row>
    <row r="587" spans="1:8" hidden="1" x14ac:dyDescent="0.25">
      <c r="A587" s="2" t="str">
        <v>Curtain - Model 242</v>
      </c>
      <c r="B587" s="2" t="str">
        <f>_xlfn.XLOOKUP(A587,tbl_raw[Product_Name],tbl_raw[Category])</f>
        <v>Home &amp; Kitchen</v>
      </c>
      <c r="C587" s="2">
        <f>COUNTIF(tbl_raw[Product_Name],A587)</f>
        <v>1</v>
      </c>
      <c r="D587" s="2">
        <f>SUMIFS(tbl_raw[Units_Sold],tbl_raw[Product_Name],A587)</f>
        <v>18</v>
      </c>
      <c r="E587" s="3">
        <f>SUMIFS(tbl_raw[Net_Profit],tbl_raw[Product_Name],A587)</f>
        <v>-7524</v>
      </c>
      <c r="F587" s="2">
        <f>SUMIFS(tbl_raw[Return_Flag],tbl_raw[Product_Name],A587)</f>
        <v>0</v>
      </c>
      <c r="G587" s="3" cm="1">
        <f t="array" ref="G587">SUMPRODUCT((tbl_raw[Product_Name]=A587)*(tbl_raw[MRP]-tbl_raw[Selling_Price])*tbl_raw[Units_Sold])</f>
        <v>24192</v>
      </c>
      <c r="H587" s="83">
        <f>AVERAGEIFS(tbl_raw[Discount_Pct],tbl_raw[Product_Name],A587)</f>
        <v>0.42</v>
      </c>
    </row>
    <row r="588" spans="1:8" hidden="1" x14ac:dyDescent="0.25">
      <c r="A588" s="2" t="str">
        <v>Pulses - Model 239</v>
      </c>
      <c r="B588" s="2" t="str">
        <f>_xlfn.XLOOKUP(A588,tbl_raw[Product_Name],tbl_raw[Category])</f>
        <v>Grocery</v>
      </c>
      <c r="C588" s="2">
        <f>COUNTIF(tbl_raw[Product_Name],A588)</f>
        <v>1</v>
      </c>
      <c r="D588" s="2">
        <f>SUMIFS(tbl_raw[Units_Sold],tbl_raw[Product_Name],A588)</f>
        <v>5</v>
      </c>
      <c r="E588" s="3">
        <f>SUMIFS(tbl_raw[Net_Profit],tbl_raw[Product_Name],A588)</f>
        <v>5780</v>
      </c>
      <c r="F588" s="2">
        <f>SUMIFS(tbl_raw[Return_Flag],tbl_raw[Product_Name],A588)</f>
        <v>0</v>
      </c>
      <c r="G588" s="3" cm="1">
        <f t="array" ref="G588">SUMPRODUCT((tbl_raw[Product_Name]=A588)*(tbl_raw[MRP]-tbl_raw[Selling_Price])*tbl_raw[Units_Sold])</f>
        <v>4950</v>
      </c>
      <c r="H588" s="83">
        <f>AVERAGEIFS(tbl_raw[Discount_Pct],tbl_raw[Product_Name],A588)</f>
        <v>0.19</v>
      </c>
    </row>
    <row r="589" spans="1:8" hidden="1" x14ac:dyDescent="0.25">
      <c r="A589" s="2" t="str">
        <v>Doll - Model 939</v>
      </c>
      <c r="B589" s="2" t="str">
        <f>_xlfn.XLOOKUP(A589,tbl_raw[Product_Name],tbl_raw[Category])</f>
        <v>Toys</v>
      </c>
      <c r="C589" s="2">
        <f>COUNTIF(tbl_raw[Product_Name],A589)</f>
        <v>1</v>
      </c>
      <c r="D589" s="2">
        <f>SUMIFS(tbl_raw[Units_Sold],tbl_raw[Product_Name],A589)</f>
        <v>13</v>
      </c>
      <c r="E589" s="3">
        <f>SUMIFS(tbl_raw[Net_Profit],tbl_raw[Product_Name],A589)</f>
        <v>10387</v>
      </c>
      <c r="F589" s="2">
        <f>SUMIFS(tbl_raw[Return_Flag],tbl_raw[Product_Name],A589)</f>
        <v>0</v>
      </c>
      <c r="G589" s="3" cm="1">
        <f t="array" ref="G589">SUMPRODUCT((tbl_raw[Product_Name]=A589)*(tbl_raw[MRP]-tbl_raw[Selling_Price])*tbl_raw[Units_Sold])</f>
        <v>3094</v>
      </c>
      <c r="H589" s="83">
        <f>AVERAGEIFS(tbl_raw[Discount_Pct],tbl_raw[Product_Name],A589)</f>
        <v>0.08</v>
      </c>
    </row>
    <row r="590" spans="1:8" hidden="1" x14ac:dyDescent="0.25">
      <c r="A590" s="2" t="str">
        <v>Fiction - Model 138</v>
      </c>
      <c r="B590" s="2" t="str">
        <f>_xlfn.XLOOKUP(A590,tbl_raw[Product_Name],tbl_raw[Category])</f>
        <v>Books</v>
      </c>
      <c r="C590" s="2">
        <f>COUNTIF(tbl_raw[Product_Name],A590)</f>
        <v>1</v>
      </c>
      <c r="D590" s="2">
        <f>SUMIFS(tbl_raw[Units_Sold],tbl_raw[Product_Name],A590)</f>
        <v>16</v>
      </c>
      <c r="E590" s="3">
        <f>SUMIFS(tbl_raw[Net_Profit],tbl_raw[Product_Name],A590)</f>
        <v>32624</v>
      </c>
      <c r="F590" s="2">
        <f>SUMIFS(tbl_raw[Return_Flag],tbl_raw[Product_Name],A590)</f>
        <v>0</v>
      </c>
      <c r="G590" s="3" cm="1">
        <f t="array" ref="G590">SUMPRODUCT((tbl_raw[Product_Name]=A590)*(tbl_raw[MRP]-tbl_raw[Selling_Price])*tbl_raw[Units_Sold])</f>
        <v>4560</v>
      </c>
      <c r="H590" s="83">
        <f>AVERAGEIFS(tbl_raw[Discount_Pct],tbl_raw[Product_Name],A590)</f>
        <v>0.05</v>
      </c>
    </row>
    <row r="591" spans="1:8" hidden="1" x14ac:dyDescent="0.25">
      <c r="A591" s="2" t="str">
        <v>Jacket - Model 724</v>
      </c>
      <c r="B591" s="2" t="str">
        <f>_xlfn.XLOOKUP(A591,tbl_raw[Product_Name],tbl_raw[Category])</f>
        <v>Fashion</v>
      </c>
      <c r="C591" s="2">
        <f>COUNTIF(tbl_raw[Product_Name],A591)</f>
        <v>1</v>
      </c>
      <c r="D591" s="2">
        <f>SUMIFS(tbl_raw[Units_Sold],tbl_raw[Product_Name],A591)</f>
        <v>8</v>
      </c>
      <c r="E591" s="3">
        <f>SUMIFS(tbl_raw[Net_Profit],tbl_raw[Product_Name],A591)</f>
        <v>-2392</v>
      </c>
      <c r="F591" s="2">
        <f>SUMIFS(tbl_raw[Return_Flag],tbl_raw[Product_Name],A591)</f>
        <v>0</v>
      </c>
      <c r="G591" s="3" cm="1">
        <f t="array" ref="G591">SUMPRODUCT((tbl_raw[Product_Name]=A591)*(tbl_raw[MRP]-tbl_raw[Selling_Price])*tbl_raw[Units_Sold])</f>
        <v>10256</v>
      </c>
      <c r="H591" s="83">
        <f>AVERAGEIFS(tbl_raw[Discount_Pct],tbl_raw[Product_Name],A591)</f>
        <v>0.33</v>
      </c>
    </row>
    <row r="592" spans="1:8" hidden="1" x14ac:dyDescent="0.25">
      <c r="A592" s="2" t="str">
        <v>Smartwatch - Model 564</v>
      </c>
      <c r="B592" s="2" t="str">
        <f>_xlfn.XLOOKUP(A592,tbl_raw[Product_Name],tbl_raw[Category])</f>
        <v>Electronics</v>
      </c>
      <c r="C592" s="2">
        <f>COUNTIF(tbl_raw[Product_Name],A592)</f>
        <v>1</v>
      </c>
      <c r="D592" s="2">
        <f>SUMIFS(tbl_raw[Units_Sold],tbl_raw[Product_Name],A592)</f>
        <v>16</v>
      </c>
      <c r="E592" s="3">
        <f>SUMIFS(tbl_raw[Net_Profit],tbl_raw[Product_Name],A592)</f>
        <v>21584</v>
      </c>
      <c r="F592" s="2">
        <f>SUMIFS(tbl_raw[Return_Flag],tbl_raw[Product_Name],A592)</f>
        <v>0</v>
      </c>
      <c r="G592" s="3" cm="1">
        <f t="array" ref="G592">SUMPRODUCT((tbl_raw[Product_Name]=A592)*(tbl_raw[MRP]-tbl_raw[Selling_Price])*tbl_raw[Units_Sold])</f>
        <v>11232</v>
      </c>
      <c r="H592" s="83">
        <f>AVERAGEIFS(tbl_raw[Discount_Pct],tbl_raw[Product_Name],A592)</f>
        <v>0.15</v>
      </c>
    </row>
    <row r="593" spans="1:8" hidden="1" x14ac:dyDescent="0.25">
      <c r="A593" s="2" t="str">
        <v>Cycle - Model 366</v>
      </c>
      <c r="B593" s="2" t="str">
        <f>_xlfn.XLOOKUP(A593,tbl_raw[Product_Name],tbl_raw[Category])</f>
        <v>Sports</v>
      </c>
      <c r="C593" s="2">
        <f>COUNTIF(tbl_raw[Product_Name],A593)</f>
        <v>1</v>
      </c>
      <c r="D593" s="2">
        <f>SUMIFS(tbl_raw[Units_Sold],tbl_raw[Product_Name],A593)</f>
        <v>16</v>
      </c>
      <c r="E593" s="3">
        <f>SUMIFS(tbl_raw[Net_Profit],tbl_raw[Product_Name],A593)</f>
        <v>7120</v>
      </c>
      <c r="F593" s="2">
        <f>SUMIFS(tbl_raw[Return_Flag],tbl_raw[Product_Name],A593)</f>
        <v>0</v>
      </c>
      <c r="G593" s="3" cm="1">
        <f t="array" ref="G593">SUMPRODUCT((tbl_raw[Product_Name]=A593)*(tbl_raw[MRP]-tbl_raw[Selling_Price])*tbl_raw[Units_Sold])</f>
        <v>19600</v>
      </c>
      <c r="H593" s="83">
        <f>AVERAGEIFS(tbl_raw[Discount_Pct],tbl_raw[Product_Name],A593)</f>
        <v>0.26</v>
      </c>
    </row>
    <row r="594" spans="1:8" hidden="1" x14ac:dyDescent="0.25">
      <c r="A594" s="2" t="str">
        <v>Saree - Model 358</v>
      </c>
      <c r="B594" s="2" t="str">
        <f>_xlfn.XLOOKUP(A594,tbl_raw[Product_Name],tbl_raw[Category])</f>
        <v>Fashion</v>
      </c>
      <c r="C594" s="2">
        <f>COUNTIF(tbl_raw[Product_Name],A594)</f>
        <v>1</v>
      </c>
      <c r="D594" s="2">
        <f>SUMIFS(tbl_raw[Units_Sold],tbl_raw[Product_Name],A594)</f>
        <v>20</v>
      </c>
      <c r="E594" s="3">
        <f>SUMIFS(tbl_raw[Net_Profit],tbl_raw[Product_Name],A594)</f>
        <v>8860</v>
      </c>
      <c r="F594" s="2">
        <f>SUMIFS(tbl_raw[Return_Flag],tbl_raw[Product_Name],A594)</f>
        <v>1</v>
      </c>
      <c r="G594" s="3" cm="1">
        <f t="array" ref="G594">SUMPRODUCT((tbl_raw[Product_Name]=A594)*(tbl_raw[MRP]-tbl_raw[Selling_Price])*tbl_raw[Units_Sold])</f>
        <v>18660</v>
      </c>
      <c r="H594" s="83">
        <f>AVERAGEIFS(tbl_raw[Discount_Pct],tbl_raw[Product_Name],A594)</f>
        <v>0.39</v>
      </c>
    </row>
    <row r="595" spans="1:8" hidden="1" x14ac:dyDescent="0.25">
      <c r="A595" s="2" t="str">
        <v>Self-Help - Model 367</v>
      </c>
      <c r="B595" s="2" t="str">
        <f>_xlfn.XLOOKUP(A595,tbl_raw[Product_Name],tbl_raw[Category])</f>
        <v>Books</v>
      </c>
      <c r="C595" s="2">
        <f>COUNTIF(tbl_raw[Product_Name],A595)</f>
        <v>1</v>
      </c>
      <c r="D595" s="2">
        <f>SUMIFS(tbl_raw[Units_Sold],tbl_raw[Product_Name],A595)</f>
        <v>16</v>
      </c>
      <c r="E595" s="3">
        <f>SUMIFS(tbl_raw[Net_Profit],tbl_raw[Product_Name],A595)</f>
        <v>6128</v>
      </c>
      <c r="F595" s="2">
        <f>SUMIFS(tbl_raw[Return_Flag],tbl_raw[Product_Name],A595)</f>
        <v>0</v>
      </c>
      <c r="G595" s="3" cm="1">
        <f t="array" ref="G595">SUMPRODUCT((tbl_raw[Product_Name]=A595)*(tbl_raw[MRP]-tbl_raw[Selling_Price])*tbl_raw[Units_Sold])</f>
        <v>6176</v>
      </c>
      <c r="H595" s="83">
        <f>AVERAGEIFS(tbl_raw[Discount_Pct],tbl_raw[Product_Name],A595)</f>
        <v>0.24</v>
      </c>
    </row>
    <row r="596" spans="1:8" hidden="1" x14ac:dyDescent="0.25">
      <c r="A596" s="2" t="str">
        <v>Remote Car - Model 343</v>
      </c>
      <c r="B596" s="2" t="str">
        <f>_xlfn.XLOOKUP(A596,tbl_raw[Product_Name],tbl_raw[Category])</f>
        <v>Toys</v>
      </c>
      <c r="C596" s="2">
        <f>COUNTIF(tbl_raw[Product_Name],A596)</f>
        <v>1</v>
      </c>
      <c r="D596" s="2">
        <f>SUMIFS(tbl_raw[Units_Sold],tbl_raw[Product_Name],A596)</f>
        <v>6</v>
      </c>
      <c r="E596" s="3">
        <f>SUMIFS(tbl_raw[Net_Profit],tbl_raw[Product_Name],A596)</f>
        <v>894</v>
      </c>
      <c r="F596" s="2">
        <f>SUMIFS(tbl_raw[Return_Flag],tbl_raw[Product_Name],A596)</f>
        <v>0</v>
      </c>
      <c r="G596" s="3" cm="1">
        <f t="array" ref="G596">SUMPRODUCT((tbl_raw[Product_Name]=A596)*(tbl_raw[MRP]-tbl_raw[Selling_Price])*tbl_raw[Units_Sold])</f>
        <v>3654</v>
      </c>
      <c r="H596" s="83">
        <f>AVERAGEIFS(tbl_raw[Discount_Pct],tbl_raw[Product_Name],A596)</f>
        <v>0.33</v>
      </c>
    </row>
    <row r="597" spans="1:8" hidden="1" x14ac:dyDescent="0.25">
      <c r="A597" s="2" t="str">
        <v>Spices - Model 339</v>
      </c>
      <c r="B597" s="2" t="str">
        <f>_xlfn.XLOOKUP(A597,tbl_raw[Product_Name],tbl_raw[Category])</f>
        <v>Grocery</v>
      </c>
      <c r="C597" s="2">
        <f>COUNTIF(tbl_raw[Product_Name],A597)</f>
        <v>1</v>
      </c>
      <c r="D597" s="2">
        <f>SUMIFS(tbl_raw[Units_Sold],tbl_raw[Product_Name],A597)</f>
        <v>13</v>
      </c>
      <c r="E597" s="3">
        <f>SUMIFS(tbl_raw[Net_Profit],tbl_raw[Product_Name],A597)</f>
        <v>11024</v>
      </c>
      <c r="F597" s="2">
        <f>SUMIFS(tbl_raw[Return_Flag],tbl_raw[Product_Name],A597)</f>
        <v>0</v>
      </c>
      <c r="G597" s="3" cm="1">
        <f t="array" ref="G597">SUMPRODUCT((tbl_raw[Product_Name]=A597)*(tbl_raw[MRP]-tbl_raw[Selling_Price])*tbl_raw[Units_Sold])</f>
        <v>3549</v>
      </c>
      <c r="H597" s="83">
        <f>AVERAGEIFS(tbl_raw[Discount_Pct],tbl_raw[Product_Name],A597)</f>
        <v>7.0000000000000007E-2</v>
      </c>
    </row>
    <row r="598" spans="1:8" hidden="1" x14ac:dyDescent="0.25">
      <c r="A598" s="2" t="str">
        <v>Mobile - Model 644</v>
      </c>
      <c r="B598" s="2" t="str">
        <f>_xlfn.XLOOKUP(A598,tbl_raw[Product_Name],tbl_raw[Category])</f>
        <v>Electronics</v>
      </c>
      <c r="C598" s="2">
        <f>COUNTIF(tbl_raw[Product_Name],A598)</f>
        <v>1</v>
      </c>
      <c r="D598" s="2">
        <f>SUMIFS(tbl_raw[Units_Sold],tbl_raw[Product_Name],A598)</f>
        <v>14</v>
      </c>
      <c r="E598" s="3">
        <f>SUMIFS(tbl_raw[Net_Profit],tbl_raw[Product_Name],A598)</f>
        <v>13916</v>
      </c>
      <c r="F598" s="2">
        <f>SUMIFS(tbl_raw[Return_Flag],tbl_raw[Product_Name],A598)</f>
        <v>0</v>
      </c>
      <c r="G598" s="3" cm="1">
        <f t="array" ref="G598">SUMPRODUCT((tbl_raw[Product_Name]=A598)*(tbl_raw[MRP]-tbl_raw[Selling_Price])*tbl_raw[Units_Sold])</f>
        <v>20146</v>
      </c>
      <c r="H598" s="83">
        <f>AVERAGEIFS(tbl_raw[Discount_Pct],tbl_raw[Product_Name],A598)</f>
        <v>0.28999999999999998</v>
      </c>
    </row>
    <row r="599" spans="1:8" hidden="1" x14ac:dyDescent="0.25">
      <c r="A599" s="2" t="str">
        <v>Sunscreen - Model 888</v>
      </c>
      <c r="B599" s="2" t="str">
        <f>_xlfn.XLOOKUP(A599,tbl_raw[Product_Name],tbl_raw[Category])</f>
        <v>Beauty</v>
      </c>
      <c r="C599" s="2">
        <f>COUNTIF(tbl_raw[Product_Name],A599)</f>
        <v>1</v>
      </c>
      <c r="D599" s="2">
        <f>SUMIFS(tbl_raw[Units_Sold],tbl_raw[Product_Name],A599)</f>
        <v>17</v>
      </c>
      <c r="E599" s="3">
        <f>SUMIFS(tbl_raw[Net_Profit],tbl_raw[Product_Name],A599)</f>
        <v>9027</v>
      </c>
      <c r="F599" s="2">
        <f>SUMIFS(tbl_raw[Return_Flag],tbl_raw[Product_Name],A599)</f>
        <v>0</v>
      </c>
      <c r="G599" s="3" cm="1">
        <f t="array" ref="G599">SUMPRODUCT((tbl_raw[Product_Name]=A599)*(tbl_raw[MRP]-tbl_raw[Selling_Price])*tbl_raw[Units_Sold])</f>
        <v>14926</v>
      </c>
      <c r="H599" s="83">
        <f>AVERAGEIFS(tbl_raw[Discount_Pct],tbl_raw[Product_Name],A599)</f>
        <v>0.31</v>
      </c>
    </row>
    <row r="600" spans="1:8" hidden="1" x14ac:dyDescent="0.25">
      <c r="A600" s="2" t="str">
        <v>Shoes - Model 459</v>
      </c>
      <c r="B600" s="2" t="str">
        <f>_xlfn.XLOOKUP(A600,tbl_raw[Product_Name],tbl_raw[Category])</f>
        <v>Fashion</v>
      </c>
      <c r="C600" s="2">
        <f>COUNTIF(tbl_raw[Product_Name],A600)</f>
        <v>1</v>
      </c>
      <c r="D600" s="2">
        <f>SUMIFS(tbl_raw[Units_Sold],tbl_raw[Product_Name],A600)</f>
        <v>10</v>
      </c>
      <c r="E600" s="3">
        <f>SUMIFS(tbl_raw[Net_Profit],tbl_raw[Product_Name],A600)</f>
        <v>7480</v>
      </c>
      <c r="F600" s="2">
        <f>SUMIFS(tbl_raw[Return_Flag],tbl_raw[Product_Name],A600)</f>
        <v>0</v>
      </c>
      <c r="G600" s="3" cm="1">
        <f t="array" ref="G600">SUMPRODUCT((tbl_raw[Product_Name]=A600)*(tbl_raw[MRP]-tbl_raw[Selling_Price])*tbl_raw[Units_Sold])</f>
        <v>430</v>
      </c>
      <c r="H600" s="83">
        <f>AVERAGEIFS(tbl_raw[Discount_Pct],tbl_raw[Product_Name],A600)</f>
        <v>0.02</v>
      </c>
    </row>
    <row r="601" spans="1:8" hidden="1" x14ac:dyDescent="0.25">
      <c r="A601" s="2" t="str">
        <v>Kurta - Model 188</v>
      </c>
      <c r="B601" s="2" t="str">
        <f>_xlfn.XLOOKUP(A601,tbl_raw[Product_Name],tbl_raw[Category])</f>
        <v>Fashion</v>
      </c>
      <c r="C601" s="2">
        <f>COUNTIF(tbl_raw[Product_Name],A601)</f>
        <v>1</v>
      </c>
      <c r="D601" s="2">
        <f>SUMIFS(tbl_raw[Units_Sold],tbl_raw[Product_Name],A601)</f>
        <v>5</v>
      </c>
      <c r="E601" s="3">
        <f>SUMIFS(tbl_raw[Net_Profit],tbl_raw[Product_Name],A601)</f>
        <v>-230</v>
      </c>
      <c r="F601" s="2">
        <f>SUMIFS(tbl_raw[Return_Flag],tbl_raw[Product_Name],A601)</f>
        <v>1</v>
      </c>
      <c r="G601" s="3" cm="1">
        <f t="array" ref="G601">SUMPRODUCT((tbl_raw[Product_Name]=A601)*(tbl_raw[MRP]-tbl_raw[Selling_Price])*tbl_raw[Units_Sold])</f>
        <v>5325</v>
      </c>
      <c r="H601" s="83">
        <f>AVERAGEIFS(tbl_raw[Discount_Pct],tbl_raw[Product_Name],A601)</f>
        <v>0.34</v>
      </c>
    </row>
    <row r="602" spans="1:8" hidden="1" x14ac:dyDescent="0.25">
      <c r="A602" s="2" t="str">
        <v>Atta - Model 754</v>
      </c>
      <c r="B602" s="2" t="str">
        <f>_xlfn.XLOOKUP(A602,tbl_raw[Product_Name],tbl_raw[Category])</f>
        <v>Grocery</v>
      </c>
      <c r="C602" s="2">
        <f>COUNTIF(tbl_raw[Product_Name],A602)</f>
        <v>1</v>
      </c>
      <c r="D602" s="2">
        <f>SUMIFS(tbl_raw[Units_Sold],tbl_raw[Product_Name],A602)</f>
        <v>9</v>
      </c>
      <c r="E602" s="3">
        <f>SUMIFS(tbl_raw[Net_Profit],tbl_raw[Product_Name],A602)</f>
        <v>1836</v>
      </c>
      <c r="F602" s="2">
        <f>SUMIFS(tbl_raw[Return_Flag],tbl_raw[Product_Name],A602)</f>
        <v>0</v>
      </c>
      <c r="G602" s="3" cm="1">
        <f t="array" ref="G602">SUMPRODUCT((tbl_raw[Product_Name]=A602)*(tbl_raw[MRP]-tbl_raw[Selling_Price])*tbl_raw[Units_Sold])</f>
        <v>17298</v>
      </c>
      <c r="H602" s="83">
        <f>AVERAGEIFS(tbl_raw[Discount_Pct],tbl_raw[Product_Name],A602)</f>
        <v>0.31</v>
      </c>
    </row>
    <row r="603" spans="1:8" hidden="1" x14ac:dyDescent="0.25">
      <c r="A603" s="2" t="str">
        <v>Puzzle - Model 161</v>
      </c>
      <c r="B603" s="2" t="str">
        <f>_xlfn.XLOOKUP(A603,tbl_raw[Product_Name],tbl_raw[Category])</f>
        <v>Toys</v>
      </c>
      <c r="C603" s="2">
        <f>COUNTIF(tbl_raw[Product_Name],A603)</f>
        <v>1</v>
      </c>
      <c r="D603" s="2">
        <f>SUMIFS(tbl_raw[Units_Sold],tbl_raw[Product_Name],A603)</f>
        <v>9</v>
      </c>
      <c r="E603" s="3">
        <f>SUMIFS(tbl_raw[Net_Profit],tbl_raw[Product_Name],A603)</f>
        <v>2700</v>
      </c>
      <c r="F603" s="2">
        <f>SUMIFS(tbl_raw[Return_Flag],tbl_raw[Product_Name],A603)</f>
        <v>0</v>
      </c>
      <c r="G603" s="3" cm="1">
        <f t="array" ref="G603">SUMPRODUCT((tbl_raw[Product_Name]=A603)*(tbl_raw[MRP]-tbl_raw[Selling_Price])*tbl_raw[Units_Sold])</f>
        <v>432</v>
      </c>
      <c r="H603" s="83">
        <f>AVERAGEIFS(tbl_raw[Discount_Pct],tbl_raw[Product_Name],A603)</f>
        <v>0.03</v>
      </c>
    </row>
    <row r="604" spans="1:8" hidden="1" x14ac:dyDescent="0.25">
      <c r="A604" s="2" t="str">
        <v>Board Game - Model 728</v>
      </c>
      <c r="B604" s="2" t="str">
        <f>_xlfn.XLOOKUP(A604,tbl_raw[Product_Name],tbl_raw[Category])</f>
        <v>Toys</v>
      </c>
      <c r="C604" s="2">
        <f>COUNTIF(tbl_raw[Product_Name],A604)</f>
        <v>1</v>
      </c>
      <c r="D604" s="2">
        <f>SUMIFS(tbl_raw[Units_Sold],tbl_raw[Product_Name],A604)</f>
        <v>15</v>
      </c>
      <c r="E604" s="3">
        <f>SUMIFS(tbl_raw[Net_Profit],tbl_raw[Product_Name],A604)</f>
        <v>43725</v>
      </c>
      <c r="F604" s="2">
        <f>SUMIFS(tbl_raw[Return_Flag],tbl_raw[Product_Name],A604)</f>
        <v>0</v>
      </c>
      <c r="G604" s="3" cm="1">
        <f t="array" ref="G604">SUMPRODUCT((tbl_raw[Product_Name]=A604)*(tbl_raw[MRP]-tbl_raw[Selling_Price])*tbl_raw[Units_Sold])</f>
        <v>4335</v>
      </c>
      <c r="H604" s="83">
        <f>AVERAGEIFS(tbl_raw[Discount_Pct],tbl_raw[Product_Name],A604)</f>
        <v>0.05</v>
      </c>
    </row>
    <row r="605" spans="1:8" hidden="1" x14ac:dyDescent="0.25">
      <c r="A605" s="2" t="str">
        <v>Mobile - Model 780</v>
      </c>
      <c r="B605" s="2" t="str">
        <f>_xlfn.XLOOKUP(A605,tbl_raw[Product_Name],tbl_raw[Category])</f>
        <v>Electronics</v>
      </c>
      <c r="C605" s="2">
        <f>COUNTIF(tbl_raw[Product_Name],A605)</f>
        <v>1</v>
      </c>
      <c r="D605" s="2">
        <f>SUMIFS(tbl_raw[Units_Sold],tbl_raw[Product_Name],A605)</f>
        <v>9</v>
      </c>
      <c r="E605" s="3">
        <f>SUMIFS(tbl_raw[Net_Profit],tbl_raw[Product_Name],A605)</f>
        <v>3618</v>
      </c>
      <c r="F605" s="2">
        <f>SUMIFS(tbl_raw[Return_Flag],tbl_raw[Product_Name],A605)</f>
        <v>0</v>
      </c>
      <c r="G605" s="3" cm="1">
        <f t="array" ref="G605">SUMPRODUCT((tbl_raw[Product_Name]=A605)*(tbl_raw[MRP]-tbl_raw[Selling_Price])*tbl_raw[Units_Sold])</f>
        <v>1863</v>
      </c>
      <c r="H605" s="83">
        <f>AVERAGEIFS(tbl_raw[Discount_Pct],tbl_raw[Product_Name],A605)</f>
        <v>0.15</v>
      </c>
    </row>
    <row r="606" spans="1:8" hidden="1" x14ac:dyDescent="0.25">
      <c r="A606" s="2" t="str">
        <v>Jacket - Model 331</v>
      </c>
      <c r="B606" s="2" t="str">
        <f>_xlfn.XLOOKUP(A606,tbl_raw[Product_Name],tbl_raw[Category])</f>
        <v>Fashion</v>
      </c>
      <c r="C606" s="2">
        <f>COUNTIF(tbl_raw[Product_Name],A606)</f>
        <v>1</v>
      </c>
      <c r="D606" s="2">
        <f>SUMIFS(tbl_raw[Units_Sold],tbl_raw[Product_Name],A606)</f>
        <v>13</v>
      </c>
      <c r="E606" s="3">
        <f>SUMIFS(tbl_raw[Net_Profit],tbl_raw[Product_Name],A606)</f>
        <v>4589</v>
      </c>
      <c r="F606" s="2">
        <f>SUMIFS(tbl_raw[Return_Flag],tbl_raw[Product_Name],A606)</f>
        <v>0</v>
      </c>
      <c r="G606" s="3" cm="1">
        <f t="array" ref="G606">SUMPRODUCT((tbl_raw[Product_Name]=A606)*(tbl_raw[MRP]-tbl_raw[Selling_Price])*tbl_raw[Units_Sold])</f>
        <v>36764</v>
      </c>
      <c r="H606" s="83">
        <f>AVERAGEIFS(tbl_raw[Discount_Pct],tbl_raw[Product_Name],A606)</f>
        <v>0.37</v>
      </c>
    </row>
    <row r="607" spans="1:8" hidden="1" x14ac:dyDescent="0.25">
      <c r="A607" s="2" t="str">
        <v>Saree - Model 647</v>
      </c>
      <c r="B607" s="2" t="str">
        <f>_xlfn.XLOOKUP(A607,tbl_raw[Product_Name],tbl_raw[Category])</f>
        <v>Fashion</v>
      </c>
      <c r="C607" s="2">
        <f>COUNTIF(tbl_raw[Product_Name],A607)</f>
        <v>1</v>
      </c>
      <c r="D607" s="2">
        <f>SUMIFS(tbl_raw[Units_Sold],tbl_raw[Product_Name],A607)</f>
        <v>3</v>
      </c>
      <c r="E607" s="3">
        <f>SUMIFS(tbl_raw[Net_Profit],tbl_raw[Product_Name],A607)</f>
        <v>3033</v>
      </c>
      <c r="F607" s="2">
        <f>SUMIFS(tbl_raw[Return_Flag],tbl_raw[Product_Name],A607)</f>
        <v>0</v>
      </c>
      <c r="G607" s="3" cm="1">
        <f t="array" ref="G607">SUMPRODUCT((tbl_raw[Product_Name]=A607)*(tbl_raw[MRP]-tbl_raw[Selling_Price])*tbl_raw[Units_Sold])</f>
        <v>6897</v>
      </c>
      <c r="H607" s="83">
        <f>AVERAGEIFS(tbl_raw[Discount_Pct],tbl_raw[Product_Name],A607)</f>
        <v>0.34</v>
      </c>
    </row>
    <row r="608" spans="1:8" hidden="1" x14ac:dyDescent="0.25">
      <c r="A608" s="2" t="str">
        <v>Action Figure - Model 745</v>
      </c>
      <c r="B608" s="2" t="str">
        <f>_xlfn.XLOOKUP(A608,tbl_raw[Product_Name],tbl_raw[Category])</f>
        <v>Toys</v>
      </c>
      <c r="C608" s="2">
        <f>COUNTIF(tbl_raw[Product_Name],A608)</f>
        <v>1</v>
      </c>
      <c r="D608" s="2">
        <f>SUMIFS(tbl_raw[Units_Sold],tbl_raw[Product_Name],A608)</f>
        <v>16</v>
      </c>
      <c r="E608" s="3">
        <f>SUMIFS(tbl_raw[Net_Profit],tbl_raw[Product_Name],A608)</f>
        <v>48</v>
      </c>
      <c r="F608" s="2">
        <f>SUMIFS(tbl_raw[Return_Flag],tbl_raw[Product_Name],A608)</f>
        <v>0</v>
      </c>
      <c r="G608" s="3" cm="1">
        <f t="array" ref="G608">SUMPRODUCT((tbl_raw[Product_Name]=A608)*(tbl_raw[MRP]-tbl_raw[Selling_Price])*tbl_raw[Units_Sold])</f>
        <v>3856</v>
      </c>
      <c r="H608" s="83">
        <f>AVERAGEIFS(tbl_raw[Discount_Pct],tbl_raw[Product_Name],A608)</f>
        <v>0.28000000000000003</v>
      </c>
    </row>
    <row r="609" spans="1:8" hidden="1" x14ac:dyDescent="0.25">
      <c r="A609" s="2" t="str">
        <v>Action Figure - Model 911</v>
      </c>
      <c r="B609" s="2" t="str">
        <f>_xlfn.XLOOKUP(A609,tbl_raw[Product_Name],tbl_raw[Category])</f>
        <v>Toys</v>
      </c>
      <c r="C609" s="2">
        <f>COUNTIF(tbl_raw[Product_Name],A609)</f>
        <v>1</v>
      </c>
      <c r="D609" s="2">
        <f>SUMIFS(tbl_raw[Units_Sold],tbl_raw[Product_Name],A609)</f>
        <v>10</v>
      </c>
      <c r="E609" s="3">
        <f>SUMIFS(tbl_raw[Net_Profit],tbl_raw[Product_Name],A609)</f>
        <v>-6430</v>
      </c>
      <c r="F609" s="2">
        <f>SUMIFS(tbl_raw[Return_Flag],tbl_raw[Product_Name],A609)</f>
        <v>0</v>
      </c>
      <c r="G609" s="3" cm="1">
        <f t="array" ref="G609">SUMPRODUCT((tbl_raw[Product_Name]=A609)*(tbl_raw[MRP]-tbl_raw[Selling_Price])*tbl_raw[Units_Sold])</f>
        <v>17620</v>
      </c>
      <c r="H609" s="83">
        <f>AVERAGEIFS(tbl_raw[Discount_Pct],tbl_raw[Product_Name],A609)</f>
        <v>0.43</v>
      </c>
    </row>
    <row r="610" spans="1:8" hidden="1" x14ac:dyDescent="0.25">
      <c r="A610" s="2" t="str">
        <v>Action Figure - Model 316</v>
      </c>
      <c r="B610" s="2" t="str">
        <f>_xlfn.XLOOKUP(A610,tbl_raw[Product_Name],tbl_raw[Category])</f>
        <v>Toys</v>
      </c>
      <c r="C610" s="2">
        <f>COUNTIF(tbl_raw[Product_Name],A610)</f>
        <v>1</v>
      </c>
      <c r="D610" s="2">
        <f>SUMIFS(tbl_raw[Units_Sold],tbl_raw[Product_Name],A610)</f>
        <v>15</v>
      </c>
      <c r="E610" s="3">
        <f>SUMIFS(tbl_raw[Net_Profit],tbl_raw[Product_Name],A610)</f>
        <v>390</v>
      </c>
      <c r="F610" s="2">
        <f>SUMIFS(tbl_raw[Return_Flag],tbl_raw[Product_Name],A610)</f>
        <v>0</v>
      </c>
      <c r="G610" s="3" cm="1">
        <f t="array" ref="G610">SUMPRODUCT((tbl_raw[Product_Name]=A610)*(tbl_raw[MRP]-tbl_raw[Selling_Price])*tbl_raw[Units_Sold])</f>
        <v>44070</v>
      </c>
      <c r="H610" s="83">
        <f>AVERAGEIFS(tbl_raw[Discount_Pct],tbl_raw[Product_Name],A610)</f>
        <v>0.39</v>
      </c>
    </row>
    <row r="611" spans="1:8" hidden="1" x14ac:dyDescent="0.25">
      <c r="A611" s="2" t="str">
        <v>Smartwatch - Model 733</v>
      </c>
      <c r="B611" s="2" t="str">
        <f>_xlfn.XLOOKUP(A611,tbl_raw[Product_Name],tbl_raw[Category])</f>
        <v>Electronics</v>
      </c>
      <c r="C611" s="2">
        <f>COUNTIF(tbl_raw[Product_Name],A611)</f>
        <v>1</v>
      </c>
      <c r="D611" s="2">
        <f>SUMIFS(tbl_raw[Units_Sold],tbl_raw[Product_Name],A611)</f>
        <v>8</v>
      </c>
      <c r="E611" s="3">
        <f>SUMIFS(tbl_raw[Net_Profit],tbl_raw[Product_Name],A611)</f>
        <v>21464</v>
      </c>
      <c r="F611" s="2">
        <f>SUMIFS(tbl_raw[Return_Flag],tbl_raw[Product_Name],A611)</f>
        <v>0</v>
      </c>
      <c r="G611" s="3" cm="1">
        <f t="array" ref="G611">SUMPRODUCT((tbl_raw[Product_Name]=A611)*(tbl_raw[MRP]-tbl_raw[Selling_Price])*tbl_raw[Units_Sold])</f>
        <v>2720</v>
      </c>
      <c r="H611" s="83">
        <f>AVERAGEIFS(tbl_raw[Discount_Pct],tbl_raw[Product_Name],A611)</f>
        <v>0.06</v>
      </c>
    </row>
    <row r="612" spans="1:8" hidden="1" x14ac:dyDescent="0.25">
      <c r="A612" s="2" t="str">
        <v>Kurta - Model 216</v>
      </c>
      <c r="B612" s="2" t="str">
        <f>_xlfn.XLOOKUP(A612,tbl_raw[Product_Name],tbl_raw[Category])</f>
        <v>Fashion</v>
      </c>
      <c r="C612" s="2">
        <f>COUNTIF(tbl_raw[Product_Name],A612)</f>
        <v>1</v>
      </c>
      <c r="D612" s="2">
        <f>SUMIFS(tbl_raw[Units_Sold],tbl_raw[Product_Name],A612)</f>
        <v>20</v>
      </c>
      <c r="E612" s="3">
        <f>SUMIFS(tbl_raw[Net_Profit],tbl_raw[Product_Name],A612)</f>
        <v>26240</v>
      </c>
      <c r="F612" s="2">
        <f>SUMIFS(tbl_raw[Return_Flag],tbl_raw[Product_Name],A612)</f>
        <v>0</v>
      </c>
      <c r="G612" s="3" cm="1">
        <f t="array" ref="G612">SUMPRODUCT((tbl_raw[Product_Name]=A612)*(tbl_raw[MRP]-tbl_raw[Selling_Price])*tbl_raw[Units_Sold])</f>
        <v>12860</v>
      </c>
      <c r="H612" s="83">
        <f>AVERAGEIFS(tbl_raw[Discount_Pct],tbl_raw[Product_Name],A612)</f>
        <v>0.1</v>
      </c>
    </row>
    <row r="613" spans="1:8" hidden="1" x14ac:dyDescent="0.25">
      <c r="A613" s="2" t="str">
        <v>Bedsheet - Model 956</v>
      </c>
      <c r="B613" s="2" t="str">
        <f>_xlfn.XLOOKUP(A613,tbl_raw[Product_Name],tbl_raw[Category])</f>
        <v>Home &amp; Kitchen</v>
      </c>
      <c r="C613" s="2">
        <f>COUNTIF(tbl_raw[Product_Name],A613)</f>
        <v>1</v>
      </c>
      <c r="D613" s="2">
        <f>SUMIFS(tbl_raw[Units_Sold],tbl_raw[Product_Name],A613)</f>
        <v>2</v>
      </c>
      <c r="E613" s="3">
        <f>SUMIFS(tbl_raw[Net_Profit],tbl_raw[Product_Name],A613)</f>
        <v>3834</v>
      </c>
      <c r="F613" s="2">
        <f>SUMIFS(tbl_raw[Return_Flag],tbl_raw[Product_Name],A613)</f>
        <v>0</v>
      </c>
      <c r="G613" s="3" cm="1">
        <f t="array" ref="G613">SUMPRODUCT((tbl_raw[Product_Name]=A613)*(tbl_raw[MRP]-tbl_raw[Selling_Price])*tbl_raw[Units_Sold])</f>
        <v>1448</v>
      </c>
      <c r="H613" s="83">
        <f>AVERAGEIFS(tbl_raw[Discount_Pct],tbl_raw[Product_Name],A613)</f>
        <v>0.15</v>
      </c>
    </row>
    <row r="614" spans="1:8" hidden="1" x14ac:dyDescent="0.25">
      <c r="A614" s="2" t="str">
        <v>Sunscreen - Model 141</v>
      </c>
      <c r="B614" s="2" t="str">
        <f>_xlfn.XLOOKUP(A614,tbl_raw[Product_Name],tbl_raw[Category])</f>
        <v>Beauty</v>
      </c>
      <c r="C614" s="2">
        <f>COUNTIF(tbl_raw[Product_Name],A614)</f>
        <v>1</v>
      </c>
      <c r="D614" s="2">
        <f>SUMIFS(tbl_raw[Units_Sold],tbl_raw[Product_Name],A614)</f>
        <v>4</v>
      </c>
      <c r="E614" s="3">
        <f>SUMIFS(tbl_raw[Net_Profit],tbl_raw[Product_Name],A614)</f>
        <v>4580</v>
      </c>
      <c r="F614" s="2">
        <f>SUMIFS(tbl_raw[Return_Flag],tbl_raw[Product_Name],A614)</f>
        <v>0</v>
      </c>
      <c r="G614" s="3" cm="1">
        <f t="array" ref="G614">SUMPRODUCT((tbl_raw[Product_Name]=A614)*(tbl_raw[MRP]-tbl_raw[Selling_Price])*tbl_raw[Units_Sold])</f>
        <v>7136</v>
      </c>
      <c r="H614" s="83">
        <f>AVERAGEIFS(tbl_raw[Discount_Pct],tbl_raw[Product_Name],A614)</f>
        <v>0.28000000000000003</v>
      </c>
    </row>
    <row r="615" spans="1:8" hidden="1" x14ac:dyDescent="0.25">
      <c r="A615" s="2" t="str">
        <v>Dumbbells - Model 810</v>
      </c>
      <c r="B615" s="2" t="str">
        <f>_xlfn.XLOOKUP(A615,tbl_raw[Product_Name],tbl_raw[Category])</f>
        <v>Sports</v>
      </c>
      <c r="C615" s="2">
        <f>COUNTIF(tbl_raw[Product_Name],A615)</f>
        <v>1</v>
      </c>
      <c r="D615" s="2">
        <f>SUMIFS(tbl_raw[Units_Sold],tbl_raw[Product_Name],A615)</f>
        <v>5</v>
      </c>
      <c r="E615" s="3">
        <f>SUMIFS(tbl_raw[Net_Profit],tbl_raw[Product_Name],A615)</f>
        <v>690</v>
      </c>
      <c r="F615" s="2">
        <f>SUMIFS(tbl_raw[Return_Flag],tbl_raw[Product_Name],A615)</f>
        <v>0</v>
      </c>
      <c r="G615" s="3" cm="1">
        <f t="array" ref="G615">SUMPRODUCT((tbl_raw[Product_Name]=A615)*(tbl_raw[MRP]-tbl_raw[Selling_Price])*tbl_raw[Units_Sold])</f>
        <v>2620</v>
      </c>
      <c r="H615" s="83">
        <f>AVERAGEIFS(tbl_raw[Discount_Pct],tbl_raw[Product_Name],A615)</f>
        <v>0.28999999999999998</v>
      </c>
    </row>
    <row r="616" spans="1:8" hidden="1" x14ac:dyDescent="0.25">
      <c r="A616" s="2" t="str">
        <v>Spices - Model 190</v>
      </c>
      <c r="B616" s="2" t="str">
        <f>_xlfn.XLOOKUP(A616,tbl_raw[Product_Name],tbl_raw[Category])</f>
        <v>Grocery</v>
      </c>
      <c r="C616" s="2">
        <f>COUNTIF(tbl_raw[Product_Name],A616)</f>
        <v>1</v>
      </c>
      <c r="D616" s="2">
        <f>SUMIFS(tbl_raw[Units_Sold],tbl_raw[Product_Name],A616)</f>
        <v>12</v>
      </c>
      <c r="E616" s="3">
        <f>SUMIFS(tbl_raw[Net_Profit],tbl_raw[Product_Name],A616)</f>
        <v>9624</v>
      </c>
      <c r="F616" s="2">
        <f>SUMIFS(tbl_raw[Return_Flag],tbl_raw[Product_Name],A616)</f>
        <v>0</v>
      </c>
      <c r="G616" s="3" cm="1">
        <f t="array" ref="G616">SUMPRODUCT((tbl_raw[Product_Name]=A616)*(tbl_raw[MRP]-tbl_raw[Selling_Price])*tbl_raw[Units_Sold])</f>
        <v>10404</v>
      </c>
      <c r="H616" s="83">
        <f>AVERAGEIFS(tbl_raw[Discount_Pct],tbl_raw[Product_Name],A616)</f>
        <v>0.25</v>
      </c>
    </row>
    <row r="617" spans="1:8" hidden="1" x14ac:dyDescent="0.25">
      <c r="A617" s="2" t="str">
        <v>Perfume - Model 888</v>
      </c>
      <c r="B617" s="2" t="str">
        <f>_xlfn.XLOOKUP(A617,tbl_raw[Product_Name],tbl_raw[Category])</f>
        <v>Beauty</v>
      </c>
      <c r="C617" s="2">
        <f>COUNTIF(tbl_raw[Product_Name],A617)</f>
        <v>1</v>
      </c>
      <c r="D617" s="2">
        <f>SUMIFS(tbl_raw[Units_Sold],tbl_raw[Product_Name],A617)</f>
        <v>9</v>
      </c>
      <c r="E617" s="3">
        <f>SUMIFS(tbl_raw[Net_Profit],tbl_raw[Product_Name],A617)</f>
        <v>1332</v>
      </c>
      <c r="F617" s="2">
        <f>SUMIFS(tbl_raw[Return_Flag],tbl_raw[Product_Name],A617)</f>
        <v>0</v>
      </c>
      <c r="G617" s="3" cm="1">
        <f t="array" ref="G617">SUMPRODUCT((tbl_raw[Product_Name]=A617)*(tbl_raw[MRP]-tbl_raw[Selling_Price])*tbl_raw[Units_Sold])</f>
        <v>279</v>
      </c>
      <c r="H617" s="83">
        <f>AVERAGEIFS(tbl_raw[Discount_Pct],tbl_raw[Product_Name],A617)</f>
        <v>0.05</v>
      </c>
    </row>
    <row r="618" spans="1:8" hidden="1" x14ac:dyDescent="0.25">
      <c r="A618" s="2" t="str">
        <v>Textbook - Model 314</v>
      </c>
      <c r="B618" s="2" t="str">
        <f>_xlfn.XLOOKUP(A618,tbl_raw[Product_Name],tbl_raw[Category])</f>
        <v>Books</v>
      </c>
      <c r="C618" s="2">
        <f>COUNTIF(tbl_raw[Product_Name],A618)</f>
        <v>1</v>
      </c>
      <c r="D618" s="2">
        <f>SUMIFS(tbl_raw[Units_Sold],tbl_raw[Product_Name],A618)</f>
        <v>9</v>
      </c>
      <c r="E618" s="3">
        <f>SUMIFS(tbl_raw[Net_Profit],tbl_raw[Product_Name],A618)</f>
        <v>-972</v>
      </c>
      <c r="F618" s="2">
        <f>SUMIFS(tbl_raw[Return_Flag],tbl_raw[Product_Name],A618)</f>
        <v>0</v>
      </c>
      <c r="G618" s="3" cm="1">
        <f t="array" ref="G618">SUMPRODUCT((tbl_raw[Product_Name]=A618)*(tbl_raw[MRP]-tbl_raw[Selling_Price])*tbl_raw[Units_Sold])</f>
        <v>9099</v>
      </c>
      <c r="H618" s="83">
        <f>AVERAGEIFS(tbl_raw[Discount_Pct],tbl_raw[Product_Name],A618)</f>
        <v>0.36</v>
      </c>
    </row>
    <row r="619" spans="1:8" hidden="1" x14ac:dyDescent="0.25">
      <c r="A619" s="2" t="str">
        <v>Kurta - Model 340</v>
      </c>
      <c r="B619" s="2" t="str">
        <f>_xlfn.XLOOKUP(A619,tbl_raw[Product_Name],tbl_raw[Category])</f>
        <v>Fashion</v>
      </c>
      <c r="C619" s="2">
        <f>COUNTIF(tbl_raw[Product_Name],A619)</f>
        <v>1</v>
      </c>
      <c r="D619" s="2">
        <f>SUMIFS(tbl_raw[Units_Sold],tbl_raw[Product_Name],A619)</f>
        <v>19</v>
      </c>
      <c r="E619" s="3">
        <f>SUMIFS(tbl_raw[Net_Profit],tbl_raw[Product_Name],A619)</f>
        <v>10184</v>
      </c>
      <c r="F619" s="2">
        <f>SUMIFS(tbl_raw[Return_Flag],tbl_raw[Product_Name],A619)</f>
        <v>0</v>
      </c>
      <c r="G619" s="3" cm="1">
        <f t="array" ref="G619">SUMPRODUCT((tbl_raw[Product_Name]=A619)*(tbl_raw[MRP]-tbl_raw[Selling_Price])*tbl_raw[Units_Sold])</f>
        <v>17043</v>
      </c>
      <c r="H619" s="83">
        <f>AVERAGEIFS(tbl_raw[Discount_Pct],tbl_raw[Product_Name],A619)</f>
        <v>0.19</v>
      </c>
    </row>
    <row r="620" spans="1:8" hidden="1" x14ac:dyDescent="0.25">
      <c r="A620" s="2" t="str">
        <v>Board Game - Model 484</v>
      </c>
      <c r="B620" s="2" t="str">
        <f>_xlfn.XLOOKUP(A620,tbl_raw[Product_Name],tbl_raw[Category])</f>
        <v>Toys</v>
      </c>
      <c r="C620" s="2">
        <f>COUNTIF(tbl_raw[Product_Name],A620)</f>
        <v>1</v>
      </c>
      <c r="D620" s="2">
        <f>SUMIFS(tbl_raw[Units_Sold],tbl_raw[Product_Name],A620)</f>
        <v>3</v>
      </c>
      <c r="E620" s="3">
        <f>SUMIFS(tbl_raw[Net_Profit],tbl_raw[Product_Name],A620)</f>
        <v>639</v>
      </c>
      <c r="F620" s="2">
        <f>SUMIFS(tbl_raw[Return_Flag],tbl_raw[Product_Name],A620)</f>
        <v>0</v>
      </c>
      <c r="G620" s="3" cm="1">
        <f t="array" ref="G620">SUMPRODUCT((tbl_raw[Product_Name]=A620)*(tbl_raw[MRP]-tbl_raw[Selling_Price])*tbl_raw[Units_Sold])</f>
        <v>2556</v>
      </c>
      <c r="H620" s="83">
        <f>AVERAGEIFS(tbl_raw[Discount_Pct],tbl_raw[Product_Name],A620)</f>
        <v>0.22</v>
      </c>
    </row>
    <row r="621" spans="1:8" hidden="1" x14ac:dyDescent="0.25">
      <c r="A621" s="2" t="str">
        <v>Lipstick - Model 376</v>
      </c>
      <c r="B621" s="2" t="str">
        <f>_xlfn.XLOOKUP(A621,tbl_raw[Product_Name],tbl_raw[Category])</f>
        <v>Beauty</v>
      </c>
      <c r="C621" s="2">
        <f>COUNTIF(tbl_raw[Product_Name],A621)</f>
        <v>1</v>
      </c>
      <c r="D621" s="2">
        <f>SUMIFS(tbl_raw[Units_Sold],tbl_raw[Product_Name],A621)</f>
        <v>11</v>
      </c>
      <c r="E621" s="3">
        <f>SUMIFS(tbl_raw[Net_Profit],tbl_raw[Product_Name],A621)</f>
        <v>2970</v>
      </c>
      <c r="F621" s="2">
        <f>SUMIFS(tbl_raw[Return_Flag],tbl_raw[Product_Name],A621)</f>
        <v>0</v>
      </c>
      <c r="G621" s="3" cm="1">
        <f t="array" ref="G621">SUMPRODUCT((tbl_raw[Product_Name]=A621)*(tbl_raw[MRP]-tbl_raw[Selling_Price])*tbl_raw[Units_Sold])</f>
        <v>4070</v>
      </c>
      <c r="H621" s="83">
        <f>AVERAGEIFS(tbl_raw[Discount_Pct],tbl_raw[Product_Name],A621)</f>
        <v>0.31</v>
      </c>
    </row>
    <row r="622" spans="1:8" hidden="1" x14ac:dyDescent="0.25">
      <c r="A622" s="2" t="str">
        <v>Cycle - Model 260</v>
      </c>
      <c r="B622" s="2" t="str">
        <f>_xlfn.XLOOKUP(A622,tbl_raw[Product_Name],tbl_raw[Category])</f>
        <v>Sports</v>
      </c>
      <c r="C622" s="2">
        <f>COUNTIF(tbl_raw[Product_Name],A622)</f>
        <v>1</v>
      </c>
      <c r="D622" s="2">
        <f>SUMIFS(tbl_raw[Units_Sold],tbl_raw[Product_Name],A622)</f>
        <v>6</v>
      </c>
      <c r="E622" s="3">
        <f>SUMIFS(tbl_raw[Net_Profit],tbl_raw[Product_Name],A622)</f>
        <v>7068</v>
      </c>
      <c r="F622" s="2">
        <f>SUMIFS(tbl_raw[Return_Flag],tbl_raw[Product_Name],A622)</f>
        <v>0</v>
      </c>
      <c r="G622" s="3" cm="1">
        <f t="array" ref="G622">SUMPRODUCT((tbl_raw[Product_Name]=A622)*(tbl_raw[MRP]-tbl_raw[Selling_Price])*tbl_raw[Units_Sold])</f>
        <v>7062</v>
      </c>
      <c r="H622" s="83">
        <f>AVERAGEIFS(tbl_raw[Discount_Pct],tbl_raw[Product_Name],A622)</f>
        <v>0.25</v>
      </c>
    </row>
    <row r="623" spans="1:8" hidden="1" x14ac:dyDescent="0.25">
      <c r="A623" s="2" t="str">
        <v>Rice - Model 114</v>
      </c>
      <c r="B623" s="2" t="str">
        <f>_xlfn.XLOOKUP(A623,tbl_raw[Product_Name],tbl_raw[Category])</f>
        <v>Grocery</v>
      </c>
      <c r="C623" s="2">
        <f>COUNTIF(tbl_raw[Product_Name],A623)</f>
        <v>1</v>
      </c>
      <c r="D623" s="2">
        <f>SUMIFS(tbl_raw[Units_Sold],tbl_raw[Product_Name],A623)</f>
        <v>8</v>
      </c>
      <c r="E623" s="3">
        <f>SUMIFS(tbl_raw[Net_Profit],tbl_raw[Product_Name],A623)</f>
        <v>4144</v>
      </c>
      <c r="F623" s="2">
        <f>SUMIFS(tbl_raw[Return_Flag],tbl_raw[Product_Name],A623)</f>
        <v>0</v>
      </c>
      <c r="G623" s="3" cm="1">
        <f t="array" ref="G623">SUMPRODUCT((tbl_raw[Product_Name]=A623)*(tbl_raw[MRP]-tbl_raw[Selling_Price])*tbl_raw[Units_Sold])</f>
        <v>3416</v>
      </c>
      <c r="H623" s="83">
        <f>AVERAGEIFS(tbl_raw[Discount_Pct],tbl_raw[Product_Name],A623)</f>
        <v>0.2</v>
      </c>
    </row>
    <row r="624" spans="1:8" hidden="1" x14ac:dyDescent="0.25">
      <c r="A624" s="2" t="str">
        <v>Smartwatch - Model 851</v>
      </c>
      <c r="B624" s="2" t="str">
        <f>_xlfn.XLOOKUP(A624,tbl_raw[Product_Name],tbl_raw[Category])</f>
        <v>Electronics</v>
      </c>
      <c r="C624" s="2">
        <f>COUNTIF(tbl_raw[Product_Name],A624)</f>
        <v>1</v>
      </c>
      <c r="D624" s="2">
        <f>SUMIFS(tbl_raw[Units_Sold],tbl_raw[Product_Name],A624)</f>
        <v>2</v>
      </c>
      <c r="E624" s="3">
        <f>SUMIFS(tbl_raw[Net_Profit],tbl_raw[Product_Name],A624)</f>
        <v>692</v>
      </c>
      <c r="F624" s="2">
        <f>SUMIFS(tbl_raw[Return_Flag],tbl_raw[Product_Name],A624)</f>
        <v>0</v>
      </c>
      <c r="G624" s="3" cm="1">
        <f t="array" ref="G624">SUMPRODUCT((tbl_raw[Product_Name]=A624)*(tbl_raw[MRP]-tbl_raw[Selling_Price])*tbl_raw[Units_Sold])</f>
        <v>1268</v>
      </c>
      <c r="H624" s="83">
        <f>AVERAGEIFS(tbl_raw[Discount_Pct],tbl_raw[Product_Name],A624)</f>
        <v>0.18</v>
      </c>
    </row>
    <row r="625" spans="1:8" hidden="1" x14ac:dyDescent="0.25">
      <c r="A625" s="2" t="str">
        <v>Smartwatch - Model 323</v>
      </c>
      <c r="B625" s="2" t="str">
        <f>_xlfn.XLOOKUP(A625,tbl_raw[Product_Name],tbl_raw[Category])</f>
        <v>Electronics</v>
      </c>
      <c r="C625" s="2">
        <f>COUNTIF(tbl_raw[Product_Name],A625)</f>
        <v>1</v>
      </c>
      <c r="D625" s="2">
        <f>SUMIFS(tbl_raw[Units_Sold],tbl_raw[Product_Name],A625)</f>
        <v>12</v>
      </c>
      <c r="E625" s="3">
        <f>SUMIFS(tbl_raw[Net_Profit],tbl_raw[Product_Name],A625)</f>
        <v>7152</v>
      </c>
      <c r="F625" s="2">
        <f>SUMIFS(tbl_raw[Return_Flag],tbl_raw[Product_Name],A625)</f>
        <v>0</v>
      </c>
      <c r="G625" s="3" cm="1">
        <f t="array" ref="G625">SUMPRODUCT((tbl_raw[Product_Name]=A625)*(tbl_raw[MRP]-tbl_raw[Selling_Price])*tbl_raw[Units_Sold])</f>
        <v>8724</v>
      </c>
      <c r="H625" s="83">
        <f>AVERAGEIFS(tbl_raw[Discount_Pct],tbl_raw[Product_Name],A625)</f>
        <v>0.28999999999999998</v>
      </c>
    </row>
    <row r="626" spans="1:8" hidden="1" x14ac:dyDescent="0.25">
      <c r="A626" s="2" t="str">
        <v>Smartwatch - Model 574</v>
      </c>
      <c r="B626" s="2" t="str">
        <f>_xlfn.XLOOKUP(A626,tbl_raw[Product_Name],tbl_raw[Category])</f>
        <v>Electronics</v>
      </c>
      <c r="C626" s="2">
        <f>COUNTIF(tbl_raw[Product_Name],A626)</f>
        <v>1</v>
      </c>
      <c r="D626" s="2">
        <f>SUMIFS(tbl_raw[Units_Sold],tbl_raw[Product_Name],A626)</f>
        <v>13</v>
      </c>
      <c r="E626" s="3">
        <f>SUMIFS(tbl_raw[Net_Profit],tbl_raw[Product_Name],A626)</f>
        <v>-1976</v>
      </c>
      <c r="F626" s="2">
        <f>SUMIFS(tbl_raw[Return_Flag],tbl_raw[Product_Name],A626)</f>
        <v>0</v>
      </c>
      <c r="G626" s="3" cm="1">
        <f t="array" ref="G626">SUMPRODUCT((tbl_raw[Product_Name]=A626)*(tbl_raw[MRP]-tbl_raw[Selling_Price])*tbl_raw[Units_Sold])</f>
        <v>8333</v>
      </c>
      <c r="H626" s="83">
        <f>AVERAGEIFS(tbl_raw[Discount_Pct],tbl_raw[Product_Name],A626)</f>
        <v>0.39</v>
      </c>
    </row>
    <row r="627" spans="1:8" hidden="1" x14ac:dyDescent="0.25">
      <c r="A627" s="2" t="str">
        <v>Headphones - Model 536</v>
      </c>
      <c r="B627" s="2" t="str">
        <f>_xlfn.XLOOKUP(A627,tbl_raw[Product_Name],tbl_raw[Category])</f>
        <v>Electronics</v>
      </c>
      <c r="C627" s="2">
        <f>COUNTIF(tbl_raw[Product_Name],A627)</f>
        <v>1</v>
      </c>
      <c r="D627" s="2">
        <f>SUMIFS(tbl_raw[Units_Sold],tbl_raw[Product_Name],A627)</f>
        <v>20</v>
      </c>
      <c r="E627" s="3">
        <f>SUMIFS(tbl_raw[Net_Profit],tbl_raw[Product_Name],A627)</f>
        <v>-4000</v>
      </c>
      <c r="F627" s="2">
        <f>SUMIFS(tbl_raw[Return_Flag],tbl_raw[Product_Name],A627)</f>
        <v>0</v>
      </c>
      <c r="G627" s="3" cm="1">
        <f t="array" ref="G627">SUMPRODUCT((tbl_raw[Product_Name]=A627)*(tbl_raw[MRP]-tbl_raw[Selling_Price])*tbl_raw[Units_Sold])</f>
        <v>31900</v>
      </c>
      <c r="H627" s="83">
        <f>AVERAGEIFS(tbl_raw[Discount_Pct],tbl_raw[Product_Name],A627)</f>
        <v>0.36</v>
      </c>
    </row>
    <row r="628" spans="1:8" hidden="1" x14ac:dyDescent="0.25">
      <c r="A628" s="2" t="str">
        <v>Mobile - Model 492</v>
      </c>
      <c r="B628" s="2" t="str">
        <f>_xlfn.XLOOKUP(A628,tbl_raw[Product_Name],tbl_raw[Category])</f>
        <v>Electronics</v>
      </c>
      <c r="C628" s="2">
        <f>COUNTIF(tbl_raw[Product_Name],A628)</f>
        <v>1</v>
      </c>
      <c r="D628" s="2">
        <f>SUMIFS(tbl_raw[Units_Sold],tbl_raw[Product_Name],A628)</f>
        <v>15</v>
      </c>
      <c r="E628" s="3">
        <f>SUMIFS(tbl_raw[Net_Profit],tbl_raw[Product_Name],A628)</f>
        <v>26850</v>
      </c>
      <c r="F628" s="2">
        <f>SUMIFS(tbl_raw[Return_Flag],tbl_raw[Product_Name],A628)</f>
        <v>1</v>
      </c>
      <c r="G628" s="3" cm="1">
        <f t="array" ref="G628">SUMPRODUCT((tbl_raw[Product_Name]=A628)*(tbl_raw[MRP]-tbl_raw[Selling_Price])*tbl_raw[Units_Sold])</f>
        <v>12075</v>
      </c>
      <c r="H628" s="83">
        <f>AVERAGEIFS(tbl_raw[Discount_Pct],tbl_raw[Product_Name],A628)</f>
        <v>0.16</v>
      </c>
    </row>
    <row r="629" spans="1:8" hidden="1" x14ac:dyDescent="0.25">
      <c r="A629" s="2" t="str">
        <v>Sunscreen - Model 216</v>
      </c>
      <c r="B629" s="2" t="str">
        <f>_xlfn.XLOOKUP(A629,tbl_raw[Product_Name],tbl_raw[Category])</f>
        <v>Beauty</v>
      </c>
      <c r="C629" s="2">
        <f>COUNTIF(tbl_raw[Product_Name],A629)</f>
        <v>1</v>
      </c>
      <c r="D629" s="2">
        <f>SUMIFS(tbl_raw[Units_Sold],tbl_raw[Product_Name],A629)</f>
        <v>19</v>
      </c>
      <c r="E629" s="3">
        <f>SUMIFS(tbl_raw[Net_Profit],tbl_raw[Product_Name],A629)</f>
        <v>-551</v>
      </c>
      <c r="F629" s="2">
        <f>SUMIFS(tbl_raw[Return_Flag],tbl_raw[Product_Name],A629)</f>
        <v>0</v>
      </c>
      <c r="G629" s="3" cm="1">
        <f t="array" ref="G629">SUMPRODUCT((tbl_raw[Product_Name]=A629)*(tbl_raw[MRP]-tbl_raw[Selling_Price])*tbl_raw[Units_Sold])</f>
        <v>42522</v>
      </c>
      <c r="H629" s="83">
        <f>AVERAGEIFS(tbl_raw[Discount_Pct],tbl_raw[Product_Name],A629)</f>
        <v>0.32</v>
      </c>
    </row>
    <row r="630" spans="1:8" hidden="1" x14ac:dyDescent="0.25">
      <c r="A630" s="2" t="str">
        <v>Shoes - Model 164</v>
      </c>
      <c r="B630" s="2" t="str">
        <f>_xlfn.XLOOKUP(A630,tbl_raw[Product_Name],tbl_raw[Category])</f>
        <v>Sports</v>
      </c>
      <c r="C630" s="2">
        <f>COUNTIF(tbl_raw[Product_Name],A630)</f>
        <v>1</v>
      </c>
      <c r="D630" s="2">
        <f>SUMIFS(tbl_raw[Units_Sold],tbl_raw[Product_Name],A630)</f>
        <v>12</v>
      </c>
      <c r="E630" s="3">
        <f>SUMIFS(tbl_raw[Net_Profit],tbl_raw[Product_Name],A630)</f>
        <v>2352</v>
      </c>
      <c r="F630" s="2">
        <f>SUMIFS(tbl_raw[Return_Flag],tbl_raw[Product_Name],A630)</f>
        <v>0</v>
      </c>
      <c r="G630" s="3" cm="1">
        <f t="array" ref="G630">SUMPRODUCT((tbl_raw[Product_Name]=A630)*(tbl_raw[MRP]-tbl_raw[Selling_Price])*tbl_raw[Units_Sold])</f>
        <v>10296</v>
      </c>
      <c r="H630" s="83">
        <f>AVERAGEIFS(tbl_raw[Discount_Pct],tbl_raw[Product_Name],A630)</f>
        <v>0.23</v>
      </c>
    </row>
    <row r="631" spans="1:8" hidden="1" x14ac:dyDescent="0.25">
      <c r="A631" s="2" t="str">
        <v>Fiction - Model 292</v>
      </c>
      <c r="B631" s="2" t="str">
        <f>_xlfn.XLOOKUP(A631,tbl_raw[Product_Name],tbl_raw[Category])</f>
        <v>Books</v>
      </c>
      <c r="C631" s="2">
        <f>COUNTIF(tbl_raw[Product_Name],A631)</f>
        <v>1</v>
      </c>
      <c r="D631" s="2">
        <f>SUMIFS(tbl_raw[Units_Sold],tbl_raw[Product_Name],A631)</f>
        <v>3</v>
      </c>
      <c r="E631" s="3">
        <f>SUMIFS(tbl_raw[Net_Profit],tbl_raw[Product_Name],A631)</f>
        <v>-273</v>
      </c>
      <c r="F631" s="2">
        <f>SUMIFS(tbl_raw[Return_Flag],tbl_raw[Product_Name],A631)</f>
        <v>0</v>
      </c>
      <c r="G631" s="3" cm="1">
        <f t="array" ref="G631">SUMPRODUCT((tbl_raw[Product_Name]=A631)*(tbl_raw[MRP]-tbl_raw[Selling_Price])*tbl_raw[Units_Sold])</f>
        <v>990</v>
      </c>
      <c r="H631" s="83">
        <f>AVERAGEIFS(tbl_raw[Discount_Pct],tbl_raw[Product_Name],A631)</f>
        <v>0.4</v>
      </c>
    </row>
    <row r="632" spans="1:8" hidden="1" x14ac:dyDescent="0.25">
      <c r="A632" s="2" t="str">
        <v>Pressure Cooker - Model 633</v>
      </c>
      <c r="B632" s="2" t="str">
        <f>_xlfn.XLOOKUP(A632,tbl_raw[Product_Name],tbl_raw[Category])</f>
        <v>Home &amp; Kitchen</v>
      </c>
      <c r="C632" s="2">
        <f>COUNTIF(tbl_raw[Product_Name],A632)</f>
        <v>1</v>
      </c>
      <c r="D632" s="2">
        <f>SUMIFS(tbl_raw[Units_Sold],tbl_raw[Product_Name],A632)</f>
        <v>10</v>
      </c>
      <c r="E632" s="3">
        <f>SUMIFS(tbl_raw[Net_Profit],tbl_raw[Product_Name],A632)</f>
        <v>-2250</v>
      </c>
      <c r="F632" s="2">
        <f>SUMIFS(tbl_raw[Return_Flag],tbl_raw[Product_Name],A632)</f>
        <v>0</v>
      </c>
      <c r="G632" s="3" cm="1">
        <f t="array" ref="G632">SUMPRODUCT((tbl_raw[Product_Name]=A632)*(tbl_raw[MRP]-tbl_raw[Selling_Price])*tbl_raw[Units_Sold])</f>
        <v>10690</v>
      </c>
      <c r="H632" s="83">
        <f>AVERAGEIFS(tbl_raw[Discount_Pct],tbl_raw[Product_Name],A632)</f>
        <v>0.31</v>
      </c>
    </row>
    <row r="633" spans="1:8" hidden="1" x14ac:dyDescent="0.25">
      <c r="A633" s="2" t="str">
        <v>Kurta - Model 992</v>
      </c>
      <c r="B633" s="2" t="str">
        <f>_xlfn.XLOOKUP(A633,tbl_raw[Product_Name],tbl_raw[Category])</f>
        <v>Fashion</v>
      </c>
      <c r="C633" s="2">
        <f>COUNTIF(tbl_raw[Product_Name],A633)</f>
        <v>1</v>
      </c>
      <c r="D633" s="2">
        <f>SUMIFS(tbl_raw[Units_Sold],tbl_raw[Product_Name],A633)</f>
        <v>17</v>
      </c>
      <c r="E633" s="3">
        <f>SUMIFS(tbl_raw[Net_Profit],tbl_raw[Product_Name],A633)</f>
        <v>23630</v>
      </c>
      <c r="F633" s="2">
        <f>SUMIFS(tbl_raw[Return_Flag],tbl_raw[Product_Name],A633)</f>
        <v>0</v>
      </c>
      <c r="G633" s="3" cm="1">
        <f t="array" ref="G633">SUMPRODUCT((tbl_raw[Product_Name]=A633)*(tbl_raw[MRP]-tbl_raw[Selling_Price])*tbl_raw[Units_Sold])</f>
        <v>16881</v>
      </c>
      <c r="H633" s="83">
        <f>AVERAGEIFS(tbl_raw[Discount_Pct],tbl_raw[Product_Name],A633)</f>
        <v>0.19</v>
      </c>
    </row>
    <row r="634" spans="1:8" hidden="1" x14ac:dyDescent="0.25">
      <c r="A634" s="2" t="str">
        <v>Pulses - Model 411</v>
      </c>
      <c r="B634" s="2" t="str">
        <f>_xlfn.XLOOKUP(A634,tbl_raw[Product_Name],tbl_raw[Category])</f>
        <v>Grocery</v>
      </c>
      <c r="C634" s="2">
        <f>COUNTIF(tbl_raw[Product_Name],A634)</f>
        <v>1</v>
      </c>
      <c r="D634" s="2">
        <f>SUMIFS(tbl_raw[Units_Sold],tbl_raw[Product_Name],A634)</f>
        <v>5</v>
      </c>
      <c r="E634" s="3">
        <f>SUMIFS(tbl_raw[Net_Profit],tbl_raw[Product_Name],A634)</f>
        <v>6300</v>
      </c>
      <c r="F634" s="2">
        <f>SUMIFS(tbl_raw[Return_Flag],tbl_raw[Product_Name],A634)</f>
        <v>1</v>
      </c>
      <c r="G634" s="3" cm="1">
        <f t="array" ref="G634">SUMPRODUCT((tbl_raw[Product_Name]=A634)*(tbl_raw[MRP]-tbl_raw[Selling_Price])*tbl_raw[Units_Sold])</f>
        <v>5045</v>
      </c>
      <c r="H634" s="83">
        <f>AVERAGEIFS(tbl_raw[Discount_Pct],tbl_raw[Product_Name],A634)</f>
        <v>0.14000000000000001</v>
      </c>
    </row>
    <row r="635" spans="1:8" hidden="1" x14ac:dyDescent="0.25">
      <c r="A635" s="2" t="str">
        <v>Textbook - Model 566</v>
      </c>
      <c r="B635" s="2" t="str">
        <f>_xlfn.XLOOKUP(A635,tbl_raw[Product_Name],tbl_raw[Category])</f>
        <v>Books</v>
      </c>
      <c r="C635" s="2">
        <f>COUNTIF(tbl_raw[Product_Name],A635)</f>
        <v>1</v>
      </c>
      <c r="D635" s="2">
        <f>SUMIFS(tbl_raw[Units_Sold],tbl_raw[Product_Name],A635)</f>
        <v>20</v>
      </c>
      <c r="E635" s="3">
        <f>SUMIFS(tbl_raw[Net_Profit],tbl_raw[Product_Name],A635)</f>
        <v>23160</v>
      </c>
      <c r="F635" s="2">
        <f>SUMIFS(tbl_raw[Return_Flag],tbl_raw[Product_Name],A635)</f>
        <v>0</v>
      </c>
      <c r="G635" s="3" cm="1">
        <f t="array" ref="G635">SUMPRODUCT((tbl_raw[Product_Name]=A635)*(tbl_raw[MRP]-tbl_raw[Selling_Price])*tbl_raw[Units_Sold])</f>
        <v>47420</v>
      </c>
      <c r="H635" s="83">
        <f>AVERAGEIFS(tbl_raw[Discount_Pct],tbl_raw[Product_Name],A635)</f>
        <v>0.32</v>
      </c>
    </row>
    <row r="636" spans="1:8" hidden="1" x14ac:dyDescent="0.25">
      <c r="A636" s="2" t="str">
        <v>Curtain - Model 366</v>
      </c>
      <c r="B636" s="2" t="str">
        <f>_xlfn.XLOOKUP(A636,tbl_raw[Product_Name],tbl_raw[Category])</f>
        <v>Home &amp; Kitchen</v>
      </c>
      <c r="C636" s="2">
        <f>COUNTIF(tbl_raw[Product_Name],A636)</f>
        <v>1</v>
      </c>
      <c r="D636" s="2">
        <f>SUMIFS(tbl_raw[Units_Sold],tbl_raw[Product_Name],A636)</f>
        <v>6</v>
      </c>
      <c r="E636" s="3">
        <f>SUMIFS(tbl_raw[Net_Profit],tbl_raw[Product_Name],A636)</f>
        <v>-552</v>
      </c>
      <c r="F636" s="2">
        <f>SUMIFS(tbl_raw[Return_Flag],tbl_raw[Product_Name],A636)</f>
        <v>0</v>
      </c>
      <c r="G636" s="3" cm="1">
        <f t="array" ref="G636">SUMPRODUCT((tbl_raw[Product_Name]=A636)*(tbl_raw[MRP]-tbl_raw[Selling_Price])*tbl_raw[Units_Sold])</f>
        <v>3456</v>
      </c>
      <c r="H636" s="83">
        <f>AVERAGEIFS(tbl_raw[Discount_Pct],tbl_raw[Product_Name],A636)</f>
        <v>0.32</v>
      </c>
    </row>
    <row r="637" spans="1:8" hidden="1" x14ac:dyDescent="0.25">
      <c r="A637" s="2" t="str">
        <v>Shoes - Model 125</v>
      </c>
      <c r="B637" s="2" t="str">
        <f>_xlfn.XLOOKUP(A637,tbl_raw[Product_Name],tbl_raw[Category])</f>
        <v>Sports</v>
      </c>
      <c r="C637" s="2">
        <f>COUNTIF(tbl_raw[Product_Name],A637)</f>
        <v>1</v>
      </c>
      <c r="D637" s="2">
        <f>SUMIFS(tbl_raw[Units_Sold],tbl_raw[Product_Name],A637)</f>
        <v>16</v>
      </c>
      <c r="E637" s="3">
        <f>SUMIFS(tbl_raw[Net_Profit],tbl_raw[Product_Name],A637)</f>
        <v>-16176</v>
      </c>
      <c r="F637" s="2">
        <f>SUMIFS(tbl_raw[Return_Flag],tbl_raw[Product_Name],A637)</f>
        <v>0</v>
      </c>
      <c r="G637" s="3" cm="1">
        <f t="array" ref="G637">SUMPRODUCT((tbl_raw[Product_Name]=A637)*(tbl_raw[MRP]-tbl_raw[Selling_Price])*tbl_raw[Units_Sold])</f>
        <v>42608</v>
      </c>
      <c r="H637" s="83">
        <f>AVERAGEIFS(tbl_raw[Discount_Pct],tbl_raw[Product_Name],A637)</f>
        <v>0.43</v>
      </c>
    </row>
    <row r="638" spans="1:8" hidden="1" x14ac:dyDescent="0.25">
      <c r="A638" s="2" t="str">
        <v>Rice - Model 872</v>
      </c>
      <c r="B638" s="2" t="str">
        <f>_xlfn.XLOOKUP(A638,tbl_raw[Product_Name],tbl_raw[Category])</f>
        <v>Grocery</v>
      </c>
      <c r="C638" s="2">
        <f>COUNTIF(tbl_raw[Product_Name],A638)</f>
        <v>1</v>
      </c>
      <c r="D638" s="2">
        <f>SUMIFS(tbl_raw[Units_Sold],tbl_raw[Product_Name],A638)</f>
        <v>5</v>
      </c>
      <c r="E638" s="3">
        <f>SUMIFS(tbl_raw[Net_Profit],tbl_raw[Product_Name],A638)</f>
        <v>-2105</v>
      </c>
      <c r="F638" s="2">
        <f>SUMIFS(tbl_raw[Return_Flag],tbl_raw[Product_Name],A638)</f>
        <v>0</v>
      </c>
      <c r="G638" s="3" cm="1">
        <f t="array" ref="G638">SUMPRODUCT((tbl_raw[Product_Name]=A638)*(tbl_raw[MRP]-tbl_raw[Selling_Price])*tbl_raw[Units_Sold])</f>
        <v>10620</v>
      </c>
      <c r="H638" s="83">
        <f>AVERAGEIFS(tbl_raw[Discount_Pct],tbl_raw[Product_Name],A638)</f>
        <v>0.33</v>
      </c>
    </row>
    <row r="639" spans="1:8" hidden="1" x14ac:dyDescent="0.25">
      <c r="A639" s="2" t="str">
        <v>Saree - Model 125</v>
      </c>
      <c r="B639" s="2" t="str">
        <f>_xlfn.XLOOKUP(A639,tbl_raw[Product_Name],tbl_raw[Category])</f>
        <v>Fashion</v>
      </c>
      <c r="C639" s="2">
        <f>COUNTIF(tbl_raw[Product_Name],A639)</f>
        <v>1</v>
      </c>
      <c r="D639" s="2">
        <f>SUMIFS(tbl_raw[Units_Sold],tbl_raw[Product_Name],A639)</f>
        <v>20</v>
      </c>
      <c r="E639" s="3">
        <f>SUMIFS(tbl_raw[Net_Profit],tbl_raw[Product_Name],A639)</f>
        <v>48940</v>
      </c>
      <c r="F639" s="2">
        <f>SUMIFS(tbl_raw[Return_Flag],tbl_raw[Product_Name],A639)</f>
        <v>0</v>
      </c>
      <c r="G639" s="3" cm="1">
        <f t="array" ref="G639">SUMPRODUCT((tbl_raw[Product_Name]=A639)*(tbl_raw[MRP]-tbl_raw[Selling_Price])*tbl_raw[Units_Sold])</f>
        <v>27040</v>
      </c>
      <c r="H639" s="83">
        <f>AVERAGEIFS(tbl_raw[Discount_Pct],tbl_raw[Product_Name],A639)</f>
        <v>0.2</v>
      </c>
    </row>
    <row r="640" spans="1:8" hidden="1" x14ac:dyDescent="0.25">
      <c r="A640" s="2" t="str">
        <v>Mobile - Model 651</v>
      </c>
      <c r="B640" s="2" t="str">
        <f>_xlfn.XLOOKUP(A640,tbl_raw[Product_Name],tbl_raw[Category])</f>
        <v>Electronics</v>
      </c>
      <c r="C640" s="2">
        <f>COUNTIF(tbl_raw[Product_Name],A640)</f>
        <v>1</v>
      </c>
      <c r="D640" s="2">
        <f>SUMIFS(tbl_raw[Units_Sold],tbl_raw[Product_Name],A640)</f>
        <v>3</v>
      </c>
      <c r="E640" s="3">
        <f>SUMIFS(tbl_raw[Net_Profit],tbl_raw[Product_Name],A640)</f>
        <v>5460</v>
      </c>
      <c r="F640" s="2">
        <f>SUMIFS(tbl_raw[Return_Flag],tbl_raw[Product_Name],A640)</f>
        <v>0</v>
      </c>
      <c r="G640" s="3" cm="1">
        <f t="array" ref="G640">SUMPRODUCT((tbl_raw[Product_Name]=A640)*(tbl_raw[MRP]-tbl_raw[Selling_Price])*tbl_raw[Units_Sold])</f>
        <v>4218</v>
      </c>
      <c r="H640" s="83">
        <f>AVERAGEIFS(tbl_raw[Discount_Pct],tbl_raw[Product_Name],A640)</f>
        <v>0.18</v>
      </c>
    </row>
    <row r="641" spans="1:8" hidden="1" x14ac:dyDescent="0.25">
      <c r="A641" s="2" t="str">
        <v>Curtain - Model 478</v>
      </c>
      <c r="B641" s="2" t="str">
        <f>_xlfn.XLOOKUP(A641,tbl_raw[Product_Name],tbl_raw[Category])</f>
        <v>Home &amp; Kitchen</v>
      </c>
      <c r="C641" s="2">
        <f>COUNTIF(tbl_raw[Product_Name],A641)</f>
        <v>1</v>
      </c>
      <c r="D641" s="2">
        <f>SUMIFS(tbl_raw[Units_Sold],tbl_raw[Product_Name],A641)</f>
        <v>12</v>
      </c>
      <c r="E641" s="3">
        <f>SUMIFS(tbl_raw[Net_Profit],tbl_raw[Product_Name],A641)</f>
        <v>12</v>
      </c>
      <c r="F641" s="2">
        <f>SUMIFS(tbl_raw[Return_Flag],tbl_raw[Product_Name],A641)</f>
        <v>0</v>
      </c>
      <c r="G641" s="3" cm="1">
        <f t="array" ref="G641">SUMPRODUCT((tbl_raw[Product_Name]=A641)*(tbl_raw[MRP]-tbl_raw[Selling_Price])*tbl_raw[Units_Sold])</f>
        <v>564</v>
      </c>
      <c r="H641" s="83">
        <f>AVERAGEIFS(tbl_raw[Discount_Pct],tbl_raw[Product_Name],A641)</f>
        <v>0.16</v>
      </c>
    </row>
    <row r="642" spans="1:8" hidden="1" x14ac:dyDescent="0.25">
      <c r="A642" s="2" t="str">
        <v>Remote Car - Model 395</v>
      </c>
      <c r="B642" s="2" t="str">
        <f>_xlfn.XLOOKUP(A642,tbl_raw[Product_Name],tbl_raw[Category])</f>
        <v>Toys</v>
      </c>
      <c r="C642" s="2">
        <f>COUNTIF(tbl_raw[Product_Name],A642)</f>
        <v>1</v>
      </c>
      <c r="D642" s="2">
        <f>SUMIFS(tbl_raw[Units_Sold],tbl_raw[Product_Name],A642)</f>
        <v>14</v>
      </c>
      <c r="E642" s="3">
        <f>SUMIFS(tbl_raw[Net_Profit],tbl_raw[Product_Name],A642)</f>
        <v>7994</v>
      </c>
      <c r="F642" s="2">
        <f>SUMIFS(tbl_raw[Return_Flag],tbl_raw[Product_Name],A642)</f>
        <v>0</v>
      </c>
      <c r="G642" s="3" cm="1">
        <f t="array" ref="G642">SUMPRODUCT((tbl_raw[Product_Name]=A642)*(tbl_raw[MRP]-tbl_raw[Selling_Price])*tbl_raw[Units_Sold])</f>
        <v>15652</v>
      </c>
      <c r="H642" s="83">
        <f>AVERAGEIFS(tbl_raw[Discount_Pct],tbl_raw[Product_Name],A642)</f>
        <v>0.19</v>
      </c>
    </row>
    <row r="643" spans="1:8" hidden="1" x14ac:dyDescent="0.25">
      <c r="A643" s="2" t="str">
        <v>Jacket - Model 874</v>
      </c>
      <c r="B643" s="2" t="str">
        <f>_xlfn.XLOOKUP(A643,tbl_raw[Product_Name],tbl_raw[Category])</f>
        <v>Fashion</v>
      </c>
      <c r="C643" s="2">
        <f>COUNTIF(tbl_raw[Product_Name],A643)</f>
        <v>1</v>
      </c>
      <c r="D643" s="2">
        <f>SUMIFS(tbl_raw[Units_Sold],tbl_raw[Product_Name],A643)</f>
        <v>3</v>
      </c>
      <c r="E643" s="3">
        <f>SUMIFS(tbl_raw[Net_Profit],tbl_raw[Product_Name],A643)</f>
        <v>-6</v>
      </c>
      <c r="F643" s="2">
        <f>SUMIFS(tbl_raw[Return_Flag],tbl_raw[Product_Name],A643)</f>
        <v>1</v>
      </c>
      <c r="G643" s="3" cm="1">
        <f t="array" ref="G643">SUMPRODUCT((tbl_raw[Product_Name]=A643)*(tbl_raw[MRP]-tbl_raw[Selling_Price])*tbl_raw[Units_Sold])</f>
        <v>219</v>
      </c>
      <c r="H643" s="83">
        <f>AVERAGEIFS(tbl_raw[Discount_Pct],tbl_raw[Product_Name],A643)</f>
        <v>0.28999999999999998</v>
      </c>
    </row>
    <row r="644" spans="1:8" hidden="1" x14ac:dyDescent="0.25">
      <c r="A644" s="2" t="str">
        <v>Curtain - Model 396</v>
      </c>
      <c r="B644" s="2" t="str">
        <f>_xlfn.XLOOKUP(A644,tbl_raw[Product_Name],tbl_raw[Category])</f>
        <v>Home &amp; Kitchen</v>
      </c>
      <c r="C644" s="2">
        <f>COUNTIF(tbl_raw[Product_Name],A644)</f>
        <v>1</v>
      </c>
      <c r="D644" s="2">
        <f>SUMIFS(tbl_raw[Units_Sold],tbl_raw[Product_Name],A644)</f>
        <v>16</v>
      </c>
      <c r="E644" s="3">
        <f>SUMIFS(tbl_raw[Net_Profit],tbl_raw[Product_Name],A644)</f>
        <v>-1744</v>
      </c>
      <c r="F644" s="2">
        <f>SUMIFS(tbl_raw[Return_Flag],tbl_raw[Product_Name],A644)</f>
        <v>0</v>
      </c>
      <c r="G644" s="3" cm="1">
        <f t="array" ref="G644">SUMPRODUCT((tbl_raw[Product_Name]=A644)*(tbl_raw[MRP]-tbl_raw[Selling_Price])*tbl_raw[Units_Sold])</f>
        <v>3136</v>
      </c>
      <c r="H644" s="83">
        <f>AVERAGEIFS(tbl_raw[Discount_Pct],tbl_raw[Product_Name],A644)</f>
        <v>0.37</v>
      </c>
    </row>
    <row r="645" spans="1:8" hidden="1" x14ac:dyDescent="0.25">
      <c r="A645" s="2" t="str">
        <v>Yoga Mat - Model 755</v>
      </c>
      <c r="B645" s="2" t="str">
        <f>_xlfn.XLOOKUP(A645,tbl_raw[Product_Name],tbl_raw[Category])</f>
        <v>Sports</v>
      </c>
      <c r="C645" s="2">
        <f>COUNTIF(tbl_raw[Product_Name],A645)</f>
        <v>1</v>
      </c>
      <c r="D645" s="2">
        <f>SUMIFS(tbl_raw[Units_Sold],tbl_raw[Product_Name],A645)</f>
        <v>4</v>
      </c>
      <c r="E645" s="3">
        <f>SUMIFS(tbl_raw[Net_Profit],tbl_raw[Product_Name],A645)</f>
        <v>728</v>
      </c>
      <c r="F645" s="2">
        <f>SUMIFS(tbl_raw[Return_Flag],tbl_raw[Product_Name],A645)</f>
        <v>0</v>
      </c>
      <c r="G645" s="3" cm="1">
        <f t="array" ref="G645">SUMPRODUCT((tbl_raw[Product_Name]=A645)*(tbl_raw[MRP]-tbl_raw[Selling_Price])*tbl_raw[Units_Sold])</f>
        <v>8480</v>
      </c>
      <c r="H645" s="83">
        <f>AVERAGEIFS(tbl_raw[Discount_Pct],tbl_raw[Product_Name],A645)</f>
        <v>0.4</v>
      </c>
    </row>
    <row r="646" spans="1:8" hidden="1" x14ac:dyDescent="0.25">
      <c r="A646" s="2" t="str">
        <v>Comic - Model 592</v>
      </c>
      <c r="B646" s="2" t="str">
        <f>_xlfn.XLOOKUP(A646,tbl_raw[Product_Name],tbl_raw[Category])</f>
        <v>Books</v>
      </c>
      <c r="C646" s="2">
        <f>COUNTIF(tbl_raw[Product_Name],A646)</f>
        <v>1</v>
      </c>
      <c r="D646" s="2">
        <f>SUMIFS(tbl_raw[Units_Sold],tbl_raw[Product_Name],A646)</f>
        <v>14</v>
      </c>
      <c r="E646" s="3">
        <f>SUMIFS(tbl_raw[Net_Profit],tbl_raw[Product_Name],A646)</f>
        <v>13104</v>
      </c>
      <c r="F646" s="2">
        <f>SUMIFS(tbl_raw[Return_Flag],tbl_raw[Product_Name],A646)</f>
        <v>0</v>
      </c>
      <c r="G646" s="3" cm="1">
        <f t="array" ref="G646">SUMPRODUCT((tbl_raw[Product_Name]=A646)*(tbl_raw[MRP]-tbl_raw[Selling_Price])*tbl_raw[Units_Sold])</f>
        <v>27328</v>
      </c>
      <c r="H646" s="83">
        <f>AVERAGEIFS(tbl_raw[Discount_Pct],tbl_raw[Product_Name],A646)</f>
        <v>0.28000000000000003</v>
      </c>
    </row>
    <row r="647" spans="1:8" hidden="1" x14ac:dyDescent="0.25">
      <c r="A647" s="2" t="str">
        <v>Cricket Bat - Model 695</v>
      </c>
      <c r="B647" s="2" t="str">
        <f>_xlfn.XLOOKUP(A647,tbl_raw[Product_Name],tbl_raw[Category])</f>
        <v>Sports</v>
      </c>
      <c r="C647" s="2">
        <f>COUNTIF(tbl_raw[Product_Name],A647)</f>
        <v>1</v>
      </c>
      <c r="D647" s="2">
        <f>SUMIFS(tbl_raw[Units_Sold],tbl_raw[Product_Name],A647)</f>
        <v>5</v>
      </c>
      <c r="E647" s="3">
        <f>SUMIFS(tbl_raw[Net_Profit],tbl_raw[Product_Name],A647)</f>
        <v>1785</v>
      </c>
      <c r="F647" s="2">
        <f>SUMIFS(tbl_raw[Return_Flag],tbl_raw[Product_Name],A647)</f>
        <v>0</v>
      </c>
      <c r="G647" s="3" cm="1">
        <f t="array" ref="G647">SUMPRODUCT((tbl_raw[Product_Name]=A647)*(tbl_raw[MRP]-tbl_raw[Selling_Price])*tbl_raw[Units_Sold])</f>
        <v>5390</v>
      </c>
      <c r="H647" s="83">
        <f>AVERAGEIFS(tbl_raw[Discount_Pct],tbl_raw[Product_Name],A647)</f>
        <v>0.4</v>
      </c>
    </row>
    <row r="648" spans="1:8" hidden="1" x14ac:dyDescent="0.25">
      <c r="A648" s="2" t="str">
        <v>Yoga Mat - Model 642</v>
      </c>
      <c r="B648" s="2" t="str">
        <f>_xlfn.XLOOKUP(A648,tbl_raw[Product_Name],tbl_raw[Category])</f>
        <v>Sports</v>
      </c>
      <c r="C648" s="2">
        <f>COUNTIF(tbl_raw[Product_Name],A648)</f>
        <v>1</v>
      </c>
      <c r="D648" s="2">
        <f>SUMIFS(tbl_raw[Units_Sold],tbl_raw[Product_Name],A648)</f>
        <v>17</v>
      </c>
      <c r="E648" s="3">
        <f>SUMIFS(tbl_raw[Net_Profit],tbl_raw[Product_Name],A648)</f>
        <v>-510</v>
      </c>
      <c r="F648" s="2">
        <f>SUMIFS(tbl_raw[Return_Flag],tbl_raw[Product_Name],A648)</f>
        <v>0</v>
      </c>
      <c r="G648" s="3" cm="1">
        <f t="array" ref="G648">SUMPRODUCT((tbl_raw[Product_Name]=A648)*(tbl_raw[MRP]-tbl_raw[Selling_Price])*tbl_raw[Units_Sold])</f>
        <v>8143</v>
      </c>
      <c r="H648" s="83">
        <f>AVERAGEIFS(tbl_raw[Discount_Pct],tbl_raw[Product_Name],A648)</f>
        <v>0.28000000000000003</v>
      </c>
    </row>
    <row r="649" spans="1:8" hidden="1" x14ac:dyDescent="0.25">
      <c r="A649" s="2" t="str">
        <v>Yoga Mat - Model 801</v>
      </c>
      <c r="B649" s="2" t="str">
        <f>_xlfn.XLOOKUP(A649,tbl_raw[Product_Name],tbl_raw[Category])</f>
        <v>Sports</v>
      </c>
      <c r="C649" s="2">
        <f>COUNTIF(tbl_raw[Product_Name],A649)</f>
        <v>1</v>
      </c>
      <c r="D649" s="2">
        <f>SUMIFS(tbl_raw[Units_Sold],tbl_raw[Product_Name],A649)</f>
        <v>4</v>
      </c>
      <c r="E649" s="3">
        <f>SUMIFS(tbl_raw[Net_Profit],tbl_raw[Product_Name],A649)</f>
        <v>6604</v>
      </c>
      <c r="F649" s="2">
        <f>SUMIFS(tbl_raw[Return_Flag],tbl_raw[Product_Name],A649)</f>
        <v>0</v>
      </c>
      <c r="G649" s="3" cm="1">
        <f t="array" ref="G649">SUMPRODUCT((tbl_raw[Product_Name]=A649)*(tbl_raw[MRP]-tbl_raw[Selling_Price])*tbl_raw[Units_Sold])</f>
        <v>2796</v>
      </c>
      <c r="H649" s="83">
        <f>AVERAGEIFS(tbl_raw[Discount_Pct],tbl_raw[Product_Name],A649)</f>
        <v>0.16</v>
      </c>
    </row>
    <row r="650" spans="1:8" hidden="1" x14ac:dyDescent="0.25">
      <c r="A650" s="2" t="str">
        <v>Jeans - Model 258</v>
      </c>
      <c r="B650" s="2" t="str">
        <f>_xlfn.XLOOKUP(A650,tbl_raw[Product_Name],tbl_raw[Category])</f>
        <v>Fashion</v>
      </c>
      <c r="C650" s="2">
        <f>COUNTIF(tbl_raw[Product_Name],A650)</f>
        <v>1</v>
      </c>
      <c r="D650" s="2">
        <f>SUMIFS(tbl_raw[Units_Sold],tbl_raw[Product_Name],A650)</f>
        <v>8</v>
      </c>
      <c r="E650" s="3">
        <f>SUMIFS(tbl_raw[Net_Profit],tbl_raw[Product_Name],A650)</f>
        <v>1312</v>
      </c>
      <c r="F650" s="2">
        <f>SUMIFS(tbl_raw[Return_Flag],tbl_raw[Product_Name],A650)</f>
        <v>0</v>
      </c>
      <c r="G650" s="3" cm="1">
        <f t="array" ref="G650">SUMPRODUCT((tbl_raw[Product_Name]=A650)*(tbl_raw[MRP]-tbl_raw[Selling_Price])*tbl_raw[Units_Sold])</f>
        <v>19256</v>
      </c>
      <c r="H650" s="83">
        <f>AVERAGEIFS(tbl_raw[Discount_Pct],tbl_raw[Product_Name],A650)</f>
        <v>0.36</v>
      </c>
    </row>
    <row r="651" spans="1:8" hidden="1" x14ac:dyDescent="0.25">
      <c r="A651" s="2" t="str">
        <v>Shoes - Model 571</v>
      </c>
      <c r="B651" s="2" t="str">
        <f>_xlfn.XLOOKUP(A651,tbl_raw[Product_Name],tbl_raw[Category])</f>
        <v>Fashion</v>
      </c>
      <c r="C651" s="2">
        <f>COUNTIF(tbl_raw[Product_Name],A651)</f>
        <v>1</v>
      </c>
      <c r="D651" s="2">
        <f>SUMIFS(tbl_raw[Units_Sold],tbl_raw[Product_Name],A651)</f>
        <v>4</v>
      </c>
      <c r="E651" s="3">
        <f>SUMIFS(tbl_raw[Net_Profit],tbl_raw[Product_Name],A651)</f>
        <v>12</v>
      </c>
      <c r="F651" s="2">
        <f>SUMIFS(tbl_raw[Return_Flag],tbl_raw[Product_Name],A651)</f>
        <v>0</v>
      </c>
      <c r="G651" s="3" cm="1">
        <f t="array" ref="G651">SUMPRODUCT((tbl_raw[Product_Name]=A651)*(tbl_raw[MRP]-tbl_raw[Selling_Price])*tbl_raw[Units_Sold])</f>
        <v>11068</v>
      </c>
      <c r="H651" s="83">
        <f>AVERAGEIFS(tbl_raw[Discount_Pct],tbl_raw[Product_Name],A651)</f>
        <v>0.42</v>
      </c>
    </row>
    <row r="652" spans="1:8" hidden="1" x14ac:dyDescent="0.25">
      <c r="A652" s="2" t="str">
        <v>Self-Help - Model 826</v>
      </c>
      <c r="B652" s="2" t="str">
        <f>_xlfn.XLOOKUP(A652,tbl_raw[Product_Name],tbl_raw[Category])</f>
        <v>Books</v>
      </c>
      <c r="C652" s="2">
        <f>COUNTIF(tbl_raw[Product_Name],A652)</f>
        <v>1</v>
      </c>
      <c r="D652" s="2">
        <f>SUMIFS(tbl_raw[Units_Sold],tbl_raw[Product_Name],A652)</f>
        <v>1</v>
      </c>
      <c r="E652" s="3">
        <f>SUMIFS(tbl_raw[Net_Profit],tbl_raw[Product_Name],A652)</f>
        <v>2900</v>
      </c>
      <c r="F652" s="2">
        <f>SUMIFS(tbl_raw[Return_Flag],tbl_raw[Product_Name],A652)</f>
        <v>0</v>
      </c>
      <c r="G652" s="3" cm="1">
        <f t="array" ref="G652">SUMPRODUCT((tbl_raw[Product_Name]=A652)*(tbl_raw[MRP]-tbl_raw[Selling_Price])*tbl_raw[Units_Sold])</f>
        <v>300</v>
      </c>
      <c r="H652" s="83">
        <f>AVERAGEIFS(tbl_raw[Discount_Pct],tbl_raw[Product_Name],A652)</f>
        <v>0.05</v>
      </c>
    </row>
    <row r="653" spans="1:8" hidden="1" x14ac:dyDescent="0.25">
      <c r="A653" s="2" t="str">
        <v>Kurta - Model 119</v>
      </c>
      <c r="B653" s="2" t="str">
        <f>_xlfn.XLOOKUP(A653,tbl_raw[Product_Name],tbl_raw[Category])</f>
        <v>Fashion</v>
      </c>
      <c r="C653" s="2">
        <f>COUNTIF(tbl_raw[Product_Name],A653)</f>
        <v>1</v>
      </c>
      <c r="D653" s="2">
        <f>SUMIFS(tbl_raw[Units_Sold],tbl_raw[Product_Name],A653)</f>
        <v>14</v>
      </c>
      <c r="E653" s="3">
        <f>SUMIFS(tbl_raw[Net_Profit],tbl_raw[Product_Name],A653)</f>
        <v>532</v>
      </c>
      <c r="F653" s="2">
        <f>SUMIFS(tbl_raw[Return_Flag],tbl_raw[Product_Name],A653)</f>
        <v>0</v>
      </c>
      <c r="G653" s="3" cm="1">
        <f t="array" ref="G653">SUMPRODUCT((tbl_raw[Product_Name]=A653)*(tbl_raw[MRP]-tbl_raw[Selling_Price])*tbl_raw[Units_Sold])</f>
        <v>378</v>
      </c>
      <c r="H653" s="83">
        <f>AVERAGEIFS(tbl_raw[Discount_Pct],tbl_raw[Product_Name],A653)</f>
        <v>0.05</v>
      </c>
    </row>
    <row r="654" spans="1:8" hidden="1" x14ac:dyDescent="0.25">
      <c r="A654" s="2" t="str">
        <v>Shoes - Model 872</v>
      </c>
      <c r="B654" s="2" t="str">
        <f>_xlfn.XLOOKUP(A654,tbl_raw[Product_Name],tbl_raw[Category])</f>
        <v>Sports</v>
      </c>
      <c r="C654" s="2">
        <f>COUNTIF(tbl_raw[Product_Name],A654)</f>
        <v>1</v>
      </c>
      <c r="D654" s="2">
        <f>SUMIFS(tbl_raw[Units_Sold],tbl_raw[Product_Name],A654)</f>
        <v>4</v>
      </c>
      <c r="E654" s="3">
        <f>SUMIFS(tbl_raw[Net_Profit],tbl_raw[Product_Name],A654)</f>
        <v>5508</v>
      </c>
      <c r="F654" s="2">
        <f>SUMIFS(tbl_raw[Return_Flag],tbl_raw[Product_Name],A654)</f>
        <v>0</v>
      </c>
      <c r="G654" s="3" cm="1">
        <f t="array" ref="G654">SUMPRODUCT((tbl_raw[Product_Name]=A654)*(tbl_raw[MRP]-tbl_raw[Selling_Price])*tbl_raw[Units_Sold])</f>
        <v>2656</v>
      </c>
      <c r="H654" s="83">
        <f>AVERAGEIFS(tbl_raw[Discount_Pct],tbl_raw[Product_Name],A654)</f>
        <v>0.09</v>
      </c>
    </row>
    <row r="655" spans="1:8" hidden="1" x14ac:dyDescent="0.25">
      <c r="A655" s="2" t="str">
        <v>Textbook - Model 264</v>
      </c>
      <c r="B655" s="2" t="str">
        <f>_xlfn.XLOOKUP(A655,tbl_raw[Product_Name],tbl_raw[Category])</f>
        <v>Books</v>
      </c>
      <c r="C655" s="2">
        <f>COUNTIF(tbl_raw[Product_Name],A655)</f>
        <v>1</v>
      </c>
      <c r="D655" s="2">
        <f>SUMIFS(tbl_raw[Units_Sold],tbl_raw[Product_Name],A655)</f>
        <v>20</v>
      </c>
      <c r="E655" s="3">
        <f>SUMIFS(tbl_raw[Net_Profit],tbl_raw[Product_Name],A655)</f>
        <v>10400</v>
      </c>
      <c r="F655" s="2">
        <f>SUMIFS(tbl_raw[Return_Flag],tbl_raw[Product_Name],A655)</f>
        <v>0</v>
      </c>
      <c r="G655" s="3" cm="1">
        <f t="array" ref="G655">SUMPRODUCT((tbl_raw[Product_Name]=A655)*(tbl_raw[MRP]-tbl_raw[Selling_Price])*tbl_raw[Units_Sold])</f>
        <v>10840</v>
      </c>
      <c r="H655" s="83">
        <f>AVERAGEIFS(tbl_raw[Discount_Pct],tbl_raw[Product_Name],A655)</f>
        <v>0.26</v>
      </c>
    </row>
    <row r="656" spans="1:8" hidden="1" x14ac:dyDescent="0.25">
      <c r="A656" s="2" t="str">
        <v>Mobile - Model 319</v>
      </c>
      <c r="B656" s="2" t="str">
        <f>_xlfn.XLOOKUP(A656,tbl_raw[Product_Name],tbl_raw[Category])</f>
        <v>Electronics</v>
      </c>
      <c r="C656" s="2">
        <f>COUNTIF(tbl_raw[Product_Name],A656)</f>
        <v>1</v>
      </c>
      <c r="D656" s="2">
        <f>SUMIFS(tbl_raw[Units_Sold],tbl_raw[Product_Name],A656)</f>
        <v>16</v>
      </c>
      <c r="E656" s="3">
        <f>SUMIFS(tbl_raw[Net_Profit],tbl_raw[Product_Name],A656)</f>
        <v>5824</v>
      </c>
      <c r="F656" s="2">
        <f>SUMIFS(tbl_raw[Return_Flag],tbl_raw[Product_Name],A656)</f>
        <v>0</v>
      </c>
      <c r="G656" s="3" cm="1">
        <f t="array" ref="G656">SUMPRODUCT((tbl_raw[Product_Name]=A656)*(tbl_raw[MRP]-tbl_raw[Selling_Price])*tbl_raw[Units_Sold])</f>
        <v>13216</v>
      </c>
      <c r="H656" s="83">
        <f>AVERAGEIFS(tbl_raw[Discount_Pct],tbl_raw[Product_Name],A656)</f>
        <v>0.27</v>
      </c>
    </row>
    <row r="657" spans="1:8" hidden="1" x14ac:dyDescent="0.25">
      <c r="A657" s="2" t="str">
        <v>Perfume - Model 215</v>
      </c>
      <c r="B657" s="2" t="str">
        <f>_xlfn.XLOOKUP(A657,tbl_raw[Product_Name],tbl_raw[Category])</f>
        <v>Beauty</v>
      </c>
      <c r="C657" s="2">
        <f>COUNTIF(tbl_raw[Product_Name],A657)</f>
        <v>1</v>
      </c>
      <c r="D657" s="2">
        <f>SUMIFS(tbl_raw[Units_Sold],tbl_raw[Product_Name],A657)</f>
        <v>4</v>
      </c>
      <c r="E657" s="3">
        <f>SUMIFS(tbl_raw[Net_Profit],tbl_raw[Product_Name],A657)</f>
        <v>2676</v>
      </c>
      <c r="F657" s="2">
        <f>SUMIFS(tbl_raw[Return_Flag],tbl_raw[Product_Name],A657)</f>
        <v>0</v>
      </c>
      <c r="G657" s="3" cm="1">
        <f t="array" ref="G657">SUMPRODUCT((tbl_raw[Product_Name]=A657)*(tbl_raw[MRP]-tbl_raw[Selling_Price])*tbl_raw[Units_Sold])</f>
        <v>3528</v>
      </c>
      <c r="H657" s="83">
        <f>AVERAGEIFS(tbl_raw[Discount_Pct],tbl_raw[Product_Name],A657)</f>
        <v>0.23</v>
      </c>
    </row>
    <row r="658" spans="1:8" hidden="1" x14ac:dyDescent="0.25">
      <c r="A658" s="2" t="str">
        <v>Shoes - Model 390</v>
      </c>
      <c r="B658" s="2" t="str">
        <f>_xlfn.XLOOKUP(A658,tbl_raw[Product_Name],tbl_raw[Category])</f>
        <v>Fashion</v>
      </c>
      <c r="C658" s="2">
        <f>COUNTIF(tbl_raw[Product_Name],A658)</f>
        <v>1</v>
      </c>
      <c r="D658" s="2">
        <f>SUMIFS(tbl_raw[Units_Sold],tbl_raw[Product_Name],A658)</f>
        <v>20</v>
      </c>
      <c r="E658" s="3">
        <f>SUMIFS(tbl_raw[Net_Profit],tbl_raw[Product_Name],A658)</f>
        <v>-1800</v>
      </c>
      <c r="F658" s="2">
        <f>SUMIFS(tbl_raw[Return_Flag],tbl_raw[Product_Name],A658)</f>
        <v>0</v>
      </c>
      <c r="G658" s="3" cm="1">
        <f t="array" ref="G658">SUMPRODUCT((tbl_raw[Product_Name]=A658)*(tbl_raw[MRP]-tbl_raw[Selling_Price])*tbl_raw[Units_Sold])</f>
        <v>36840</v>
      </c>
      <c r="H658" s="83">
        <f>AVERAGEIFS(tbl_raw[Discount_Pct],tbl_raw[Product_Name],A658)</f>
        <v>0.31</v>
      </c>
    </row>
    <row r="659" spans="1:8" hidden="1" x14ac:dyDescent="0.25">
      <c r="A659" s="2" t="str">
        <v>Shoes - Model 795</v>
      </c>
      <c r="B659" s="2" t="str">
        <f>_xlfn.XLOOKUP(A659,tbl_raw[Product_Name],tbl_raw[Category])</f>
        <v>Fashion</v>
      </c>
      <c r="C659" s="2">
        <f>COUNTIF(tbl_raw[Product_Name],A659)</f>
        <v>2</v>
      </c>
      <c r="D659" s="2">
        <f>SUMIFS(tbl_raw[Units_Sold],tbl_raw[Product_Name],A659)</f>
        <v>17</v>
      </c>
      <c r="E659" s="3">
        <f>SUMIFS(tbl_raw[Net_Profit],tbl_raw[Product_Name],A659)</f>
        <v>-10254</v>
      </c>
      <c r="F659" s="2">
        <f>SUMIFS(tbl_raw[Return_Flag],tbl_raw[Product_Name],A659)</f>
        <v>0</v>
      </c>
      <c r="G659" s="3" cm="1">
        <f t="array" ref="G659">SUMPRODUCT((tbl_raw[Product_Name]=A659)*(tbl_raw[MRP]-tbl_raw[Selling_Price])*tbl_raw[Units_Sold])</f>
        <v>30196</v>
      </c>
      <c r="H659" s="83">
        <f>AVERAGEIFS(tbl_raw[Discount_Pct],tbl_raw[Product_Name],A659)</f>
        <v>0.37</v>
      </c>
    </row>
    <row r="660" spans="1:8" hidden="1" x14ac:dyDescent="0.25">
      <c r="A660" s="2" t="str">
        <v>Doll - Model 204</v>
      </c>
      <c r="B660" s="2" t="str">
        <f>_xlfn.XLOOKUP(A660,tbl_raw[Product_Name],tbl_raw[Category])</f>
        <v>Toys</v>
      </c>
      <c r="C660" s="2">
        <f>COUNTIF(tbl_raw[Product_Name],A660)</f>
        <v>1</v>
      </c>
      <c r="D660" s="2">
        <f>SUMIFS(tbl_raw[Units_Sold],tbl_raw[Product_Name],A660)</f>
        <v>3</v>
      </c>
      <c r="E660" s="3">
        <f>SUMIFS(tbl_raw[Net_Profit],tbl_raw[Product_Name],A660)</f>
        <v>3537</v>
      </c>
      <c r="F660" s="2">
        <f>SUMIFS(tbl_raw[Return_Flag],tbl_raw[Product_Name],A660)</f>
        <v>0</v>
      </c>
      <c r="G660" s="3" cm="1">
        <f t="array" ref="G660">SUMPRODUCT((tbl_raw[Product_Name]=A660)*(tbl_raw[MRP]-tbl_raw[Selling_Price])*tbl_raw[Units_Sold])</f>
        <v>819</v>
      </c>
      <c r="H660" s="83">
        <f>AVERAGEIFS(tbl_raw[Discount_Pct],tbl_raw[Product_Name],A660)</f>
        <v>0.09</v>
      </c>
    </row>
    <row r="661" spans="1:8" hidden="1" x14ac:dyDescent="0.25">
      <c r="A661" s="2" t="str">
        <v>Cycle - Model 707</v>
      </c>
      <c r="B661" s="2" t="str">
        <f>_xlfn.XLOOKUP(A661,tbl_raw[Product_Name],tbl_raw[Category])</f>
        <v>Sports</v>
      </c>
      <c r="C661" s="2">
        <f>COUNTIF(tbl_raw[Product_Name],A661)</f>
        <v>1</v>
      </c>
      <c r="D661" s="2">
        <f>SUMIFS(tbl_raw[Units_Sold],tbl_raw[Product_Name],A661)</f>
        <v>13</v>
      </c>
      <c r="E661" s="3">
        <f>SUMIFS(tbl_raw[Net_Profit],tbl_raw[Product_Name],A661)</f>
        <v>-3575</v>
      </c>
      <c r="F661" s="2">
        <f>SUMIFS(tbl_raw[Return_Flag],tbl_raw[Product_Name],A661)</f>
        <v>1</v>
      </c>
      <c r="G661" s="3" cm="1">
        <f t="array" ref="G661">SUMPRODUCT((tbl_raw[Product_Name]=A661)*(tbl_raw[MRP]-tbl_raw[Selling_Price])*tbl_raw[Units_Sold])</f>
        <v>11609</v>
      </c>
      <c r="H661" s="83">
        <f>AVERAGEIFS(tbl_raw[Discount_Pct],tbl_raw[Product_Name],A661)</f>
        <v>0.3</v>
      </c>
    </row>
    <row r="662" spans="1:8" hidden="1" x14ac:dyDescent="0.25">
      <c r="A662" s="2" t="str">
        <v>Dumbbells - Model 609</v>
      </c>
      <c r="B662" s="2" t="str">
        <f>_xlfn.XLOOKUP(A662,tbl_raw[Product_Name],tbl_raw[Category])</f>
        <v>Sports</v>
      </c>
      <c r="C662" s="2">
        <f>COUNTIF(tbl_raw[Product_Name],A662)</f>
        <v>1</v>
      </c>
      <c r="D662" s="2">
        <f>SUMIFS(tbl_raw[Units_Sold],tbl_raw[Product_Name],A662)</f>
        <v>5</v>
      </c>
      <c r="E662" s="3">
        <f>SUMIFS(tbl_raw[Net_Profit],tbl_raw[Product_Name],A662)</f>
        <v>-570</v>
      </c>
      <c r="F662" s="2">
        <f>SUMIFS(tbl_raw[Return_Flag],tbl_raw[Product_Name],A662)</f>
        <v>0</v>
      </c>
      <c r="G662" s="3" cm="1">
        <f t="array" ref="G662">SUMPRODUCT((tbl_raw[Product_Name]=A662)*(tbl_raw[MRP]-tbl_raw[Selling_Price])*tbl_raw[Units_Sold])</f>
        <v>715</v>
      </c>
      <c r="H662" s="83">
        <f>AVERAGEIFS(tbl_raw[Discount_Pct],tbl_raw[Product_Name],A662)</f>
        <v>0.33</v>
      </c>
    </row>
    <row r="663" spans="1:8" hidden="1" x14ac:dyDescent="0.25">
      <c r="A663" s="2" t="str">
        <v>Bedsheet - Model 736</v>
      </c>
      <c r="B663" s="2" t="str">
        <f>_xlfn.XLOOKUP(A663,tbl_raw[Product_Name],tbl_raw[Category])</f>
        <v>Home &amp; Kitchen</v>
      </c>
      <c r="C663" s="2">
        <f>COUNTIF(tbl_raw[Product_Name],A663)</f>
        <v>1</v>
      </c>
      <c r="D663" s="2">
        <f>SUMIFS(tbl_raw[Units_Sold],tbl_raw[Product_Name],A663)</f>
        <v>4</v>
      </c>
      <c r="E663" s="3">
        <f>SUMIFS(tbl_raw[Net_Profit],tbl_raw[Product_Name],A663)</f>
        <v>2476</v>
      </c>
      <c r="F663" s="2">
        <f>SUMIFS(tbl_raw[Return_Flag],tbl_raw[Product_Name],A663)</f>
        <v>0</v>
      </c>
      <c r="G663" s="3" cm="1">
        <f t="array" ref="G663">SUMPRODUCT((tbl_raw[Product_Name]=A663)*(tbl_raw[MRP]-tbl_raw[Selling_Price])*tbl_raw[Units_Sold])</f>
        <v>7356</v>
      </c>
      <c r="H663" s="83">
        <f>AVERAGEIFS(tbl_raw[Discount_Pct],tbl_raw[Product_Name],A663)</f>
        <v>0.3</v>
      </c>
    </row>
    <row r="664" spans="1:8" hidden="1" x14ac:dyDescent="0.25">
      <c r="A664" s="2" t="str">
        <v>Cycle - Model 451</v>
      </c>
      <c r="B664" s="2" t="str">
        <f>_xlfn.XLOOKUP(A664,tbl_raw[Product_Name],tbl_raw[Category])</f>
        <v>Sports</v>
      </c>
      <c r="C664" s="2">
        <f>COUNTIF(tbl_raw[Product_Name],A664)</f>
        <v>1</v>
      </c>
      <c r="D664" s="2">
        <f>SUMIFS(tbl_raw[Units_Sold],tbl_raw[Product_Name],A664)</f>
        <v>18</v>
      </c>
      <c r="E664" s="3">
        <f>SUMIFS(tbl_raw[Net_Profit],tbl_raw[Product_Name],A664)</f>
        <v>-3438</v>
      </c>
      <c r="F664" s="2">
        <f>SUMIFS(tbl_raw[Return_Flag],tbl_raw[Product_Name],A664)</f>
        <v>0</v>
      </c>
      <c r="G664" s="3" cm="1">
        <f t="array" ref="G664">SUMPRODUCT((tbl_raw[Product_Name]=A664)*(tbl_raw[MRP]-tbl_raw[Selling_Price])*tbl_raw[Units_Sold])</f>
        <v>2070</v>
      </c>
      <c r="H664" s="83">
        <f>AVERAGEIFS(tbl_raw[Discount_Pct],tbl_raw[Product_Name],A664)</f>
        <v>0.34</v>
      </c>
    </row>
    <row r="665" spans="1:8" hidden="1" x14ac:dyDescent="0.25">
      <c r="A665" s="2" t="str">
        <v>Atta - Model 133</v>
      </c>
      <c r="B665" s="2" t="str">
        <f>_xlfn.XLOOKUP(A665,tbl_raw[Product_Name],tbl_raw[Category])</f>
        <v>Grocery</v>
      </c>
      <c r="C665" s="2">
        <f>COUNTIF(tbl_raw[Product_Name],A665)</f>
        <v>1</v>
      </c>
      <c r="D665" s="2">
        <f>SUMIFS(tbl_raw[Units_Sold],tbl_raw[Product_Name],A665)</f>
        <v>18</v>
      </c>
      <c r="E665" s="3">
        <f>SUMIFS(tbl_raw[Net_Profit],tbl_raw[Product_Name],A665)</f>
        <v>-6732</v>
      </c>
      <c r="F665" s="2">
        <f>SUMIFS(tbl_raw[Return_Flag],tbl_raw[Product_Name],A665)</f>
        <v>0</v>
      </c>
      <c r="G665" s="3" cm="1">
        <f t="array" ref="G665">SUMPRODUCT((tbl_raw[Product_Name]=A665)*(tbl_raw[MRP]-tbl_raw[Selling_Price])*tbl_raw[Units_Sold])</f>
        <v>33660</v>
      </c>
      <c r="H665" s="83">
        <f>AVERAGEIFS(tbl_raw[Discount_Pct],tbl_raw[Product_Name],A665)</f>
        <v>0.35</v>
      </c>
    </row>
    <row r="666" spans="1:8" hidden="1" x14ac:dyDescent="0.25">
      <c r="A666" s="2" t="str">
        <v>Jacket - Model 791</v>
      </c>
      <c r="B666" s="2" t="str">
        <f>_xlfn.XLOOKUP(A666,tbl_raw[Product_Name],tbl_raw[Category])</f>
        <v>Fashion</v>
      </c>
      <c r="C666" s="2">
        <f>COUNTIF(tbl_raw[Product_Name],A666)</f>
        <v>1</v>
      </c>
      <c r="D666" s="2">
        <f>SUMIFS(tbl_raw[Units_Sold],tbl_raw[Product_Name],A666)</f>
        <v>18</v>
      </c>
      <c r="E666" s="3">
        <f>SUMIFS(tbl_raw[Net_Profit],tbl_raw[Product_Name],A666)</f>
        <v>14472</v>
      </c>
      <c r="F666" s="2">
        <f>SUMIFS(tbl_raw[Return_Flag],tbl_raw[Product_Name],A666)</f>
        <v>0</v>
      </c>
      <c r="G666" s="3" cm="1">
        <f t="array" ref="G666">SUMPRODUCT((tbl_raw[Product_Name]=A666)*(tbl_raw[MRP]-tbl_raw[Selling_Price])*tbl_raw[Units_Sold])</f>
        <v>25956</v>
      </c>
      <c r="H666" s="83">
        <f>AVERAGEIFS(tbl_raw[Discount_Pct],tbl_raw[Product_Name],A666)</f>
        <v>0.26</v>
      </c>
    </row>
    <row r="667" spans="1:8" hidden="1" x14ac:dyDescent="0.25">
      <c r="A667" s="2" t="str">
        <v>Textbook - Model 428</v>
      </c>
      <c r="B667" s="2" t="str">
        <f>_xlfn.XLOOKUP(A667,tbl_raw[Product_Name],tbl_raw[Category])</f>
        <v>Books</v>
      </c>
      <c r="C667" s="2">
        <f>COUNTIF(tbl_raw[Product_Name],A667)</f>
        <v>1</v>
      </c>
      <c r="D667" s="2">
        <f>SUMIFS(tbl_raw[Units_Sold],tbl_raw[Product_Name],A667)</f>
        <v>1</v>
      </c>
      <c r="E667" s="3">
        <f>SUMIFS(tbl_raw[Net_Profit],tbl_raw[Product_Name],A667)</f>
        <v>1828</v>
      </c>
      <c r="F667" s="2">
        <f>SUMIFS(tbl_raw[Return_Flag],tbl_raw[Product_Name],A667)</f>
        <v>0</v>
      </c>
      <c r="G667" s="3" cm="1">
        <f t="array" ref="G667">SUMPRODUCT((tbl_raw[Product_Name]=A667)*(tbl_raw[MRP]-tbl_raw[Selling_Price])*tbl_raw[Units_Sold])</f>
        <v>288</v>
      </c>
      <c r="H667" s="83">
        <f>AVERAGEIFS(tbl_raw[Discount_Pct],tbl_raw[Product_Name],A667)</f>
        <v>0.06</v>
      </c>
    </row>
    <row r="668" spans="1:8" hidden="1" x14ac:dyDescent="0.25">
      <c r="A668" s="2" t="str">
        <v>Shoes - Model 453</v>
      </c>
      <c r="B668" s="2" t="str">
        <f>_xlfn.XLOOKUP(A668,tbl_raw[Product_Name],tbl_raw[Category])</f>
        <v>Fashion</v>
      </c>
      <c r="C668" s="2">
        <f>COUNTIF(tbl_raw[Product_Name],A668)</f>
        <v>1</v>
      </c>
      <c r="D668" s="2">
        <f>SUMIFS(tbl_raw[Units_Sold],tbl_raw[Product_Name],A668)</f>
        <v>14</v>
      </c>
      <c r="E668" s="3">
        <f>SUMIFS(tbl_raw[Net_Profit],tbl_raw[Product_Name],A668)</f>
        <v>7000</v>
      </c>
      <c r="F668" s="2">
        <f>SUMIFS(tbl_raw[Return_Flag],tbl_raw[Product_Name],A668)</f>
        <v>0</v>
      </c>
      <c r="G668" s="3" cm="1">
        <f t="array" ref="G668">SUMPRODUCT((tbl_raw[Product_Name]=A668)*(tbl_raw[MRP]-tbl_raw[Selling_Price])*tbl_raw[Units_Sold])</f>
        <v>12348</v>
      </c>
      <c r="H668" s="83">
        <f>AVERAGEIFS(tbl_raw[Discount_Pct],tbl_raw[Product_Name],A668)</f>
        <v>0.3</v>
      </c>
    </row>
    <row r="669" spans="1:8" hidden="1" x14ac:dyDescent="0.25">
      <c r="A669" s="2" t="str">
        <v>Self-Help - Model 120</v>
      </c>
      <c r="B669" s="2" t="str">
        <f>_xlfn.XLOOKUP(A669,tbl_raw[Product_Name],tbl_raw[Category])</f>
        <v>Books</v>
      </c>
      <c r="C669" s="2">
        <f>COUNTIF(tbl_raw[Product_Name],A669)</f>
        <v>1</v>
      </c>
      <c r="D669" s="2">
        <f>SUMIFS(tbl_raw[Units_Sold],tbl_raw[Product_Name],A669)</f>
        <v>11</v>
      </c>
      <c r="E669" s="3">
        <f>SUMIFS(tbl_raw[Net_Profit],tbl_raw[Product_Name],A669)</f>
        <v>-363</v>
      </c>
      <c r="F669" s="2">
        <f>SUMIFS(tbl_raw[Return_Flag],tbl_raw[Product_Name],A669)</f>
        <v>0</v>
      </c>
      <c r="G669" s="3" cm="1">
        <f t="array" ref="G669">SUMPRODUCT((tbl_raw[Product_Name]=A669)*(tbl_raw[MRP]-tbl_raw[Selling_Price])*tbl_raw[Units_Sold])</f>
        <v>1628</v>
      </c>
      <c r="H669" s="83">
        <f>AVERAGEIFS(tbl_raw[Discount_Pct],tbl_raw[Product_Name],A669)</f>
        <v>0.3</v>
      </c>
    </row>
    <row r="670" spans="1:8" hidden="1" x14ac:dyDescent="0.25">
      <c r="A670" s="2" t="str">
        <v>Children - Model 684</v>
      </c>
      <c r="B670" s="2" t="str">
        <f>_xlfn.XLOOKUP(A670,tbl_raw[Product_Name],tbl_raw[Category])</f>
        <v>Books</v>
      </c>
      <c r="C670" s="2">
        <f>COUNTIF(tbl_raw[Product_Name],A670)</f>
        <v>1</v>
      </c>
      <c r="D670" s="2">
        <f>SUMIFS(tbl_raw[Units_Sold],tbl_raw[Product_Name],A670)</f>
        <v>11</v>
      </c>
      <c r="E670" s="3">
        <f>SUMIFS(tbl_raw[Net_Profit],tbl_raw[Product_Name],A670)</f>
        <v>9075</v>
      </c>
      <c r="F670" s="2">
        <f>SUMIFS(tbl_raw[Return_Flag],tbl_raw[Product_Name],A670)</f>
        <v>1</v>
      </c>
      <c r="G670" s="3" cm="1">
        <f t="array" ref="G670">SUMPRODUCT((tbl_raw[Product_Name]=A670)*(tbl_raw[MRP]-tbl_raw[Selling_Price])*tbl_raw[Units_Sold])</f>
        <v>18480</v>
      </c>
      <c r="H670" s="83">
        <f>AVERAGEIFS(tbl_raw[Discount_Pct],tbl_raw[Product_Name],A670)</f>
        <v>0.36</v>
      </c>
    </row>
    <row r="671" spans="1:8" hidden="1" x14ac:dyDescent="0.25">
      <c r="A671" s="2" t="str">
        <v>Lamp - Model 406</v>
      </c>
      <c r="B671" s="2" t="str">
        <f>_xlfn.XLOOKUP(A671,tbl_raw[Product_Name],tbl_raw[Category])</f>
        <v>Home &amp; Kitchen</v>
      </c>
      <c r="C671" s="2">
        <f>COUNTIF(tbl_raw[Product_Name],A671)</f>
        <v>1</v>
      </c>
      <c r="D671" s="2">
        <f>SUMIFS(tbl_raw[Units_Sold],tbl_raw[Product_Name],A671)</f>
        <v>14</v>
      </c>
      <c r="E671" s="3">
        <f>SUMIFS(tbl_raw[Net_Profit],tbl_raw[Product_Name],A671)</f>
        <v>-1330</v>
      </c>
      <c r="F671" s="2">
        <f>SUMIFS(tbl_raw[Return_Flag],tbl_raw[Product_Name],A671)</f>
        <v>0</v>
      </c>
      <c r="G671" s="3" cm="1">
        <f t="array" ref="G671">SUMPRODUCT((tbl_raw[Product_Name]=A671)*(tbl_raw[MRP]-tbl_raw[Selling_Price])*tbl_raw[Units_Sold])</f>
        <v>7196</v>
      </c>
      <c r="H671" s="83">
        <f>AVERAGEIFS(tbl_raw[Discount_Pct],tbl_raw[Product_Name],A671)</f>
        <v>0.28999999999999998</v>
      </c>
    </row>
    <row r="672" spans="1:8" hidden="1" x14ac:dyDescent="0.25">
      <c r="A672" s="2" t="str">
        <v>Board Game - Model 739</v>
      </c>
      <c r="B672" s="2" t="str">
        <f>_xlfn.XLOOKUP(A672,tbl_raw[Product_Name],tbl_raw[Category])</f>
        <v>Toys</v>
      </c>
      <c r="C672" s="2">
        <f>COUNTIF(tbl_raw[Product_Name],A672)</f>
        <v>1</v>
      </c>
      <c r="D672" s="2">
        <f>SUMIFS(tbl_raw[Units_Sold],tbl_raw[Product_Name],A672)</f>
        <v>19</v>
      </c>
      <c r="E672" s="3">
        <f>SUMIFS(tbl_raw[Net_Profit],tbl_raw[Product_Name],A672)</f>
        <v>4750</v>
      </c>
      <c r="F672" s="2">
        <f>SUMIFS(tbl_raw[Return_Flag],tbl_raw[Product_Name],A672)</f>
        <v>0</v>
      </c>
      <c r="G672" s="3" cm="1">
        <f t="array" ref="G672">SUMPRODUCT((tbl_raw[Product_Name]=A672)*(tbl_raw[MRP]-tbl_raw[Selling_Price])*tbl_raw[Units_Sold])</f>
        <v>2679</v>
      </c>
      <c r="H672" s="83">
        <f>AVERAGEIFS(tbl_raw[Discount_Pct],tbl_raw[Product_Name],A672)</f>
        <v>0.15</v>
      </c>
    </row>
    <row r="673" spans="1:8" hidden="1" x14ac:dyDescent="0.25">
      <c r="A673" s="2" t="str">
        <v>Cycle - Model 923</v>
      </c>
      <c r="B673" s="2" t="str">
        <f>_xlfn.XLOOKUP(A673,tbl_raw[Product_Name],tbl_raw[Category])</f>
        <v>Sports</v>
      </c>
      <c r="C673" s="2">
        <f>COUNTIF(tbl_raw[Product_Name],A673)</f>
        <v>1</v>
      </c>
      <c r="D673" s="2">
        <f>SUMIFS(tbl_raw[Units_Sold],tbl_raw[Product_Name],A673)</f>
        <v>14</v>
      </c>
      <c r="E673" s="3">
        <f>SUMIFS(tbl_raw[Net_Profit],tbl_raw[Product_Name],A673)</f>
        <v>22750</v>
      </c>
      <c r="F673" s="2">
        <f>SUMIFS(tbl_raw[Return_Flag],tbl_raw[Product_Name],A673)</f>
        <v>1</v>
      </c>
      <c r="G673" s="3" cm="1">
        <f t="array" ref="G673">SUMPRODUCT((tbl_raw[Product_Name]=A673)*(tbl_raw[MRP]-tbl_raw[Selling_Price])*tbl_raw[Units_Sold])</f>
        <v>10542</v>
      </c>
      <c r="H673" s="83">
        <f>AVERAGEIFS(tbl_raw[Discount_Pct],tbl_raw[Product_Name],A673)</f>
        <v>0.14000000000000001</v>
      </c>
    </row>
    <row r="674" spans="1:8" hidden="1" x14ac:dyDescent="0.25">
      <c r="A674" s="2" t="str">
        <v>Lamp - Model 611</v>
      </c>
      <c r="B674" s="2" t="str">
        <f>_xlfn.XLOOKUP(A674,tbl_raw[Product_Name],tbl_raw[Category])</f>
        <v>Home &amp; Kitchen</v>
      </c>
      <c r="C674" s="2">
        <f>COUNTIF(tbl_raw[Product_Name],A674)</f>
        <v>1</v>
      </c>
      <c r="D674" s="2">
        <f>SUMIFS(tbl_raw[Units_Sold],tbl_raw[Product_Name],A674)</f>
        <v>15</v>
      </c>
      <c r="E674" s="3">
        <f>SUMIFS(tbl_raw[Net_Profit],tbl_raw[Product_Name],A674)</f>
        <v>-1440</v>
      </c>
      <c r="F674" s="2">
        <f>SUMIFS(tbl_raw[Return_Flag],tbl_raw[Product_Name],A674)</f>
        <v>0</v>
      </c>
      <c r="G674" s="3" cm="1">
        <f t="array" ref="G674">SUMPRODUCT((tbl_raw[Product_Name]=A674)*(tbl_raw[MRP]-tbl_raw[Selling_Price])*tbl_raw[Units_Sold])</f>
        <v>9960</v>
      </c>
      <c r="H674" s="83">
        <f>AVERAGEIFS(tbl_raw[Discount_Pct],tbl_raw[Product_Name],A674)</f>
        <v>0.28999999999999998</v>
      </c>
    </row>
    <row r="675" spans="1:8" hidden="1" x14ac:dyDescent="0.25">
      <c r="A675" s="2" t="str">
        <v>Lipstick - Model 573</v>
      </c>
      <c r="B675" s="2" t="str">
        <f>_xlfn.XLOOKUP(A675,tbl_raw[Product_Name],tbl_raw[Category])</f>
        <v>Beauty</v>
      </c>
      <c r="C675" s="2">
        <f>COUNTIF(tbl_raw[Product_Name],A675)</f>
        <v>1</v>
      </c>
      <c r="D675" s="2">
        <f>SUMIFS(tbl_raw[Units_Sold],tbl_raw[Product_Name],A675)</f>
        <v>8</v>
      </c>
      <c r="E675" s="3">
        <f>SUMIFS(tbl_raw[Net_Profit],tbl_raw[Product_Name],A675)</f>
        <v>1272</v>
      </c>
      <c r="F675" s="2">
        <f>SUMIFS(tbl_raw[Return_Flag],tbl_raw[Product_Name],A675)</f>
        <v>0</v>
      </c>
      <c r="G675" s="3" cm="1">
        <f t="array" ref="G675">SUMPRODUCT((tbl_raw[Product_Name]=A675)*(tbl_raw[MRP]-tbl_raw[Selling_Price])*tbl_raw[Units_Sold])</f>
        <v>3408</v>
      </c>
      <c r="H675" s="83">
        <f>AVERAGEIFS(tbl_raw[Discount_Pct],tbl_raw[Product_Name],A675)</f>
        <v>0.31</v>
      </c>
    </row>
    <row r="676" spans="1:8" hidden="1" x14ac:dyDescent="0.25">
      <c r="A676" s="2" t="str">
        <v>Puzzle - Model 943</v>
      </c>
      <c r="B676" s="2" t="str">
        <f>_xlfn.XLOOKUP(A676,tbl_raw[Product_Name],tbl_raw[Category])</f>
        <v>Toys</v>
      </c>
      <c r="C676" s="2">
        <f>COUNTIF(tbl_raw[Product_Name],A676)</f>
        <v>1</v>
      </c>
      <c r="D676" s="2">
        <f>SUMIFS(tbl_raw[Units_Sold],tbl_raw[Product_Name],A676)</f>
        <v>6</v>
      </c>
      <c r="E676" s="3">
        <f>SUMIFS(tbl_raw[Net_Profit],tbl_raw[Product_Name],A676)</f>
        <v>2196</v>
      </c>
      <c r="F676" s="2">
        <f>SUMIFS(tbl_raw[Return_Flag],tbl_raw[Product_Name],A676)</f>
        <v>0</v>
      </c>
      <c r="G676" s="3" cm="1">
        <f t="array" ref="G676">SUMPRODUCT((tbl_raw[Product_Name]=A676)*(tbl_raw[MRP]-tbl_raw[Selling_Price])*tbl_raw[Units_Sold])</f>
        <v>3564</v>
      </c>
      <c r="H676" s="83">
        <f>AVERAGEIFS(tbl_raw[Discount_Pct],tbl_raw[Product_Name],A676)</f>
        <v>0.27</v>
      </c>
    </row>
    <row r="677" spans="1:8" hidden="1" x14ac:dyDescent="0.25">
      <c r="A677" s="2" t="str">
        <v>Spices - Model 546</v>
      </c>
      <c r="B677" s="2" t="str">
        <f>_xlfn.XLOOKUP(A677,tbl_raw[Product_Name],tbl_raw[Category])</f>
        <v>Grocery</v>
      </c>
      <c r="C677" s="2">
        <f>COUNTIF(tbl_raw[Product_Name],A677)</f>
        <v>1</v>
      </c>
      <c r="D677" s="2">
        <f>SUMIFS(tbl_raw[Units_Sold],tbl_raw[Product_Name],A677)</f>
        <v>2</v>
      </c>
      <c r="E677" s="3">
        <f>SUMIFS(tbl_raw[Net_Profit],tbl_raw[Product_Name],A677)</f>
        <v>1372</v>
      </c>
      <c r="F677" s="2">
        <f>SUMIFS(tbl_raw[Return_Flag],tbl_raw[Product_Name],A677)</f>
        <v>0</v>
      </c>
      <c r="G677" s="3" cm="1">
        <f t="array" ref="G677">SUMPRODUCT((tbl_raw[Product_Name]=A677)*(tbl_raw[MRP]-tbl_raw[Selling_Price])*tbl_raw[Units_Sold])</f>
        <v>426</v>
      </c>
      <c r="H677" s="83">
        <f>AVERAGEIFS(tbl_raw[Discount_Pct],tbl_raw[Product_Name],A677)</f>
        <v>0.12</v>
      </c>
    </row>
    <row r="678" spans="1:8" hidden="1" x14ac:dyDescent="0.25">
      <c r="A678" s="2" t="str">
        <v>Atta - Model 156</v>
      </c>
      <c r="B678" s="2" t="str">
        <f>_xlfn.XLOOKUP(A678,tbl_raw[Product_Name],tbl_raw[Category])</f>
        <v>Grocery</v>
      </c>
      <c r="C678" s="2">
        <f>COUNTIF(tbl_raw[Product_Name],A678)</f>
        <v>1</v>
      </c>
      <c r="D678" s="2">
        <f>SUMIFS(tbl_raw[Units_Sold],tbl_raw[Product_Name],A678)</f>
        <v>11</v>
      </c>
      <c r="E678" s="3">
        <f>SUMIFS(tbl_raw[Net_Profit],tbl_raw[Product_Name],A678)</f>
        <v>-6666</v>
      </c>
      <c r="F678" s="2">
        <f>SUMIFS(tbl_raw[Return_Flag],tbl_raw[Product_Name],A678)</f>
        <v>0</v>
      </c>
      <c r="G678" s="3" cm="1">
        <f t="array" ref="G678">SUMPRODUCT((tbl_raw[Product_Name]=A678)*(tbl_raw[MRP]-tbl_raw[Selling_Price])*tbl_raw[Units_Sold])</f>
        <v>20988</v>
      </c>
      <c r="H678" s="83">
        <f>AVERAGEIFS(tbl_raw[Discount_Pct],tbl_raw[Product_Name],A678)</f>
        <v>0.39</v>
      </c>
    </row>
    <row r="679" spans="1:8" hidden="1" x14ac:dyDescent="0.25">
      <c r="A679" s="2" t="str">
        <v>Pressure Cooker - Model 214</v>
      </c>
      <c r="B679" s="2" t="str">
        <f>_xlfn.XLOOKUP(A679,tbl_raw[Product_Name],tbl_raw[Category])</f>
        <v>Home &amp; Kitchen</v>
      </c>
      <c r="C679" s="2">
        <f>COUNTIF(tbl_raw[Product_Name],A679)</f>
        <v>1</v>
      </c>
      <c r="D679" s="2">
        <f>SUMIFS(tbl_raw[Units_Sold],tbl_raw[Product_Name],A679)</f>
        <v>17</v>
      </c>
      <c r="E679" s="3">
        <f>SUMIFS(tbl_raw[Net_Profit],tbl_raw[Product_Name],A679)</f>
        <v>7225</v>
      </c>
      <c r="F679" s="2">
        <f>SUMIFS(tbl_raw[Return_Flag],tbl_raw[Product_Name],A679)</f>
        <v>0</v>
      </c>
      <c r="G679" s="3" cm="1">
        <f t="array" ref="G679">SUMPRODUCT((tbl_raw[Product_Name]=A679)*(tbl_raw[MRP]-tbl_raw[Selling_Price])*tbl_raw[Units_Sold])</f>
        <v>29240</v>
      </c>
      <c r="H679" s="83">
        <f>AVERAGEIFS(tbl_raw[Discount_Pct],tbl_raw[Product_Name],A679)</f>
        <v>0.23</v>
      </c>
    </row>
    <row r="680" spans="1:8" hidden="1" x14ac:dyDescent="0.25">
      <c r="A680" s="2" t="str">
        <v>Saree - Model 437</v>
      </c>
      <c r="B680" s="2" t="str">
        <f>_xlfn.XLOOKUP(A680,tbl_raw[Product_Name],tbl_raw[Category])</f>
        <v>Fashion</v>
      </c>
      <c r="C680" s="2">
        <f>COUNTIF(tbl_raw[Product_Name],A680)</f>
        <v>1</v>
      </c>
      <c r="D680" s="2">
        <f>SUMIFS(tbl_raw[Units_Sold],tbl_raw[Product_Name],A680)</f>
        <v>13</v>
      </c>
      <c r="E680" s="3">
        <f>SUMIFS(tbl_raw[Net_Profit],tbl_raw[Product_Name],A680)</f>
        <v>-5655</v>
      </c>
      <c r="F680" s="2">
        <f>SUMIFS(tbl_raw[Return_Flag],tbl_raw[Product_Name],A680)</f>
        <v>0</v>
      </c>
      <c r="G680" s="3" cm="1">
        <f t="array" ref="G680">SUMPRODUCT((tbl_raw[Product_Name]=A680)*(tbl_raw[MRP]-tbl_raw[Selling_Price])*tbl_raw[Units_Sold])</f>
        <v>27820</v>
      </c>
      <c r="H680" s="83">
        <f>AVERAGEIFS(tbl_raw[Discount_Pct],tbl_raw[Product_Name],A680)</f>
        <v>0.33</v>
      </c>
    </row>
    <row r="681" spans="1:8" hidden="1" x14ac:dyDescent="0.25">
      <c r="A681" s="2" t="str">
        <v>Cycle - Model 157</v>
      </c>
      <c r="B681" s="2" t="str">
        <f>_xlfn.XLOOKUP(A681,tbl_raw[Product_Name],tbl_raw[Category])</f>
        <v>Sports</v>
      </c>
      <c r="C681" s="2">
        <f>COUNTIF(tbl_raw[Product_Name],A681)</f>
        <v>1</v>
      </c>
      <c r="D681" s="2">
        <f>SUMIFS(tbl_raw[Units_Sold],tbl_raw[Product_Name],A681)</f>
        <v>18</v>
      </c>
      <c r="E681" s="3">
        <f>SUMIFS(tbl_raw[Net_Profit],tbl_raw[Product_Name],A681)</f>
        <v>1638</v>
      </c>
      <c r="F681" s="2">
        <f>SUMIFS(tbl_raw[Return_Flag],tbl_raw[Product_Name],A681)</f>
        <v>0</v>
      </c>
      <c r="G681" s="3" cm="1">
        <f t="array" ref="G681">SUMPRODUCT((tbl_raw[Product_Name]=A681)*(tbl_raw[MRP]-tbl_raw[Selling_Price])*tbl_raw[Units_Sold])</f>
        <v>24174</v>
      </c>
      <c r="H681" s="83">
        <f>AVERAGEIFS(tbl_raw[Discount_Pct],tbl_raw[Product_Name],A681)</f>
        <v>0.43</v>
      </c>
    </row>
    <row r="682" spans="1:8" hidden="1" x14ac:dyDescent="0.25">
      <c r="A682" s="2" t="str">
        <v>Rice - Model 941</v>
      </c>
      <c r="B682" s="2" t="str">
        <f>_xlfn.XLOOKUP(A682,tbl_raw[Product_Name],tbl_raw[Category])</f>
        <v>Grocery</v>
      </c>
      <c r="C682" s="2">
        <f>COUNTIF(tbl_raw[Product_Name],A682)</f>
        <v>2</v>
      </c>
      <c r="D682" s="2">
        <f>SUMIFS(tbl_raw[Units_Sold],tbl_raw[Product_Name],A682)</f>
        <v>19</v>
      </c>
      <c r="E682" s="3">
        <f>SUMIFS(tbl_raw[Net_Profit],tbl_raw[Product_Name],A682)</f>
        <v>38104</v>
      </c>
      <c r="F682" s="2">
        <f>SUMIFS(tbl_raw[Return_Flag],tbl_raw[Product_Name],A682)</f>
        <v>1</v>
      </c>
      <c r="G682" s="3" cm="1">
        <f t="array" ref="G682">SUMPRODUCT((tbl_raw[Product_Name]=A682)*(tbl_raw[MRP]-tbl_raw[Selling_Price])*tbl_raw[Units_Sold])</f>
        <v>23728</v>
      </c>
      <c r="H682" s="83">
        <f>AVERAGEIFS(tbl_raw[Discount_Pct],tbl_raw[Product_Name],A682)</f>
        <v>0.30499999999999999</v>
      </c>
    </row>
    <row r="683" spans="1:8" hidden="1" x14ac:dyDescent="0.25">
      <c r="A683" s="2" t="str">
        <v>Puzzle - Model 754</v>
      </c>
      <c r="B683" s="2" t="str">
        <f>_xlfn.XLOOKUP(A683,tbl_raw[Product_Name],tbl_raw[Category])</f>
        <v>Toys</v>
      </c>
      <c r="C683" s="2">
        <f>COUNTIF(tbl_raw[Product_Name],A683)</f>
        <v>1</v>
      </c>
      <c r="D683" s="2">
        <f>SUMIFS(tbl_raw[Units_Sold],tbl_raw[Product_Name],A683)</f>
        <v>4</v>
      </c>
      <c r="E683" s="3">
        <f>SUMIFS(tbl_raw[Net_Profit],tbl_raw[Product_Name],A683)</f>
        <v>5736</v>
      </c>
      <c r="F683" s="2">
        <f>SUMIFS(tbl_raw[Return_Flag],tbl_raw[Product_Name],A683)</f>
        <v>0</v>
      </c>
      <c r="G683" s="3" cm="1">
        <f t="array" ref="G683">SUMPRODUCT((tbl_raw[Product_Name]=A683)*(tbl_raw[MRP]-tbl_raw[Selling_Price])*tbl_raw[Units_Sold])</f>
        <v>1924</v>
      </c>
      <c r="H683" s="83">
        <f>AVERAGEIFS(tbl_raw[Discount_Pct],tbl_raw[Product_Name],A683)</f>
        <v>0.11</v>
      </c>
    </row>
    <row r="684" spans="1:8" hidden="1" x14ac:dyDescent="0.25">
      <c r="A684" s="2" t="str">
        <v>Lipstick - Model 315</v>
      </c>
      <c r="B684" s="2" t="str">
        <f>_xlfn.XLOOKUP(A684,tbl_raw[Product_Name],tbl_raw[Category])</f>
        <v>Beauty</v>
      </c>
      <c r="C684" s="2">
        <f>COUNTIF(tbl_raw[Product_Name],A684)</f>
        <v>1</v>
      </c>
      <c r="D684" s="2">
        <f>SUMIFS(tbl_raw[Units_Sold],tbl_raw[Product_Name],A684)</f>
        <v>15</v>
      </c>
      <c r="E684" s="3">
        <f>SUMIFS(tbl_raw[Net_Profit],tbl_raw[Product_Name],A684)</f>
        <v>-6615</v>
      </c>
      <c r="F684" s="2">
        <f>SUMIFS(tbl_raw[Return_Flag],tbl_raw[Product_Name],A684)</f>
        <v>0</v>
      </c>
      <c r="G684" s="3" cm="1">
        <f t="array" ref="G684">SUMPRODUCT((tbl_raw[Product_Name]=A684)*(tbl_raw[MRP]-tbl_raw[Selling_Price])*tbl_raw[Units_Sold])</f>
        <v>30750</v>
      </c>
      <c r="H684" s="83">
        <f>AVERAGEIFS(tbl_raw[Discount_Pct],tbl_raw[Product_Name],A684)</f>
        <v>0.4</v>
      </c>
    </row>
    <row r="685" spans="1:8" hidden="1" x14ac:dyDescent="0.25">
      <c r="A685" s="2" t="str">
        <v>Puzzle - Model 834</v>
      </c>
      <c r="B685" s="2" t="str">
        <f>_xlfn.XLOOKUP(A685,tbl_raw[Product_Name],tbl_raw[Category])</f>
        <v>Toys</v>
      </c>
      <c r="C685" s="2">
        <f>COUNTIF(tbl_raw[Product_Name],A685)</f>
        <v>1</v>
      </c>
      <c r="D685" s="2">
        <f>SUMIFS(tbl_raw[Units_Sold],tbl_raw[Product_Name],A685)</f>
        <v>4</v>
      </c>
      <c r="E685" s="3">
        <f>SUMIFS(tbl_raw[Net_Profit],tbl_raw[Product_Name],A685)</f>
        <v>2660</v>
      </c>
      <c r="F685" s="2">
        <f>SUMIFS(tbl_raw[Return_Flag],tbl_raw[Product_Name],A685)</f>
        <v>0</v>
      </c>
      <c r="G685" s="3" cm="1">
        <f t="array" ref="G685">SUMPRODUCT((tbl_raw[Product_Name]=A685)*(tbl_raw[MRP]-tbl_raw[Selling_Price])*tbl_raw[Units_Sold])</f>
        <v>8220</v>
      </c>
      <c r="H685" s="83">
        <f>AVERAGEIFS(tbl_raw[Discount_Pct],tbl_raw[Product_Name],A685)</f>
        <v>0.31</v>
      </c>
    </row>
    <row r="686" spans="1:8" hidden="1" x14ac:dyDescent="0.25">
      <c r="A686" s="2" t="str">
        <v>Mobile - Model 756</v>
      </c>
      <c r="B686" s="2" t="str">
        <f>_xlfn.XLOOKUP(A686,tbl_raw[Product_Name],tbl_raw[Category])</f>
        <v>Electronics</v>
      </c>
      <c r="C686" s="2">
        <f>COUNTIF(tbl_raw[Product_Name],A686)</f>
        <v>1</v>
      </c>
      <c r="D686" s="2">
        <f>SUMIFS(tbl_raw[Units_Sold],tbl_raw[Product_Name],A686)</f>
        <v>15</v>
      </c>
      <c r="E686" s="3">
        <f>SUMIFS(tbl_raw[Net_Profit],tbl_raw[Product_Name],A686)</f>
        <v>36345</v>
      </c>
      <c r="F686" s="2">
        <f>SUMIFS(tbl_raw[Return_Flag],tbl_raw[Product_Name],A686)</f>
        <v>0</v>
      </c>
      <c r="G686" s="3" cm="1">
        <f t="array" ref="G686">SUMPRODUCT((tbl_raw[Product_Name]=A686)*(tbl_raw[MRP]-tbl_raw[Selling_Price])*tbl_raw[Units_Sold])</f>
        <v>5730</v>
      </c>
      <c r="H686" s="83">
        <f>AVERAGEIFS(tbl_raw[Discount_Pct],tbl_raw[Product_Name],A686)</f>
        <v>0.06</v>
      </c>
    </row>
    <row r="687" spans="1:8" hidden="1" x14ac:dyDescent="0.25">
      <c r="A687" s="2" t="str">
        <v>Puzzle - Model 286</v>
      </c>
      <c r="B687" s="2" t="str">
        <f>_xlfn.XLOOKUP(A687,tbl_raw[Product_Name],tbl_raw[Category])</f>
        <v>Toys</v>
      </c>
      <c r="C687" s="2">
        <f>COUNTIF(tbl_raw[Product_Name],A687)</f>
        <v>1</v>
      </c>
      <c r="D687" s="2">
        <f>SUMIFS(tbl_raw[Units_Sold],tbl_raw[Product_Name],A687)</f>
        <v>13</v>
      </c>
      <c r="E687" s="3">
        <f>SUMIFS(tbl_raw[Net_Profit],tbl_raw[Product_Name],A687)</f>
        <v>9711</v>
      </c>
      <c r="F687" s="2">
        <f>SUMIFS(tbl_raw[Return_Flag],tbl_raw[Product_Name],A687)</f>
        <v>0</v>
      </c>
      <c r="G687" s="3" cm="1">
        <f t="array" ref="G687">SUMPRODUCT((tbl_raw[Product_Name]=A687)*(tbl_raw[MRP]-tbl_raw[Selling_Price])*tbl_raw[Units_Sold])</f>
        <v>39364</v>
      </c>
      <c r="H687" s="83">
        <f>AVERAGEIFS(tbl_raw[Discount_Pct],tbl_raw[Product_Name],A687)</f>
        <v>0.4</v>
      </c>
    </row>
    <row r="688" spans="1:8" hidden="1" x14ac:dyDescent="0.25">
      <c r="A688" s="2" t="str">
        <v>Lipstick - Model 818</v>
      </c>
      <c r="B688" s="2" t="str">
        <f>_xlfn.XLOOKUP(A688,tbl_raw[Product_Name],tbl_raw[Category])</f>
        <v>Beauty</v>
      </c>
      <c r="C688" s="2">
        <f>COUNTIF(tbl_raw[Product_Name],A688)</f>
        <v>1</v>
      </c>
      <c r="D688" s="2">
        <f>SUMIFS(tbl_raw[Units_Sold],tbl_raw[Product_Name],A688)</f>
        <v>2</v>
      </c>
      <c r="E688" s="3">
        <f>SUMIFS(tbl_raw[Net_Profit],tbl_raw[Product_Name],A688)</f>
        <v>2038</v>
      </c>
      <c r="F688" s="2">
        <f>SUMIFS(tbl_raw[Return_Flag],tbl_raw[Product_Name],A688)</f>
        <v>0</v>
      </c>
      <c r="G688" s="3" cm="1">
        <f t="array" ref="G688">SUMPRODUCT((tbl_raw[Product_Name]=A688)*(tbl_raw[MRP]-tbl_raw[Selling_Price])*tbl_raw[Units_Sold])</f>
        <v>1264</v>
      </c>
      <c r="H688" s="83">
        <f>AVERAGEIFS(tbl_raw[Discount_Pct],tbl_raw[Product_Name],A688)</f>
        <v>0.19</v>
      </c>
    </row>
    <row r="689" spans="1:8" hidden="1" x14ac:dyDescent="0.25">
      <c r="A689" s="2" t="str">
        <v>Remote Car - Model 947</v>
      </c>
      <c r="B689" s="2" t="str">
        <f>_xlfn.XLOOKUP(A689,tbl_raw[Product_Name],tbl_raw[Category])</f>
        <v>Toys</v>
      </c>
      <c r="C689" s="2">
        <f>COUNTIF(tbl_raw[Product_Name],A689)</f>
        <v>1</v>
      </c>
      <c r="D689" s="2">
        <f>SUMIFS(tbl_raw[Units_Sold],tbl_raw[Product_Name],A689)</f>
        <v>4</v>
      </c>
      <c r="E689" s="3">
        <f>SUMIFS(tbl_raw[Net_Profit],tbl_raw[Product_Name],A689)</f>
        <v>788</v>
      </c>
      <c r="F689" s="2">
        <f>SUMIFS(tbl_raw[Return_Flag],tbl_raw[Product_Name],A689)</f>
        <v>0</v>
      </c>
      <c r="G689" s="3" cm="1">
        <f t="array" ref="G689">SUMPRODUCT((tbl_raw[Product_Name]=A689)*(tbl_raw[MRP]-tbl_raw[Selling_Price])*tbl_raw[Units_Sold])</f>
        <v>704</v>
      </c>
      <c r="H689" s="83">
        <f>AVERAGEIFS(tbl_raw[Discount_Pct],tbl_raw[Product_Name],A689)</f>
        <v>0.09</v>
      </c>
    </row>
    <row r="690" spans="1:8" hidden="1" x14ac:dyDescent="0.25">
      <c r="A690" s="2" t="str">
        <v>Sunscreen - Model 320</v>
      </c>
      <c r="B690" s="2" t="str">
        <f>_xlfn.XLOOKUP(A690,tbl_raw[Product_Name],tbl_raw[Category])</f>
        <v>Beauty</v>
      </c>
      <c r="C690" s="2">
        <f>COUNTIF(tbl_raw[Product_Name],A690)</f>
        <v>1</v>
      </c>
      <c r="D690" s="2">
        <f>SUMIFS(tbl_raw[Units_Sold],tbl_raw[Product_Name],A690)</f>
        <v>7</v>
      </c>
      <c r="E690" s="3">
        <f>SUMIFS(tbl_raw[Net_Profit],tbl_raw[Product_Name],A690)</f>
        <v>8428</v>
      </c>
      <c r="F690" s="2">
        <f>SUMIFS(tbl_raw[Return_Flag],tbl_raw[Product_Name],A690)</f>
        <v>0</v>
      </c>
      <c r="G690" s="3" cm="1">
        <f t="array" ref="G690">SUMPRODUCT((tbl_raw[Product_Name]=A690)*(tbl_raw[MRP]-tbl_raw[Selling_Price])*tbl_raw[Units_Sold])</f>
        <v>4361</v>
      </c>
      <c r="H690" s="83">
        <f>AVERAGEIFS(tbl_raw[Discount_Pct],tbl_raw[Product_Name],A690)</f>
        <v>0.18</v>
      </c>
    </row>
    <row r="691" spans="1:8" hidden="1" x14ac:dyDescent="0.25">
      <c r="A691" s="2" t="str">
        <v>Atta - Model 110</v>
      </c>
      <c r="B691" s="2" t="str">
        <f>_xlfn.XLOOKUP(A691,tbl_raw[Product_Name],tbl_raw[Category])</f>
        <v>Grocery</v>
      </c>
      <c r="C691" s="2">
        <f>COUNTIF(tbl_raw[Product_Name],A691)</f>
        <v>1</v>
      </c>
      <c r="D691" s="2">
        <f>SUMIFS(tbl_raw[Units_Sold],tbl_raw[Product_Name],A691)</f>
        <v>5</v>
      </c>
      <c r="E691" s="3">
        <f>SUMIFS(tbl_raw[Net_Profit],tbl_raw[Product_Name],A691)</f>
        <v>420</v>
      </c>
      <c r="F691" s="2">
        <f>SUMIFS(tbl_raw[Return_Flag],tbl_raw[Product_Name],A691)</f>
        <v>0</v>
      </c>
      <c r="G691" s="3" cm="1">
        <f t="array" ref="G691">SUMPRODUCT((tbl_raw[Product_Name]=A691)*(tbl_raw[MRP]-tbl_raw[Selling_Price])*tbl_raw[Units_Sold])</f>
        <v>15395</v>
      </c>
      <c r="H691" s="83">
        <f>AVERAGEIFS(tbl_raw[Discount_Pct],tbl_raw[Product_Name],A691)</f>
        <v>0.44</v>
      </c>
    </row>
    <row r="692" spans="1:8" hidden="1" x14ac:dyDescent="0.25">
      <c r="A692" s="2" t="str">
        <v>Jacket - Model 160</v>
      </c>
      <c r="B692" s="2" t="str">
        <f>_xlfn.XLOOKUP(A692,tbl_raw[Product_Name],tbl_raw[Category])</f>
        <v>Fashion</v>
      </c>
      <c r="C692" s="2">
        <f>COUNTIF(tbl_raw[Product_Name],A692)</f>
        <v>1</v>
      </c>
      <c r="D692" s="2">
        <f>SUMIFS(tbl_raw[Units_Sold],tbl_raw[Product_Name],A692)</f>
        <v>11</v>
      </c>
      <c r="E692" s="3">
        <f>SUMIFS(tbl_raw[Net_Profit],tbl_raw[Product_Name],A692)</f>
        <v>20504</v>
      </c>
      <c r="F692" s="2">
        <f>SUMIFS(tbl_raw[Return_Flag],tbl_raw[Product_Name],A692)</f>
        <v>1</v>
      </c>
      <c r="G692" s="3" cm="1">
        <f t="array" ref="G692">SUMPRODUCT((tbl_raw[Product_Name]=A692)*(tbl_raw[MRP]-tbl_raw[Selling_Price])*tbl_raw[Units_Sold])</f>
        <v>17237</v>
      </c>
      <c r="H692" s="83">
        <f>AVERAGEIFS(tbl_raw[Discount_Pct],tbl_raw[Product_Name],A692)</f>
        <v>0.21</v>
      </c>
    </row>
    <row r="693" spans="1:8" hidden="1" x14ac:dyDescent="0.25">
      <c r="A693" s="2" t="str">
        <v>Puzzle - Model 504</v>
      </c>
      <c r="B693" s="2" t="str">
        <f>_xlfn.XLOOKUP(A693,tbl_raw[Product_Name],tbl_raw[Category])</f>
        <v>Toys</v>
      </c>
      <c r="C693" s="2">
        <f>COUNTIF(tbl_raw[Product_Name],A693)</f>
        <v>1</v>
      </c>
      <c r="D693" s="2">
        <f>SUMIFS(tbl_raw[Units_Sold],tbl_raw[Product_Name],A693)</f>
        <v>5</v>
      </c>
      <c r="E693" s="3">
        <f>SUMIFS(tbl_raw[Net_Profit],tbl_raw[Product_Name],A693)</f>
        <v>5345</v>
      </c>
      <c r="F693" s="2">
        <f>SUMIFS(tbl_raw[Return_Flag],tbl_raw[Product_Name],A693)</f>
        <v>0</v>
      </c>
      <c r="G693" s="3" cm="1">
        <f t="array" ref="G693">SUMPRODUCT((tbl_raw[Product_Name]=A693)*(tbl_raw[MRP]-tbl_raw[Selling_Price])*tbl_raw[Units_Sold])</f>
        <v>9690</v>
      </c>
      <c r="H693" s="83">
        <f>AVERAGEIFS(tbl_raw[Discount_Pct],tbl_raw[Product_Name],A693)</f>
        <v>0.25</v>
      </c>
    </row>
    <row r="694" spans="1:8" hidden="1" x14ac:dyDescent="0.25">
      <c r="A694" s="2" t="str">
        <v>Saree - Model 827</v>
      </c>
      <c r="B694" s="2" t="str">
        <f>_xlfn.XLOOKUP(A694,tbl_raw[Product_Name],tbl_raw[Category])</f>
        <v>Fashion</v>
      </c>
      <c r="C694" s="2">
        <f>COUNTIF(tbl_raw[Product_Name],A694)</f>
        <v>1</v>
      </c>
      <c r="D694" s="2">
        <f>SUMIFS(tbl_raw[Units_Sold],tbl_raw[Product_Name],A694)</f>
        <v>14</v>
      </c>
      <c r="E694" s="3">
        <f>SUMIFS(tbl_raw[Net_Profit],tbl_raw[Product_Name],A694)</f>
        <v>9086</v>
      </c>
      <c r="F694" s="2">
        <f>SUMIFS(tbl_raw[Return_Flag],tbl_raw[Product_Name],A694)</f>
        <v>0</v>
      </c>
      <c r="G694" s="3" cm="1">
        <f t="array" ref="G694">SUMPRODUCT((tbl_raw[Product_Name]=A694)*(tbl_raw[MRP]-tbl_raw[Selling_Price])*tbl_raw[Units_Sold])</f>
        <v>910</v>
      </c>
      <c r="H694" s="83">
        <f>AVERAGEIFS(tbl_raw[Discount_Pct],tbl_raw[Product_Name],A694)</f>
        <v>0.05</v>
      </c>
    </row>
    <row r="695" spans="1:8" hidden="1" x14ac:dyDescent="0.25">
      <c r="A695" s="2" t="str">
        <v>Cycle - Model 420</v>
      </c>
      <c r="B695" s="2" t="str">
        <f>_xlfn.XLOOKUP(A695,tbl_raw[Product_Name],tbl_raw[Category])</f>
        <v>Sports</v>
      </c>
      <c r="C695" s="2">
        <f>COUNTIF(tbl_raw[Product_Name],A695)</f>
        <v>1</v>
      </c>
      <c r="D695" s="2">
        <f>SUMIFS(tbl_raw[Units_Sold],tbl_raw[Product_Name],A695)</f>
        <v>6</v>
      </c>
      <c r="E695" s="3">
        <f>SUMIFS(tbl_raw[Net_Profit],tbl_raw[Product_Name],A695)</f>
        <v>-2190</v>
      </c>
      <c r="F695" s="2">
        <f>SUMIFS(tbl_raw[Return_Flag],tbl_raw[Product_Name],A695)</f>
        <v>0</v>
      </c>
      <c r="G695" s="3" cm="1">
        <f t="array" ref="G695">SUMPRODUCT((tbl_raw[Product_Name]=A695)*(tbl_raw[MRP]-tbl_raw[Selling_Price])*tbl_raw[Units_Sold])</f>
        <v>7182</v>
      </c>
      <c r="H695" s="83">
        <f>AVERAGEIFS(tbl_raw[Discount_Pct],tbl_raw[Product_Name],A695)</f>
        <v>0.45</v>
      </c>
    </row>
    <row r="696" spans="1:8" hidden="1" x14ac:dyDescent="0.25">
      <c r="A696" s="2" t="str">
        <v>Smartwatch - Model 366</v>
      </c>
      <c r="B696" s="2" t="str">
        <f>_xlfn.XLOOKUP(A696,tbl_raw[Product_Name],tbl_raw[Category])</f>
        <v>Electronics</v>
      </c>
      <c r="C696" s="2">
        <f>COUNTIF(tbl_raw[Product_Name],A696)</f>
        <v>1</v>
      </c>
      <c r="D696" s="2">
        <f>SUMIFS(tbl_raw[Units_Sold],tbl_raw[Product_Name],A696)</f>
        <v>15</v>
      </c>
      <c r="E696" s="3">
        <f>SUMIFS(tbl_raw[Net_Profit],tbl_raw[Product_Name],A696)</f>
        <v>-9975</v>
      </c>
      <c r="F696" s="2">
        <f>SUMIFS(tbl_raw[Return_Flag],tbl_raw[Product_Name],A696)</f>
        <v>0</v>
      </c>
      <c r="G696" s="3" cm="1">
        <f t="array" ref="G696">SUMPRODUCT((tbl_raw[Product_Name]=A696)*(tbl_raw[MRP]-tbl_raw[Selling_Price])*tbl_raw[Units_Sold])</f>
        <v>24330</v>
      </c>
      <c r="H696" s="83">
        <f>AVERAGEIFS(tbl_raw[Discount_Pct],tbl_raw[Product_Name],A696)</f>
        <v>0.45</v>
      </c>
    </row>
    <row r="697" spans="1:8" hidden="1" x14ac:dyDescent="0.25">
      <c r="A697" s="2" t="str">
        <v>Jeans - Model 226</v>
      </c>
      <c r="B697" s="2" t="str">
        <f>_xlfn.XLOOKUP(A697,tbl_raw[Product_Name],tbl_raw[Category])</f>
        <v>Fashion</v>
      </c>
      <c r="C697" s="2">
        <f>COUNTIF(tbl_raw[Product_Name],A697)</f>
        <v>1</v>
      </c>
      <c r="D697" s="2">
        <f>SUMIFS(tbl_raw[Units_Sold],tbl_raw[Product_Name],A697)</f>
        <v>3</v>
      </c>
      <c r="E697" s="3">
        <f>SUMIFS(tbl_raw[Net_Profit],tbl_raw[Product_Name],A697)</f>
        <v>528</v>
      </c>
      <c r="F697" s="2">
        <f>SUMIFS(tbl_raw[Return_Flag],tbl_raw[Product_Name],A697)</f>
        <v>0</v>
      </c>
      <c r="G697" s="3" cm="1">
        <f t="array" ref="G697">SUMPRODUCT((tbl_raw[Product_Name]=A697)*(tbl_raw[MRP]-tbl_raw[Selling_Price])*tbl_raw[Units_Sold])</f>
        <v>699</v>
      </c>
      <c r="H697" s="83">
        <f>AVERAGEIFS(tbl_raw[Discount_Pct],tbl_raw[Product_Name],A697)</f>
        <v>0.13</v>
      </c>
    </row>
    <row r="698" spans="1:8" hidden="1" x14ac:dyDescent="0.25">
      <c r="A698" s="2" t="str">
        <v>Tablet - Model 885</v>
      </c>
      <c r="B698" s="2" t="str">
        <f>_xlfn.XLOOKUP(A698,tbl_raw[Product_Name],tbl_raw[Category])</f>
        <v>Electronics</v>
      </c>
      <c r="C698" s="2">
        <f>COUNTIF(tbl_raw[Product_Name],A698)</f>
        <v>1</v>
      </c>
      <c r="D698" s="2">
        <f>SUMIFS(tbl_raw[Units_Sold],tbl_raw[Product_Name],A698)</f>
        <v>6</v>
      </c>
      <c r="E698" s="3">
        <f>SUMIFS(tbl_raw[Net_Profit],tbl_raw[Product_Name],A698)</f>
        <v>5442</v>
      </c>
      <c r="F698" s="2">
        <f>SUMIFS(tbl_raw[Return_Flag],tbl_raw[Product_Name],A698)</f>
        <v>0</v>
      </c>
      <c r="G698" s="3" cm="1">
        <f t="array" ref="G698">SUMPRODUCT((tbl_raw[Product_Name]=A698)*(tbl_raw[MRP]-tbl_raw[Selling_Price])*tbl_raw[Units_Sold])</f>
        <v>618</v>
      </c>
      <c r="H698" s="83">
        <f>AVERAGEIFS(tbl_raw[Discount_Pct],tbl_raw[Product_Name],A698)</f>
        <v>0.03</v>
      </c>
    </row>
    <row r="699" spans="1:8" hidden="1" x14ac:dyDescent="0.25">
      <c r="A699" s="2" t="str">
        <v>Puzzle - Model 704</v>
      </c>
      <c r="B699" s="2" t="str">
        <f>_xlfn.XLOOKUP(A699,tbl_raw[Product_Name],tbl_raw[Category])</f>
        <v>Toys</v>
      </c>
      <c r="C699" s="2">
        <f>COUNTIF(tbl_raw[Product_Name],A699)</f>
        <v>1</v>
      </c>
      <c r="D699" s="2">
        <f>SUMIFS(tbl_raw[Units_Sold],tbl_raw[Product_Name],A699)</f>
        <v>11</v>
      </c>
      <c r="E699" s="3">
        <f>SUMIFS(tbl_raw[Net_Profit],tbl_raw[Product_Name],A699)</f>
        <v>2728</v>
      </c>
      <c r="F699" s="2">
        <f>SUMIFS(tbl_raw[Return_Flag],tbl_raw[Product_Name],A699)</f>
        <v>0</v>
      </c>
      <c r="G699" s="3" cm="1">
        <f t="array" ref="G699">SUMPRODUCT((tbl_raw[Product_Name]=A699)*(tbl_raw[MRP]-tbl_raw[Selling_Price])*tbl_raw[Units_Sold])</f>
        <v>616</v>
      </c>
      <c r="H699" s="83">
        <f>AVERAGEIFS(tbl_raw[Discount_Pct],tbl_raw[Product_Name],A699)</f>
        <v>0.04</v>
      </c>
    </row>
    <row r="700" spans="1:8" hidden="1" x14ac:dyDescent="0.25">
      <c r="A700" s="2" t="str">
        <v>Fiction - Model 771</v>
      </c>
      <c r="B700" s="2" t="str">
        <f>_xlfn.XLOOKUP(A700,tbl_raw[Product_Name],tbl_raw[Category])</f>
        <v>Books</v>
      </c>
      <c r="C700" s="2">
        <f>COUNTIF(tbl_raw[Product_Name],A700)</f>
        <v>1</v>
      </c>
      <c r="D700" s="2">
        <f>SUMIFS(tbl_raw[Units_Sold],tbl_raw[Product_Name],A700)</f>
        <v>15</v>
      </c>
      <c r="E700" s="3">
        <f>SUMIFS(tbl_raw[Net_Profit],tbl_raw[Product_Name],A700)</f>
        <v>-2070</v>
      </c>
      <c r="F700" s="2">
        <f>SUMIFS(tbl_raw[Return_Flag],tbl_raw[Product_Name],A700)</f>
        <v>0</v>
      </c>
      <c r="G700" s="3" cm="1">
        <f t="array" ref="G700">SUMPRODUCT((tbl_raw[Product_Name]=A700)*(tbl_raw[MRP]-tbl_raw[Selling_Price])*tbl_raw[Units_Sold])</f>
        <v>13530</v>
      </c>
      <c r="H700" s="83">
        <f>AVERAGEIFS(tbl_raw[Discount_Pct],tbl_raw[Product_Name],A700)</f>
        <v>0.33</v>
      </c>
    </row>
    <row r="701" spans="1:8" hidden="1" x14ac:dyDescent="0.25">
      <c r="A701" s="2" t="str">
        <v>Fiction - Model 861</v>
      </c>
      <c r="B701" s="2" t="str">
        <f>_xlfn.XLOOKUP(A701,tbl_raw[Product_Name],tbl_raw[Category])</f>
        <v>Books</v>
      </c>
      <c r="C701" s="2">
        <f>COUNTIF(tbl_raw[Product_Name],A701)</f>
        <v>1</v>
      </c>
      <c r="D701" s="2">
        <f>SUMIFS(tbl_raw[Units_Sold],tbl_raw[Product_Name],A701)</f>
        <v>18</v>
      </c>
      <c r="E701" s="3">
        <f>SUMIFS(tbl_raw[Net_Profit],tbl_raw[Product_Name],A701)</f>
        <v>38844</v>
      </c>
      <c r="F701" s="2">
        <f>SUMIFS(tbl_raw[Return_Flag],tbl_raw[Product_Name],A701)</f>
        <v>0</v>
      </c>
      <c r="G701" s="3" cm="1">
        <f t="array" ref="G701">SUMPRODUCT((tbl_raw[Product_Name]=A701)*(tbl_raw[MRP]-tbl_raw[Selling_Price])*tbl_raw[Units_Sold])</f>
        <v>23328</v>
      </c>
      <c r="H701" s="83">
        <f>AVERAGEIFS(tbl_raw[Discount_Pct],tbl_raw[Product_Name],A701)</f>
        <v>0.17</v>
      </c>
    </row>
    <row r="702" spans="1:8" hidden="1" x14ac:dyDescent="0.25">
      <c r="A702" s="2" t="str">
        <v>Puzzle - Model 762</v>
      </c>
      <c r="B702" s="2" t="str">
        <f>_xlfn.XLOOKUP(A702,tbl_raw[Product_Name],tbl_raw[Category])</f>
        <v>Toys</v>
      </c>
      <c r="C702" s="2">
        <f>COUNTIF(tbl_raw[Product_Name],A702)</f>
        <v>1</v>
      </c>
      <c r="D702" s="2">
        <f>SUMIFS(tbl_raw[Units_Sold],tbl_raw[Product_Name],A702)</f>
        <v>4</v>
      </c>
      <c r="E702" s="3">
        <f>SUMIFS(tbl_raw[Net_Profit],tbl_raw[Product_Name],A702)</f>
        <v>-848</v>
      </c>
      <c r="F702" s="2">
        <f>SUMIFS(tbl_raw[Return_Flag],tbl_raw[Product_Name],A702)</f>
        <v>0</v>
      </c>
      <c r="G702" s="3" cm="1">
        <f t="array" ref="G702">SUMPRODUCT((tbl_raw[Product_Name]=A702)*(tbl_raw[MRP]-tbl_raw[Selling_Price])*tbl_raw[Units_Sold])</f>
        <v>3640</v>
      </c>
      <c r="H702" s="83">
        <f>AVERAGEIFS(tbl_raw[Discount_Pct],tbl_raw[Product_Name],A702)</f>
        <v>0.36</v>
      </c>
    </row>
    <row r="703" spans="1:8" hidden="1" x14ac:dyDescent="0.25">
      <c r="A703" s="2" t="str">
        <v>Perfume - Model 556</v>
      </c>
      <c r="B703" s="2" t="str">
        <f>_xlfn.XLOOKUP(A703,tbl_raw[Product_Name],tbl_raw[Category])</f>
        <v>Beauty</v>
      </c>
      <c r="C703" s="2">
        <f>COUNTIF(tbl_raw[Product_Name],A703)</f>
        <v>1</v>
      </c>
      <c r="D703" s="2">
        <f>SUMIFS(tbl_raw[Units_Sold],tbl_raw[Product_Name],A703)</f>
        <v>16</v>
      </c>
      <c r="E703" s="3">
        <f>SUMIFS(tbl_raw[Net_Profit],tbl_raw[Product_Name],A703)</f>
        <v>9472</v>
      </c>
      <c r="F703" s="2">
        <f>SUMIFS(tbl_raw[Return_Flag],tbl_raw[Product_Name],A703)</f>
        <v>0</v>
      </c>
      <c r="G703" s="3" cm="1">
        <f t="array" ref="G703">SUMPRODUCT((tbl_raw[Product_Name]=A703)*(tbl_raw[MRP]-tbl_raw[Selling_Price])*tbl_raw[Units_Sold])</f>
        <v>9904</v>
      </c>
      <c r="H703" s="83">
        <f>AVERAGEIFS(tbl_raw[Discount_Pct],tbl_raw[Product_Name],A703)</f>
        <v>0.27</v>
      </c>
    </row>
    <row r="704" spans="1:8" hidden="1" x14ac:dyDescent="0.25">
      <c r="A704" s="2" t="str">
        <v>Tablet - Model 449</v>
      </c>
      <c r="B704" s="2" t="str">
        <f>_xlfn.XLOOKUP(A704,tbl_raw[Product_Name],tbl_raw[Category])</f>
        <v>Electronics</v>
      </c>
      <c r="C704" s="2">
        <f>COUNTIF(tbl_raw[Product_Name],A704)</f>
        <v>1</v>
      </c>
      <c r="D704" s="2">
        <f>SUMIFS(tbl_raw[Units_Sold],tbl_raw[Product_Name],A704)</f>
        <v>8</v>
      </c>
      <c r="E704" s="3">
        <f>SUMIFS(tbl_raw[Net_Profit],tbl_raw[Product_Name],A704)</f>
        <v>-2792</v>
      </c>
      <c r="F704" s="2">
        <f>SUMIFS(tbl_raw[Return_Flag],tbl_raw[Product_Name],A704)</f>
        <v>0</v>
      </c>
      <c r="G704" s="3" cm="1">
        <f t="array" ref="G704">SUMPRODUCT((tbl_raw[Product_Name]=A704)*(tbl_raw[MRP]-tbl_raw[Selling_Price])*tbl_raw[Units_Sold])</f>
        <v>13440</v>
      </c>
      <c r="H704" s="83">
        <f>AVERAGEIFS(tbl_raw[Discount_Pct],tbl_raw[Product_Name],A704)</f>
        <v>0.32</v>
      </c>
    </row>
    <row r="705" spans="1:8" hidden="1" x14ac:dyDescent="0.25">
      <c r="A705" s="2" t="str">
        <v>Rice - Model 252</v>
      </c>
      <c r="B705" s="2" t="str">
        <f>_xlfn.XLOOKUP(A705,tbl_raw[Product_Name],tbl_raw[Category])</f>
        <v>Grocery</v>
      </c>
      <c r="C705" s="2">
        <f>COUNTIF(tbl_raw[Product_Name],A705)</f>
        <v>1</v>
      </c>
      <c r="D705" s="2">
        <f>SUMIFS(tbl_raw[Units_Sold],tbl_raw[Product_Name],A705)</f>
        <v>10</v>
      </c>
      <c r="E705" s="3">
        <f>SUMIFS(tbl_raw[Net_Profit],tbl_raw[Product_Name],A705)</f>
        <v>16990</v>
      </c>
      <c r="F705" s="2">
        <f>SUMIFS(tbl_raw[Return_Flag],tbl_raw[Product_Name],A705)</f>
        <v>0</v>
      </c>
      <c r="G705" s="3" cm="1">
        <f t="array" ref="G705">SUMPRODUCT((tbl_raw[Product_Name]=A705)*(tbl_raw[MRP]-tbl_raw[Selling_Price])*tbl_raw[Units_Sold])</f>
        <v>16230</v>
      </c>
      <c r="H705" s="83">
        <f>AVERAGEIFS(tbl_raw[Discount_Pct],tbl_raw[Product_Name],A705)</f>
        <v>0.24</v>
      </c>
    </row>
    <row r="706" spans="1:8" hidden="1" x14ac:dyDescent="0.25">
      <c r="A706" s="2" t="str">
        <v>Action Figure - Model 575</v>
      </c>
      <c r="B706" s="2" t="str">
        <f>_xlfn.XLOOKUP(A706,tbl_raw[Product_Name],tbl_raw[Category])</f>
        <v>Toys</v>
      </c>
      <c r="C706" s="2">
        <f>COUNTIF(tbl_raw[Product_Name],A706)</f>
        <v>1</v>
      </c>
      <c r="D706" s="2">
        <f>SUMIFS(tbl_raw[Units_Sold],tbl_raw[Product_Name],A706)</f>
        <v>9</v>
      </c>
      <c r="E706" s="3">
        <f>SUMIFS(tbl_raw[Net_Profit],tbl_raw[Product_Name],A706)</f>
        <v>1611</v>
      </c>
      <c r="F706" s="2">
        <f>SUMIFS(tbl_raw[Return_Flag],tbl_raw[Product_Name],A706)</f>
        <v>0</v>
      </c>
      <c r="G706" s="3" cm="1">
        <f t="array" ref="G706">SUMPRODUCT((tbl_raw[Product_Name]=A706)*(tbl_raw[MRP]-tbl_raw[Selling_Price])*tbl_raw[Units_Sold])</f>
        <v>6957</v>
      </c>
      <c r="H706" s="83">
        <f>AVERAGEIFS(tbl_raw[Discount_Pct],tbl_raw[Product_Name],A706)</f>
        <v>0.26</v>
      </c>
    </row>
    <row r="707" spans="1:8" hidden="1" x14ac:dyDescent="0.25">
      <c r="A707" s="2" t="str">
        <v>Shoes - Model 997</v>
      </c>
      <c r="B707" s="2" t="str">
        <f>_xlfn.XLOOKUP(A707,tbl_raw[Product_Name],tbl_raw[Category])</f>
        <v>Fashion</v>
      </c>
      <c r="C707" s="2">
        <f>COUNTIF(tbl_raw[Product_Name],A707)</f>
        <v>1</v>
      </c>
      <c r="D707" s="2">
        <f>SUMIFS(tbl_raw[Units_Sold],tbl_raw[Product_Name],A707)</f>
        <v>11</v>
      </c>
      <c r="E707" s="3">
        <f>SUMIFS(tbl_raw[Net_Profit],tbl_raw[Product_Name],A707)</f>
        <v>7337</v>
      </c>
      <c r="F707" s="2">
        <f>SUMIFS(tbl_raw[Return_Flag],tbl_raw[Product_Name],A707)</f>
        <v>0</v>
      </c>
      <c r="G707" s="3" cm="1">
        <f t="array" ref="G707">SUMPRODUCT((tbl_raw[Product_Name]=A707)*(tbl_raw[MRP]-tbl_raw[Selling_Price])*tbl_raw[Units_Sold])</f>
        <v>10516</v>
      </c>
      <c r="H707" s="83">
        <f>AVERAGEIFS(tbl_raw[Discount_Pct],tbl_raw[Product_Name],A707)</f>
        <v>0.2</v>
      </c>
    </row>
    <row r="708" spans="1:8" hidden="1" x14ac:dyDescent="0.25">
      <c r="A708" s="2" t="str">
        <v>Mixer - Model 864</v>
      </c>
      <c r="B708" s="2" t="str">
        <f>_xlfn.XLOOKUP(A708,tbl_raw[Product_Name],tbl_raw[Category])</f>
        <v>Home &amp; Kitchen</v>
      </c>
      <c r="C708" s="2">
        <f>COUNTIF(tbl_raw[Product_Name],A708)</f>
        <v>1</v>
      </c>
      <c r="D708" s="2">
        <f>SUMIFS(tbl_raw[Units_Sold],tbl_raw[Product_Name],A708)</f>
        <v>9</v>
      </c>
      <c r="E708" s="3">
        <f>SUMIFS(tbl_raw[Net_Profit],tbl_raw[Product_Name],A708)</f>
        <v>22581</v>
      </c>
      <c r="F708" s="2">
        <f>SUMIFS(tbl_raw[Return_Flag],tbl_raw[Product_Name],A708)</f>
        <v>0</v>
      </c>
      <c r="G708" s="3" cm="1">
        <f t="array" ref="G708">SUMPRODUCT((tbl_raw[Product_Name]=A708)*(tbl_raw[MRP]-tbl_raw[Selling_Price])*tbl_raw[Units_Sold])</f>
        <v>3150</v>
      </c>
      <c r="H708" s="83">
        <f>AVERAGEIFS(tbl_raw[Discount_Pct],tbl_raw[Product_Name],A708)</f>
        <v>0.05</v>
      </c>
    </row>
    <row r="709" spans="1:8" hidden="1" x14ac:dyDescent="0.25">
      <c r="A709" s="2" t="str">
        <v>Doll - Model 843</v>
      </c>
      <c r="B709" s="2" t="str">
        <f>_xlfn.XLOOKUP(A709,tbl_raw[Product_Name],tbl_raw[Category])</f>
        <v>Toys</v>
      </c>
      <c r="C709" s="2">
        <f>COUNTIF(tbl_raw[Product_Name],A709)</f>
        <v>1</v>
      </c>
      <c r="D709" s="2">
        <f>SUMIFS(tbl_raw[Units_Sold],tbl_raw[Product_Name],A709)</f>
        <v>10</v>
      </c>
      <c r="E709" s="3">
        <f>SUMIFS(tbl_raw[Net_Profit],tbl_raw[Product_Name],A709)</f>
        <v>380</v>
      </c>
      <c r="F709" s="2">
        <f>SUMIFS(tbl_raw[Return_Flag],tbl_raw[Product_Name],A709)</f>
        <v>0</v>
      </c>
      <c r="G709" s="3" cm="1">
        <f t="array" ref="G709">SUMPRODUCT((tbl_raw[Product_Name]=A709)*(tbl_raw[MRP]-tbl_raw[Selling_Price])*tbl_raw[Units_Sold])</f>
        <v>22110</v>
      </c>
      <c r="H709" s="83">
        <f>AVERAGEIFS(tbl_raw[Discount_Pct],tbl_raw[Product_Name],A709)</f>
        <v>0.44</v>
      </c>
    </row>
    <row r="710" spans="1:8" hidden="1" x14ac:dyDescent="0.25">
      <c r="A710" s="2" t="str">
        <v>Moisturizer - Model 935</v>
      </c>
      <c r="B710" s="2" t="str">
        <f>_xlfn.XLOOKUP(A710,tbl_raw[Product_Name],tbl_raw[Category])</f>
        <v>Beauty</v>
      </c>
      <c r="C710" s="2">
        <f>COUNTIF(tbl_raw[Product_Name],A710)</f>
        <v>1</v>
      </c>
      <c r="D710" s="2">
        <f>SUMIFS(tbl_raw[Units_Sold],tbl_raw[Product_Name],A710)</f>
        <v>7</v>
      </c>
      <c r="E710" s="3">
        <f>SUMIFS(tbl_raw[Net_Profit],tbl_raw[Product_Name],A710)</f>
        <v>12782</v>
      </c>
      <c r="F710" s="2">
        <f>SUMIFS(tbl_raw[Return_Flag],tbl_raw[Product_Name],A710)</f>
        <v>0</v>
      </c>
      <c r="G710" s="3" cm="1">
        <f t="array" ref="G710">SUMPRODUCT((tbl_raw[Product_Name]=A710)*(tbl_raw[MRP]-tbl_raw[Selling_Price])*tbl_raw[Units_Sold])</f>
        <v>4347</v>
      </c>
      <c r="H710" s="83">
        <f>AVERAGEIFS(tbl_raw[Discount_Pct],tbl_raw[Product_Name],A710)</f>
        <v>0.09</v>
      </c>
    </row>
    <row r="711" spans="1:8" hidden="1" x14ac:dyDescent="0.25">
      <c r="A711" s="2" t="str">
        <v>Saree - Model 888</v>
      </c>
      <c r="B711" s="2" t="str">
        <f>_xlfn.XLOOKUP(A711,tbl_raw[Product_Name],tbl_raw[Category])</f>
        <v>Fashion</v>
      </c>
      <c r="C711" s="2">
        <f>COUNTIF(tbl_raw[Product_Name],A711)</f>
        <v>1</v>
      </c>
      <c r="D711" s="2">
        <f>SUMIFS(tbl_raw[Units_Sold],tbl_raw[Product_Name],A711)</f>
        <v>5</v>
      </c>
      <c r="E711" s="3">
        <f>SUMIFS(tbl_raw[Net_Profit],tbl_raw[Product_Name],A711)</f>
        <v>10100</v>
      </c>
      <c r="F711" s="2">
        <f>SUMIFS(tbl_raw[Return_Flag],tbl_raw[Product_Name],A711)</f>
        <v>0</v>
      </c>
      <c r="G711" s="3" cm="1">
        <f t="array" ref="G711">SUMPRODUCT((tbl_raw[Product_Name]=A711)*(tbl_raw[MRP]-tbl_raw[Selling_Price])*tbl_raw[Units_Sold])</f>
        <v>195</v>
      </c>
      <c r="H711" s="83">
        <f>AVERAGEIFS(tbl_raw[Discount_Pct],tbl_raw[Product_Name],A711)</f>
        <v>0.01</v>
      </c>
    </row>
    <row r="712" spans="1:8" hidden="1" x14ac:dyDescent="0.25">
      <c r="A712" s="2" t="str">
        <v>Serum - Model 401</v>
      </c>
      <c r="B712" s="2" t="str">
        <f>_xlfn.XLOOKUP(A712,tbl_raw[Product_Name],tbl_raw[Category])</f>
        <v>Beauty</v>
      </c>
      <c r="C712" s="2">
        <f>COUNTIF(tbl_raw[Product_Name],A712)</f>
        <v>1</v>
      </c>
      <c r="D712" s="2">
        <f>SUMIFS(tbl_raw[Units_Sold],tbl_raw[Product_Name],A712)</f>
        <v>13</v>
      </c>
      <c r="E712" s="3">
        <f>SUMIFS(tbl_raw[Net_Profit],tbl_raw[Product_Name],A712)</f>
        <v>1157</v>
      </c>
      <c r="F712" s="2">
        <f>SUMIFS(tbl_raw[Return_Flag],tbl_raw[Product_Name],A712)</f>
        <v>0</v>
      </c>
      <c r="G712" s="3" cm="1">
        <f t="array" ref="G712">SUMPRODUCT((tbl_raw[Product_Name]=A712)*(tbl_raw[MRP]-tbl_raw[Selling_Price])*tbl_raw[Units_Sold])</f>
        <v>0</v>
      </c>
      <c r="H712" s="83">
        <f>AVERAGEIFS(tbl_raw[Discount_Pct],tbl_raw[Product_Name],A712)</f>
        <v>0</v>
      </c>
    </row>
    <row r="713" spans="1:8" hidden="1" x14ac:dyDescent="0.25">
      <c r="A713" s="2" t="str">
        <v>Shoes - Model 599</v>
      </c>
      <c r="B713" s="2" t="str">
        <f>_xlfn.XLOOKUP(A713,tbl_raw[Product_Name],tbl_raw[Category])</f>
        <v>Sports</v>
      </c>
      <c r="C713" s="2">
        <f>COUNTIF(tbl_raw[Product_Name],A713)</f>
        <v>1</v>
      </c>
      <c r="D713" s="2">
        <f>SUMIFS(tbl_raw[Units_Sold],tbl_raw[Product_Name],A713)</f>
        <v>16</v>
      </c>
      <c r="E713" s="3">
        <f>SUMIFS(tbl_raw[Net_Profit],tbl_raw[Product_Name],A713)</f>
        <v>-6512</v>
      </c>
      <c r="F713" s="2">
        <f>SUMIFS(tbl_raw[Return_Flag],tbl_raw[Product_Name],A713)</f>
        <v>0</v>
      </c>
      <c r="G713" s="3" cm="1">
        <f t="array" ref="G713">SUMPRODUCT((tbl_raw[Product_Name]=A713)*(tbl_raw[MRP]-tbl_raw[Selling_Price])*tbl_raw[Units_Sold])</f>
        <v>22192</v>
      </c>
      <c r="H713" s="83">
        <f>AVERAGEIFS(tbl_raw[Discount_Pct],tbl_raw[Product_Name],A713)</f>
        <v>0.33</v>
      </c>
    </row>
    <row r="714" spans="1:8" hidden="1" x14ac:dyDescent="0.25">
      <c r="A714" s="2" t="str">
        <v>Comic - Model 165</v>
      </c>
      <c r="B714" s="2" t="str">
        <f>_xlfn.XLOOKUP(A714,tbl_raw[Product_Name],tbl_raw[Category])</f>
        <v>Books</v>
      </c>
      <c r="C714" s="2">
        <f>COUNTIF(tbl_raw[Product_Name],A714)</f>
        <v>1</v>
      </c>
      <c r="D714" s="2">
        <f>SUMIFS(tbl_raw[Units_Sold],tbl_raw[Product_Name],A714)</f>
        <v>14</v>
      </c>
      <c r="E714" s="3">
        <f>SUMIFS(tbl_raw[Net_Profit],tbl_raw[Product_Name],A714)</f>
        <v>31388</v>
      </c>
      <c r="F714" s="2">
        <f>SUMIFS(tbl_raw[Return_Flag],tbl_raw[Product_Name],A714)</f>
        <v>0</v>
      </c>
      <c r="G714" s="3" cm="1">
        <f t="array" ref="G714">SUMPRODUCT((tbl_raw[Product_Name]=A714)*(tbl_raw[MRP]-tbl_raw[Selling_Price])*tbl_raw[Units_Sold])</f>
        <v>4998</v>
      </c>
      <c r="H714" s="83">
        <f>AVERAGEIFS(tbl_raw[Discount_Pct],tbl_raw[Product_Name],A714)</f>
        <v>0.05</v>
      </c>
    </row>
    <row r="715" spans="1:8" hidden="1" x14ac:dyDescent="0.25">
      <c r="A715" s="2" t="str">
        <v>Perfume - Model 452</v>
      </c>
      <c r="B715" s="2" t="str">
        <f>_xlfn.XLOOKUP(A715,tbl_raw[Product_Name],tbl_raw[Category])</f>
        <v>Beauty</v>
      </c>
      <c r="C715" s="2">
        <f>COUNTIF(tbl_raw[Product_Name],A715)</f>
        <v>1</v>
      </c>
      <c r="D715" s="2">
        <f>SUMIFS(tbl_raw[Units_Sold],tbl_raw[Product_Name],A715)</f>
        <v>8</v>
      </c>
      <c r="E715" s="3">
        <f>SUMIFS(tbl_raw[Net_Profit],tbl_raw[Product_Name],A715)</f>
        <v>1992</v>
      </c>
      <c r="F715" s="2">
        <f>SUMIFS(tbl_raw[Return_Flag],tbl_raw[Product_Name],A715)</f>
        <v>0</v>
      </c>
      <c r="G715" s="3" cm="1">
        <f t="array" ref="G715">SUMPRODUCT((tbl_raw[Product_Name]=A715)*(tbl_raw[MRP]-tbl_raw[Selling_Price])*tbl_raw[Units_Sold])</f>
        <v>8656</v>
      </c>
      <c r="H715" s="83">
        <f>AVERAGEIFS(tbl_raw[Discount_Pct],tbl_raw[Product_Name],A715)</f>
        <v>0.26</v>
      </c>
    </row>
    <row r="716" spans="1:8" hidden="1" x14ac:dyDescent="0.25">
      <c r="A716" s="2" t="str">
        <v>Remote Car - Model 410</v>
      </c>
      <c r="B716" s="2" t="str">
        <f>_xlfn.XLOOKUP(A716,tbl_raw[Product_Name],tbl_raw[Category])</f>
        <v>Toys</v>
      </c>
      <c r="C716" s="2">
        <f>COUNTIF(tbl_raw[Product_Name],A716)</f>
        <v>1</v>
      </c>
      <c r="D716" s="2">
        <f>SUMIFS(tbl_raw[Units_Sold],tbl_raw[Product_Name],A716)</f>
        <v>7</v>
      </c>
      <c r="E716" s="3">
        <f>SUMIFS(tbl_raw[Net_Profit],tbl_raw[Product_Name],A716)</f>
        <v>294</v>
      </c>
      <c r="F716" s="2">
        <f>SUMIFS(tbl_raw[Return_Flag],tbl_raw[Product_Name],A716)</f>
        <v>0</v>
      </c>
      <c r="G716" s="3" cm="1">
        <f t="array" ref="G716">SUMPRODUCT((tbl_raw[Product_Name]=A716)*(tbl_raw[MRP]-tbl_raw[Selling_Price])*tbl_raw[Units_Sold])</f>
        <v>14308</v>
      </c>
      <c r="H716" s="83">
        <f>AVERAGEIFS(tbl_raw[Discount_Pct],tbl_raw[Product_Name],A716)</f>
        <v>0.45</v>
      </c>
    </row>
    <row r="717" spans="1:8" hidden="1" x14ac:dyDescent="0.25">
      <c r="A717" s="2" t="str">
        <v>Saree - Model 540</v>
      </c>
      <c r="B717" s="2" t="str">
        <f>_xlfn.XLOOKUP(A717,tbl_raw[Product_Name],tbl_raw[Category])</f>
        <v>Fashion</v>
      </c>
      <c r="C717" s="2">
        <f>COUNTIF(tbl_raw[Product_Name],A717)</f>
        <v>1</v>
      </c>
      <c r="D717" s="2">
        <f>SUMIFS(tbl_raw[Units_Sold],tbl_raw[Product_Name],A717)</f>
        <v>20</v>
      </c>
      <c r="E717" s="3">
        <f>SUMIFS(tbl_raw[Net_Profit],tbl_raw[Product_Name],A717)</f>
        <v>3500</v>
      </c>
      <c r="F717" s="2">
        <f>SUMIFS(tbl_raw[Return_Flag],tbl_raw[Product_Name],A717)</f>
        <v>1</v>
      </c>
      <c r="G717" s="3" cm="1">
        <f t="array" ref="G717">SUMPRODUCT((tbl_raw[Product_Name]=A717)*(tbl_raw[MRP]-tbl_raw[Selling_Price])*tbl_raw[Units_Sold])</f>
        <v>9840</v>
      </c>
      <c r="H717" s="83">
        <f>AVERAGEIFS(tbl_raw[Discount_Pct],tbl_raw[Product_Name],A717)</f>
        <v>0.25</v>
      </c>
    </row>
    <row r="718" spans="1:8" hidden="1" x14ac:dyDescent="0.25">
      <c r="A718" s="2" t="str">
        <v>Lamp - Model 718</v>
      </c>
      <c r="B718" s="2" t="str">
        <f>_xlfn.XLOOKUP(A718,tbl_raw[Product_Name],tbl_raw[Category])</f>
        <v>Home &amp; Kitchen</v>
      </c>
      <c r="C718" s="2">
        <f>COUNTIF(tbl_raw[Product_Name],A718)</f>
        <v>1</v>
      </c>
      <c r="D718" s="2">
        <f>SUMIFS(tbl_raw[Units_Sold],tbl_raw[Product_Name],A718)</f>
        <v>2</v>
      </c>
      <c r="E718" s="3">
        <f>SUMIFS(tbl_raw[Net_Profit],tbl_raw[Product_Name],A718)</f>
        <v>3252</v>
      </c>
      <c r="F718" s="2">
        <f>SUMIFS(tbl_raw[Return_Flag],tbl_raw[Product_Name],A718)</f>
        <v>1</v>
      </c>
      <c r="G718" s="3" cm="1">
        <f t="array" ref="G718">SUMPRODUCT((tbl_raw[Product_Name]=A718)*(tbl_raw[MRP]-tbl_raw[Selling_Price])*tbl_raw[Units_Sold])</f>
        <v>2972</v>
      </c>
      <c r="H718" s="83">
        <f>AVERAGEIFS(tbl_raw[Discount_Pct],tbl_raw[Product_Name],A718)</f>
        <v>0.2</v>
      </c>
    </row>
    <row r="719" spans="1:8" hidden="1" x14ac:dyDescent="0.25">
      <c r="A719" s="2" t="str">
        <v>Jacket - Model 142</v>
      </c>
      <c r="B719" s="2" t="str">
        <f>_xlfn.XLOOKUP(A719,tbl_raw[Product_Name],tbl_raw[Category])</f>
        <v>Fashion</v>
      </c>
      <c r="C719" s="2">
        <f>COUNTIF(tbl_raw[Product_Name],A719)</f>
        <v>1</v>
      </c>
      <c r="D719" s="2">
        <f>SUMIFS(tbl_raw[Units_Sold],tbl_raw[Product_Name],A719)</f>
        <v>4</v>
      </c>
      <c r="E719" s="3">
        <f>SUMIFS(tbl_raw[Net_Profit],tbl_raw[Product_Name],A719)</f>
        <v>2540</v>
      </c>
      <c r="F719" s="2">
        <f>SUMIFS(tbl_raw[Return_Flag],tbl_raw[Product_Name],A719)</f>
        <v>1</v>
      </c>
      <c r="G719" s="3" cm="1">
        <f t="array" ref="G719">SUMPRODUCT((tbl_raw[Product_Name]=A719)*(tbl_raw[MRP]-tbl_raw[Selling_Price])*tbl_raw[Units_Sold])</f>
        <v>300</v>
      </c>
      <c r="H719" s="83">
        <f>AVERAGEIFS(tbl_raw[Discount_Pct],tbl_raw[Product_Name],A719)</f>
        <v>0.05</v>
      </c>
    </row>
    <row r="720" spans="1:8" hidden="1" x14ac:dyDescent="0.25">
      <c r="A720" s="2" t="str">
        <v>Jeans - Model 762</v>
      </c>
      <c r="B720" s="2" t="str">
        <f>_xlfn.XLOOKUP(A720,tbl_raw[Product_Name],tbl_raw[Category])</f>
        <v>Fashion</v>
      </c>
      <c r="C720" s="2">
        <f>COUNTIF(tbl_raw[Product_Name],A720)</f>
        <v>1</v>
      </c>
      <c r="D720" s="2">
        <f>SUMIFS(tbl_raw[Units_Sold],tbl_raw[Product_Name],A720)</f>
        <v>11</v>
      </c>
      <c r="E720" s="3">
        <f>SUMIFS(tbl_raw[Net_Profit],tbl_raw[Product_Name],A720)</f>
        <v>32098</v>
      </c>
      <c r="F720" s="2">
        <f>SUMIFS(tbl_raw[Return_Flag],tbl_raw[Product_Name],A720)</f>
        <v>1</v>
      </c>
      <c r="G720" s="3" cm="1">
        <f t="array" ref="G720">SUMPRODUCT((tbl_raw[Product_Name]=A720)*(tbl_raw[MRP]-tbl_raw[Selling_Price])*tbl_raw[Units_Sold])</f>
        <v>4345</v>
      </c>
      <c r="H720" s="83">
        <f>AVERAGEIFS(tbl_raw[Discount_Pct],tbl_raw[Product_Name],A720)</f>
        <v>0.06</v>
      </c>
    </row>
    <row r="721" spans="1:8" hidden="1" x14ac:dyDescent="0.25">
      <c r="A721" s="2" t="str">
        <v>Mixer - Model 372</v>
      </c>
      <c r="B721" s="2" t="str">
        <f>_xlfn.XLOOKUP(A721,tbl_raw[Product_Name],tbl_raw[Category])</f>
        <v>Home &amp; Kitchen</v>
      </c>
      <c r="C721" s="2">
        <f>COUNTIF(tbl_raw[Product_Name],A721)</f>
        <v>1</v>
      </c>
      <c r="D721" s="2">
        <f>SUMIFS(tbl_raw[Units_Sold],tbl_raw[Product_Name],A721)</f>
        <v>14</v>
      </c>
      <c r="E721" s="3">
        <f>SUMIFS(tbl_raw[Net_Profit],tbl_raw[Product_Name],A721)</f>
        <v>8414</v>
      </c>
      <c r="F721" s="2">
        <f>SUMIFS(tbl_raw[Return_Flag],tbl_raw[Product_Name],A721)</f>
        <v>0</v>
      </c>
      <c r="G721" s="3" cm="1">
        <f t="array" ref="G721">SUMPRODUCT((tbl_raw[Product_Name]=A721)*(tbl_raw[MRP]-tbl_raw[Selling_Price])*tbl_raw[Units_Sold])</f>
        <v>12656</v>
      </c>
      <c r="H721" s="83">
        <f>AVERAGEIFS(tbl_raw[Discount_Pct],tbl_raw[Product_Name],A721)</f>
        <v>0.3</v>
      </c>
    </row>
    <row r="722" spans="1:8" hidden="1" x14ac:dyDescent="0.25">
      <c r="A722" s="2" t="str">
        <v>Remote Car - Model 972</v>
      </c>
      <c r="B722" s="2" t="str">
        <f>_xlfn.XLOOKUP(A722,tbl_raw[Product_Name],tbl_raw[Category])</f>
        <v>Toys</v>
      </c>
      <c r="C722" s="2">
        <f>COUNTIF(tbl_raw[Product_Name],A722)</f>
        <v>1</v>
      </c>
      <c r="D722" s="2">
        <f>SUMIFS(tbl_raw[Units_Sold],tbl_raw[Product_Name],A722)</f>
        <v>12</v>
      </c>
      <c r="E722" s="3">
        <f>SUMIFS(tbl_raw[Net_Profit],tbl_raw[Product_Name],A722)</f>
        <v>10188</v>
      </c>
      <c r="F722" s="2">
        <f>SUMIFS(tbl_raw[Return_Flag],tbl_raw[Product_Name],A722)</f>
        <v>0</v>
      </c>
      <c r="G722" s="3" cm="1">
        <f t="array" ref="G722">SUMPRODUCT((tbl_raw[Product_Name]=A722)*(tbl_raw[MRP]-tbl_raw[Selling_Price])*tbl_raw[Units_Sold])</f>
        <v>18144</v>
      </c>
      <c r="H722" s="83">
        <f>AVERAGEIFS(tbl_raw[Discount_Pct],tbl_raw[Product_Name],A722)</f>
        <v>0.2</v>
      </c>
    </row>
    <row r="723" spans="1:8" hidden="1" x14ac:dyDescent="0.25">
      <c r="A723" s="2" t="str">
        <v>Curtain - Model 162</v>
      </c>
      <c r="B723" s="2" t="str">
        <f>_xlfn.XLOOKUP(A723,tbl_raw[Product_Name],tbl_raw[Category])</f>
        <v>Home &amp; Kitchen</v>
      </c>
      <c r="C723" s="2">
        <f>COUNTIF(tbl_raw[Product_Name],A723)</f>
        <v>1</v>
      </c>
      <c r="D723" s="2">
        <f>SUMIFS(tbl_raw[Units_Sold],tbl_raw[Product_Name],A723)</f>
        <v>2</v>
      </c>
      <c r="E723" s="3">
        <f>SUMIFS(tbl_raw[Net_Profit],tbl_raw[Product_Name],A723)</f>
        <v>-140</v>
      </c>
      <c r="F723" s="2">
        <f>SUMIFS(tbl_raw[Return_Flag],tbl_raw[Product_Name],A723)</f>
        <v>0</v>
      </c>
      <c r="G723" s="3" cm="1">
        <f t="array" ref="G723">SUMPRODUCT((tbl_raw[Product_Name]=A723)*(tbl_raw[MRP]-tbl_raw[Selling_Price])*tbl_raw[Units_Sold])</f>
        <v>3102</v>
      </c>
      <c r="H723" s="83">
        <f>AVERAGEIFS(tbl_raw[Discount_Pct],tbl_raw[Product_Name],A723)</f>
        <v>0.28999999999999998</v>
      </c>
    </row>
    <row r="724" spans="1:8" hidden="1" x14ac:dyDescent="0.25">
      <c r="A724" s="2" t="str">
        <v>Yoga Mat - Model 452</v>
      </c>
      <c r="B724" s="2" t="str">
        <f>_xlfn.XLOOKUP(A724,tbl_raw[Product_Name],tbl_raw[Category])</f>
        <v>Sports</v>
      </c>
      <c r="C724" s="2">
        <f>COUNTIF(tbl_raw[Product_Name],A724)</f>
        <v>1</v>
      </c>
      <c r="D724" s="2">
        <f>SUMIFS(tbl_raw[Units_Sold],tbl_raw[Product_Name],A724)</f>
        <v>9</v>
      </c>
      <c r="E724" s="3">
        <f>SUMIFS(tbl_raw[Net_Profit],tbl_raw[Product_Name],A724)</f>
        <v>17289</v>
      </c>
      <c r="F724" s="2">
        <f>SUMIFS(tbl_raw[Return_Flag],tbl_raw[Product_Name],A724)</f>
        <v>1</v>
      </c>
      <c r="G724" s="3" cm="1">
        <f t="array" ref="G724">SUMPRODUCT((tbl_raw[Product_Name]=A724)*(tbl_raw[MRP]-tbl_raw[Selling_Price])*tbl_raw[Units_Sold])</f>
        <v>17550</v>
      </c>
      <c r="H724" s="83">
        <f>AVERAGEIFS(tbl_raw[Discount_Pct],tbl_raw[Product_Name],A724)</f>
        <v>0.27</v>
      </c>
    </row>
    <row r="725" spans="1:8" hidden="1" x14ac:dyDescent="0.25">
      <c r="A725" s="2" t="str">
        <v>Rice - Model 931</v>
      </c>
      <c r="B725" s="2" t="str">
        <f>_xlfn.XLOOKUP(A725,tbl_raw[Product_Name],tbl_raw[Category])</f>
        <v>Grocery</v>
      </c>
      <c r="C725" s="2">
        <f>COUNTIF(tbl_raw[Product_Name],A725)</f>
        <v>1</v>
      </c>
      <c r="D725" s="2">
        <f>SUMIFS(tbl_raw[Units_Sold],tbl_raw[Product_Name],A725)</f>
        <v>7</v>
      </c>
      <c r="E725" s="3">
        <f>SUMIFS(tbl_raw[Net_Profit],tbl_raw[Product_Name],A725)</f>
        <v>17794</v>
      </c>
      <c r="F725" s="2">
        <f>SUMIFS(tbl_raw[Return_Flag],tbl_raw[Product_Name],A725)</f>
        <v>0</v>
      </c>
      <c r="G725" s="3" cm="1">
        <f t="array" ref="G725">SUMPRODUCT((tbl_raw[Product_Name]=A725)*(tbl_raw[MRP]-tbl_raw[Selling_Price])*tbl_raw[Units_Sold])</f>
        <v>1981</v>
      </c>
      <c r="H725" s="83">
        <f>AVERAGEIFS(tbl_raw[Discount_Pct],tbl_raw[Product_Name],A725)</f>
        <v>0.04</v>
      </c>
    </row>
    <row r="726" spans="1:8" hidden="1" x14ac:dyDescent="0.25">
      <c r="A726" s="2" t="str">
        <v>Cycle - Model 448</v>
      </c>
      <c r="B726" s="2" t="str">
        <f>_xlfn.XLOOKUP(A726,tbl_raw[Product_Name],tbl_raw[Category])</f>
        <v>Sports</v>
      </c>
      <c r="C726" s="2">
        <f>COUNTIF(tbl_raw[Product_Name],A726)</f>
        <v>1</v>
      </c>
      <c r="D726" s="2">
        <f>SUMIFS(tbl_raw[Units_Sold],tbl_raw[Product_Name],A726)</f>
        <v>1</v>
      </c>
      <c r="E726" s="3">
        <f>SUMIFS(tbl_raw[Net_Profit],tbl_raw[Product_Name],A726)</f>
        <v>-52</v>
      </c>
      <c r="F726" s="2">
        <f>SUMIFS(tbl_raw[Return_Flag],tbl_raw[Product_Name],A726)</f>
        <v>0</v>
      </c>
      <c r="G726" s="3" cm="1">
        <f t="array" ref="G726">SUMPRODUCT((tbl_raw[Product_Name]=A726)*(tbl_raw[MRP]-tbl_raw[Selling_Price])*tbl_raw[Units_Sold])</f>
        <v>150</v>
      </c>
      <c r="H726" s="83">
        <f>AVERAGEIFS(tbl_raw[Discount_Pct],tbl_raw[Product_Name],A726)</f>
        <v>0.36</v>
      </c>
    </row>
    <row r="727" spans="1:8" hidden="1" x14ac:dyDescent="0.25">
      <c r="A727" s="2" t="str">
        <v>Headphones - Model 365</v>
      </c>
      <c r="B727" s="2" t="str">
        <f>_xlfn.XLOOKUP(A727,tbl_raw[Product_Name],tbl_raw[Category])</f>
        <v>Electronics</v>
      </c>
      <c r="C727" s="2">
        <f>COUNTIF(tbl_raw[Product_Name],A727)</f>
        <v>1</v>
      </c>
      <c r="D727" s="2">
        <f>SUMIFS(tbl_raw[Units_Sold],tbl_raw[Product_Name],A727)</f>
        <v>12</v>
      </c>
      <c r="E727" s="3">
        <f>SUMIFS(tbl_raw[Net_Profit],tbl_raw[Product_Name],A727)</f>
        <v>-2136</v>
      </c>
      <c r="F727" s="2">
        <f>SUMIFS(tbl_raw[Return_Flag],tbl_raw[Product_Name],A727)</f>
        <v>0</v>
      </c>
      <c r="G727" s="3" cm="1">
        <f t="array" ref="G727">SUMPRODUCT((tbl_raw[Product_Name]=A727)*(tbl_raw[MRP]-tbl_raw[Selling_Price])*tbl_raw[Units_Sold])</f>
        <v>4752</v>
      </c>
      <c r="H727" s="83">
        <f>AVERAGEIFS(tbl_raw[Discount_Pct],tbl_raw[Product_Name],A727)</f>
        <v>0.34</v>
      </c>
    </row>
    <row r="728" spans="1:8" hidden="1" x14ac:dyDescent="0.25">
      <c r="A728" s="2" t="str">
        <v>Lipstick - Model 406</v>
      </c>
      <c r="B728" s="2" t="str">
        <f>_xlfn.XLOOKUP(A728,tbl_raw[Product_Name],tbl_raw[Category])</f>
        <v>Beauty</v>
      </c>
      <c r="C728" s="2">
        <f>COUNTIF(tbl_raw[Product_Name],A728)</f>
        <v>1</v>
      </c>
      <c r="D728" s="2">
        <f>SUMIFS(tbl_raw[Units_Sold],tbl_raw[Product_Name],A728)</f>
        <v>19</v>
      </c>
      <c r="E728" s="3">
        <f>SUMIFS(tbl_raw[Net_Profit],tbl_raw[Product_Name],A728)</f>
        <v>8892</v>
      </c>
      <c r="F728" s="2">
        <f>SUMIFS(tbl_raw[Return_Flag],tbl_raw[Product_Name],A728)</f>
        <v>0</v>
      </c>
      <c r="G728" s="3" cm="1">
        <f t="array" ref="G728">SUMPRODUCT((tbl_raw[Product_Name]=A728)*(tbl_raw[MRP]-tbl_raw[Selling_Price])*tbl_raw[Units_Sold])</f>
        <v>33098</v>
      </c>
      <c r="H728" s="83">
        <f>AVERAGEIFS(tbl_raw[Discount_Pct],tbl_raw[Product_Name],A728)</f>
        <v>0.32</v>
      </c>
    </row>
    <row r="729" spans="1:8" hidden="1" x14ac:dyDescent="0.25">
      <c r="A729" s="2" t="str">
        <v>Jeans - Model 828</v>
      </c>
      <c r="B729" s="2" t="str">
        <f>_xlfn.XLOOKUP(A729,tbl_raw[Product_Name],tbl_raw[Category])</f>
        <v>Fashion</v>
      </c>
      <c r="C729" s="2">
        <f>COUNTIF(tbl_raw[Product_Name],A729)</f>
        <v>1</v>
      </c>
      <c r="D729" s="2">
        <f>SUMIFS(tbl_raw[Units_Sold],tbl_raw[Product_Name],A729)</f>
        <v>14</v>
      </c>
      <c r="E729" s="3">
        <f>SUMIFS(tbl_raw[Net_Profit],tbl_raw[Product_Name],A729)</f>
        <v>1624</v>
      </c>
      <c r="F729" s="2">
        <f>SUMIFS(tbl_raw[Return_Flag],tbl_raw[Product_Name],A729)</f>
        <v>0</v>
      </c>
      <c r="G729" s="3" cm="1">
        <f t="array" ref="G729">SUMPRODUCT((tbl_raw[Product_Name]=A729)*(tbl_raw[MRP]-tbl_raw[Selling_Price])*tbl_raw[Units_Sold])</f>
        <v>350</v>
      </c>
      <c r="H729" s="83">
        <f>AVERAGEIFS(tbl_raw[Discount_Pct],tbl_raw[Product_Name],A729)</f>
        <v>0.03</v>
      </c>
    </row>
    <row r="730" spans="1:8" hidden="1" x14ac:dyDescent="0.25">
      <c r="A730" s="2" t="str">
        <v>Puzzle - Model 698</v>
      </c>
      <c r="B730" s="2" t="str">
        <f>_xlfn.XLOOKUP(A730,tbl_raw[Product_Name],tbl_raw[Category])</f>
        <v>Toys</v>
      </c>
      <c r="C730" s="2">
        <f>COUNTIF(tbl_raw[Product_Name],A730)</f>
        <v>1</v>
      </c>
      <c r="D730" s="2">
        <f>SUMIFS(tbl_raw[Units_Sold],tbl_raw[Product_Name],A730)</f>
        <v>14</v>
      </c>
      <c r="E730" s="3">
        <f>SUMIFS(tbl_raw[Net_Profit],tbl_raw[Product_Name],A730)</f>
        <v>-6622</v>
      </c>
      <c r="F730" s="2">
        <f>SUMIFS(tbl_raw[Return_Flag],tbl_raw[Product_Name],A730)</f>
        <v>0</v>
      </c>
      <c r="G730" s="3" cm="1">
        <f t="array" ref="G730">SUMPRODUCT((tbl_raw[Product_Name]=A730)*(tbl_raw[MRP]-tbl_raw[Selling_Price])*tbl_raw[Units_Sold])</f>
        <v>34608</v>
      </c>
      <c r="H730" s="83">
        <f>AVERAGEIFS(tbl_raw[Discount_Pct],tbl_raw[Product_Name],A730)</f>
        <v>0.31</v>
      </c>
    </row>
    <row r="731" spans="1:8" hidden="1" x14ac:dyDescent="0.25">
      <c r="A731" s="2" t="str">
        <v>Oil - Model 821</v>
      </c>
      <c r="B731" s="2" t="str">
        <f>_xlfn.XLOOKUP(A731,tbl_raw[Product_Name],tbl_raw[Category])</f>
        <v>Grocery</v>
      </c>
      <c r="C731" s="2">
        <f>COUNTIF(tbl_raw[Product_Name],A731)</f>
        <v>1</v>
      </c>
      <c r="D731" s="2">
        <f>SUMIFS(tbl_raw[Units_Sold],tbl_raw[Product_Name],A731)</f>
        <v>17</v>
      </c>
      <c r="E731" s="3">
        <f>SUMIFS(tbl_raw[Net_Profit],tbl_raw[Product_Name],A731)</f>
        <v>3961</v>
      </c>
      <c r="F731" s="2">
        <f>SUMIFS(tbl_raw[Return_Flag],tbl_raw[Product_Name],A731)</f>
        <v>0</v>
      </c>
      <c r="G731" s="3" cm="1">
        <f t="array" ref="G731">SUMPRODUCT((tbl_raw[Product_Name]=A731)*(tbl_raw[MRP]-tbl_raw[Selling_Price])*tbl_raw[Units_Sold])</f>
        <v>1904</v>
      </c>
      <c r="H731" s="83">
        <f>AVERAGEIFS(tbl_raw[Discount_Pct],tbl_raw[Product_Name],A731)</f>
        <v>0.1</v>
      </c>
    </row>
    <row r="732" spans="1:8" hidden="1" x14ac:dyDescent="0.25">
      <c r="A732" s="2" t="str">
        <v>Action Figure - Model 223</v>
      </c>
      <c r="B732" s="2" t="str">
        <f>_xlfn.XLOOKUP(A732,tbl_raw[Product_Name],tbl_raw[Category])</f>
        <v>Toys</v>
      </c>
      <c r="C732" s="2">
        <f>COUNTIF(tbl_raw[Product_Name],A732)</f>
        <v>1</v>
      </c>
      <c r="D732" s="2">
        <f>SUMIFS(tbl_raw[Units_Sold],tbl_raw[Product_Name],A732)</f>
        <v>19</v>
      </c>
      <c r="E732" s="3">
        <f>SUMIFS(tbl_raw[Net_Profit],tbl_raw[Product_Name],A732)</f>
        <v>13452</v>
      </c>
      <c r="F732" s="2">
        <f>SUMIFS(tbl_raw[Return_Flag],tbl_raw[Product_Name],A732)</f>
        <v>0</v>
      </c>
      <c r="G732" s="3" cm="1">
        <f t="array" ref="G732">SUMPRODUCT((tbl_raw[Product_Name]=A732)*(tbl_raw[MRP]-tbl_raw[Selling_Price])*tbl_raw[Units_Sold])</f>
        <v>11210</v>
      </c>
      <c r="H732" s="83">
        <f>AVERAGEIFS(tbl_raw[Discount_Pct],tbl_raw[Product_Name],A732)</f>
        <v>0.24</v>
      </c>
    </row>
    <row r="733" spans="1:8" hidden="1" x14ac:dyDescent="0.25">
      <c r="A733" s="2" t="str">
        <v>Action Figure - Model 412</v>
      </c>
      <c r="B733" s="2" t="str">
        <f>_xlfn.XLOOKUP(A733,tbl_raw[Product_Name],tbl_raw[Category])</f>
        <v>Toys</v>
      </c>
      <c r="C733" s="2">
        <f>COUNTIF(tbl_raw[Product_Name],A733)</f>
        <v>1</v>
      </c>
      <c r="D733" s="2">
        <f>SUMIFS(tbl_raw[Units_Sold],tbl_raw[Product_Name],A733)</f>
        <v>7</v>
      </c>
      <c r="E733" s="3">
        <f>SUMIFS(tbl_raw[Net_Profit],tbl_raw[Product_Name],A733)</f>
        <v>2289</v>
      </c>
      <c r="F733" s="2">
        <f>SUMIFS(tbl_raw[Return_Flag],tbl_raw[Product_Name],A733)</f>
        <v>0</v>
      </c>
      <c r="G733" s="3" cm="1">
        <f t="array" ref="G733">SUMPRODUCT((tbl_raw[Product_Name]=A733)*(tbl_raw[MRP]-tbl_raw[Selling_Price])*tbl_raw[Units_Sold])</f>
        <v>3759</v>
      </c>
      <c r="H733" s="83">
        <f>AVERAGEIFS(tbl_raw[Discount_Pct],tbl_raw[Product_Name],A733)</f>
        <v>0.33</v>
      </c>
    </row>
    <row r="734" spans="1:8" hidden="1" x14ac:dyDescent="0.25">
      <c r="A734" s="2" t="str">
        <v>Rice - Model 900</v>
      </c>
      <c r="B734" s="2" t="str">
        <f>_xlfn.XLOOKUP(A734,tbl_raw[Product_Name],tbl_raw[Category])</f>
        <v>Grocery</v>
      </c>
      <c r="C734" s="2">
        <f>COUNTIF(tbl_raw[Product_Name],A734)</f>
        <v>1</v>
      </c>
      <c r="D734" s="2">
        <f>SUMIFS(tbl_raw[Units_Sold],tbl_raw[Product_Name],A734)</f>
        <v>16</v>
      </c>
      <c r="E734" s="3">
        <f>SUMIFS(tbl_raw[Net_Profit],tbl_raw[Product_Name],A734)</f>
        <v>17824</v>
      </c>
      <c r="F734" s="2">
        <f>SUMIFS(tbl_raw[Return_Flag],tbl_raw[Product_Name],A734)</f>
        <v>0</v>
      </c>
      <c r="G734" s="3" cm="1">
        <f t="array" ref="G734">SUMPRODUCT((tbl_raw[Product_Name]=A734)*(tbl_raw[MRP]-tbl_raw[Selling_Price])*tbl_raw[Units_Sold])</f>
        <v>40784</v>
      </c>
      <c r="H734" s="83">
        <f>AVERAGEIFS(tbl_raw[Discount_Pct],tbl_raw[Product_Name],A734)</f>
        <v>0.38</v>
      </c>
    </row>
    <row r="735" spans="1:8" hidden="1" x14ac:dyDescent="0.25">
      <c r="A735" s="2" t="str">
        <v>Fiction - Model 919</v>
      </c>
      <c r="B735" s="2" t="str">
        <f>_xlfn.XLOOKUP(A735,tbl_raw[Product_Name],tbl_raw[Category])</f>
        <v>Books</v>
      </c>
      <c r="C735" s="2">
        <f>COUNTIF(tbl_raw[Product_Name],A735)</f>
        <v>1</v>
      </c>
      <c r="D735" s="2">
        <f>SUMIFS(tbl_raw[Units_Sold],tbl_raw[Product_Name],A735)</f>
        <v>20</v>
      </c>
      <c r="E735" s="3">
        <f>SUMIFS(tbl_raw[Net_Profit],tbl_raw[Product_Name],A735)</f>
        <v>22340</v>
      </c>
      <c r="F735" s="2">
        <f>SUMIFS(tbl_raw[Return_Flag],tbl_raw[Product_Name],A735)</f>
        <v>0</v>
      </c>
      <c r="G735" s="3" cm="1">
        <f t="array" ref="G735">SUMPRODUCT((tbl_raw[Product_Name]=A735)*(tbl_raw[MRP]-tbl_raw[Selling_Price])*tbl_raw[Units_Sold])</f>
        <v>6780</v>
      </c>
      <c r="H735" s="83">
        <f>AVERAGEIFS(tbl_raw[Discount_Pct],tbl_raw[Product_Name],A735)</f>
        <v>0.1</v>
      </c>
    </row>
    <row r="736" spans="1:8" hidden="1" x14ac:dyDescent="0.25">
      <c r="A736" s="2" t="str">
        <v>Tablet - Model 745</v>
      </c>
      <c r="B736" s="2" t="str">
        <f>_xlfn.XLOOKUP(A736,tbl_raw[Product_Name],tbl_raw[Category])</f>
        <v>Electronics</v>
      </c>
      <c r="C736" s="2">
        <f>COUNTIF(tbl_raw[Product_Name],A736)</f>
        <v>1</v>
      </c>
      <c r="D736" s="2">
        <f>SUMIFS(tbl_raw[Units_Sold],tbl_raw[Product_Name],A736)</f>
        <v>18</v>
      </c>
      <c r="E736" s="3">
        <f>SUMIFS(tbl_raw[Net_Profit],tbl_raw[Product_Name],A736)</f>
        <v>23274</v>
      </c>
      <c r="F736" s="2">
        <f>SUMIFS(tbl_raw[Return_Flag],tbl_raw[Product_Name],A736)</f>
        <v>0</v>
      </c>
      <c r="G736" s="3" cm="1">
        <f t="array" ref="G736">SUMPRODUCT((tbl_raw[Product_Name]=A736)*(tbl_raw[MRP]-tbl_raw[Selling_Price])*tbl_raw[Units_Sold])</f>
        <v>27306</v>
      </c>
      <c r="H736" s="83">
        <f>AVERAGEIFS(tbl_raw[Discount_Pct],tbl_raw[Product_Name],A736)</f>
        <v>0.28999999999999998</v>
      </c>
    </row>
    <row r="737" spans="1:8" hidden="1" x14ac:dyDescent="0.25">
      <c r="A737" s="2" t="str">
        <v>Perfume - Model 614</v>
      </c>
      <c r="B737" s="2" t="str">
        <f>_xlfn.XLOOKUP(A737,tbl_raw[Product_Name],tbl_raw[Category])</f>
        <v>Beauty</v>
      </c>
      <c r="C737" s="2">
        <f>COUNTIF(tbl_raw[Product_Name],A737)</f>
        <v>1</v>
      </c>
      <c r="D737" s="2">
        <f>SUMIFS(tbl_raw[Units_Sold],tbl_raw[Product_Name],A737)</f>
        <v>4</v>
      </c>
      <c r="E737" s="3">
        <f>SUMIFS(tbl_raw[Net_Profit],tbl_raw[Product_Name],A737)</f>
        <v>212</v>
      </c>
      <c r="F737" s="2">
        <f>SUMIFS(tbl_raw[Return_Flag],tbl_raw[Product_Name],A737)</f>
        <v>1</v>
      </c>
      <c r="G737" s="3" cm="1">
        <f t="array" ref="G737">SUMPRODUCT((tbl_raw[Product_Name]=A737)*(tbl_raw[MRP]-tbl_raw[Selling_Price])*tbl_raw[Units_Sold])</f>
        <v>5120</v>
      </c>
      <c r="H737" s="83">
        <f>AVERAGEIFS(tbl_raw[Discount_Pct],tbl_raw[Product_Name],A737)</f>
        <v>0.24</v>
      </c>
    </row>
    <row r="738" spans="1:8" hidden="1" x14ac:dyDescent="0.25">
      <c r="A738" s="2" t="str">
        <v>Jacket - Model 721</v>
      </c>
      <c r="B738" s="2" t="str">
        <f>_xlfn.XLOOKUP(A738,tbl_raw[Product_Name],tbl_raw[Category])</f>
        <v>Fashion</v>
      </c>
      <c r="C738" s="2">
        <f>COUNTIF(tbl_raw[Product_Name],A738)</f>
        <v>1</v>
      </c>
      <c r="D738" s="2">
        <f>SUMIFS(tbl_raw[Units_Sold],tbl_raw[Product_Name],A738)</f>
        <v>13</v>
      </c>
      <c r="E738" s="3">
        <f>SUMIFS(tbl_raw[Net_Profit],tbl_raw[Product_Name],A738)</f>
        <v>2262</v>
      </c>
      <c r="F738" s="2">
        <f>SUMIFS(tbl_raw[Return_Flag],tbl_raw[Product_Name],A738)</f>
        <v>0</v>
      </c>
      <c r="G738" s="3" cm="1">
        <f t="array" ref="G738">SUMPRODUCT((tbl_raw[Product_Name]=A738)*(tbl_raw[MRP]-tbl_raw[Selling_Price])*tbl_raw[Units_Sold])</f>
        <v>13702</v>
      </c>
      <c r="H738" s="83">
        <f>AVERAGEIFS(tbl_raw[Discount_Pct],tbl_raw[Product_Name],A738)</f>
        <v>0.22</v>
      </c>
    </row>
    <row r="739" spans="1:8" hidden="1" x14ac:dyDescent="0.25">
      <c r="A739" s="2" t="str">
        <v>Shoes - Model 217</v>
      </c>
      <c r="B739" s="2" t="str">
        <f>_xlfn.XLOOKUP(A739,tbl_raw[Product_Name],tbl_raw[Category])</f>
        <v>Sports</v>
      </c>
      <c r="C739" s="2">
        <f>COUNTIF(tbl_raw[Product_Name],A739)</f>
        <v>1</v>
      </c>
      <c r="D739" s="2">
        <f>SUMIFS(tbl_raw[Units_Sold],tbl_raw[Product_Name],A739)</f>
        <v>18</v>
      </c>
      <c r="E739" s="3">
        <f>SUMIFS(tbl_raw[Net_Profit],tbl_raw[Product_Name],A739)</f>
        <v>11484</v>
      </c>
      <c r="F739" s="2">
        <f>SUMIFS(tbl_raw[Return_Flag],tbl_raw[Product_Name],A739)</f>
        <v>0</v>
      </c>
      <c r="G739" s="3" cm="1">
        <f t="array" ref="G739">SUMPRODUCT((tbl_raw[Product_Name]=A739)*(tbl_raw[MRP]-tbl_raw[Selling_Price])*tbl_raw[Units_Sold])</f>
        <v>1638</v>
      </c>
      <c r="H739" s="83">
        <f>AVERAGEIFS(tbl_raw[Discount_Pct],tbl_raw[Product_Name],A739)</f>
        <v>0.06</v>
      </c>
    </row>
    <row r="740" spans="1:8" hidden="1" x14ac:dyDescent="0.25">
      <c r="A740" s="2" t="str">
        <v>Self-Help - Model 127</v>
      </c>
      <c r="B740" s="2" t="str">
        <f>_xlfn.XLOOKUP(A740,tbl_raw[Product_Name],tbl_raw[Category])</f>
        <v>Books</v>
      </c>
      <c r="C740" s="2">
        <f>COUNTIF(tbl_raw[Product_Name],A740)</f>
        <v>1</v>
      </c>
      <c r="D740" s="2">
        <f>SUMIFS(tbl_raw[Units_Sold],tbl_raw[Product_Name],A740)</f>
        <v>10</v>
      </c>
      <c r="E740" s="3">
        <f>SUMIFS(tbl_raw[Net_Profit],tbl_raw[Product_Name],A740)</f>
        <v>9440</v>
      </c>
      <c r="F740" s="2">
        <f>SUMIFS(tbl_raw[Return_Flag],tbl_raw[Product_Name],A740)</f>
        <v>0</v>
      </c>
      <c r="G740" s="3" cm="1">
        <f t="array" ref="G740">SUMPRODUCT((tbl_raw[Product_Name]=A740)*(tbl_raw[MRP]-tbl_raw[Selling_Price])*tbl_raw[Units_Sold])</f>
        <v>4540</v>
      </c>
      <c r="H740" s="83">
        <f>AVERAGEIFS(tbl_raw[Discount_Pct],tbl_raw[Product_Name],A740)</f>
        <v>0.14000000000000001</v>
      </c>
    </row>
    <row r="741" spans="1:8" hidden="1" x14ac:dyDescent="0.25">
      <c r="A741" s="2" t="str">
        <v>Sunscreen - Model 700</v>
      </c>
      <c r="B741" s="2" t="str">
        <f>_xlfn.XLOOKUP(A741,tbl_raw[Product_Name],tbl_raw[Category])</f>
        <v>Beauty</v>
      </c>
      <c r="C741" s="2">
        <f>COUNTIF(tbl_raw[Product_Name],A741)</f>
        <v>1</v>
      </c>
      <c r="D741" s="2">
        <f>SUMIFS(tbl_raw[Units_Sold],tbl_raw[Product_Name],A741)</f>
        <v>16</v>
      </c>
      <c r="E741" s="3">
        <f>SUMIFS(tbl_raw[Net_Profit],tbl_raw[Product_Name],A741)</f>
        <v>1408</v>
      </c>
      <c r="F741" s="2">
        <f>SUMIFS(tbl_raw[Return_Flag],tbl_raw[Product_Name],A741)</f>
        <v>0</v>
      </c>
      <c r="G741" s="3" cm="1">
        <f t="array" ref="G741">SUMPRODUCT((tbl_raw[Product_Name]=A741)*(tbl_raw[MRP]-tbl_raw[Selling_Price])*tbl_raw[Units_Sold])</f>
        <v>15328</v>
      </c>
      <c r="H741" s="83">
        <f>AVERAGEIFS(tbl_raw[Discount_Pct],tbl_raw[Product_Name],A741)</f>
        <v>0.23</v>
      </c>
    </row>
    <row r="742" spans="1:8" hidden="1" x14ac:dyDescent="0.25">
      <c r="A742" s="2" t="str">
        <v>Board Game - Model 119</v>
      </c>
      <c r="B742" s="2" t="str">
        <f>_xlfn.XLOOKUP(A742,tbl_raw[Product_Name],tbl_raw[Category])</f>
        <v>Toys</v>
      </c>
      <c r="C742" s="2">
        <f>COUNTIF(tbl_raw[Product_Name],A742)</f>
        <v>1</v>
      </c>
      <c r="D742" s="2">
        <f>SUMIFS(tbl_raw[Units_Sold],tbl_raw[Product_Name],A742)</f>
        <v>18</v>
      </c>
      <c r="E742" s="3">
        <f>SUMIFS(tbl_raw[Net_Profit],tbl_raw[Product_Name],A742)</f>
        <v>27648</v>
      </c>
      <c r="F742" s="2">
        <f>SUMIFS(tbl_raw[Return_Flag],tbl_raw[Product_Name],A742)</f>
        <v>0</v>
      </c>
      <c r="G742" s="3" cm="1">
        <f t="array" ref="G742">SUMPRODUCT((tbl_raw[Product_Name]=A742)*(tbl_raw[MRP]-tbl_raw[Selling_Price])*tbl_raw[Units_Sold])</f>
        <v>41670</v>
      </c>
      <c r="H742" s="83">
        <f>AVERAGEIFS(tbl_raw[Discount_Pct],tbl_raw[Product_Name],A742)</f>
        <v>0.3</v>
      </c>
    </row>
    <row r="743" spans="1:8" hidden="1" x14ac:dyDescent="0.25">
      <c r="A743" s="2" t="str">
        <v>Saree - Model 191</v>
      </c>
      <c r="B743" s="2" t="str">
        <f>_xlfn.XLOOKUP(A743,tbl_raw[Product_Name],tbl_raw[Category])</f>
        <v>Fashion</v>
      </c>
      <c r="C743" s="2">
        <f>COUNTIF(tbl_raw[Product_Name],A743)</f>
        <v>1</v>
      </c>
      <c r="D743" s="2">
        <f>SUMIFS(tbl_raw[Units_Sold],tbl_raw[Product_Name],A743)</f>
        <v>4</v>
      </c>
      <c r="E743" s="3">
        <f>SUMIFS(tbl_raw[Net_Profit],tbl_raw[Product_Name],A743)</f>
        <v>-2776</v>
      </c>
      <c r="F743" s="2">
        <f>SUMIFS(tbl_raw[Return_Flag],tbl_raw[Product_Name],A743)</f>
        <v>0</v>
      </c>
      <c r="G743" s="3" cm="1">
        <f t="array" ref="G743">SUMPRODUCT((tbl_raw[Product_Name]=A743)*(tbl_raw[MRP]-tbl_raw[Selling_Price])*tbl_raw[Units_Sold])</f>
        <v>8816</v>
      </c>
      <c r="H743" s="83">
        <f>AVERAGEIFS(tbl_raw[Discount_Pct],tbl_raw[Product_Name],A743)</f>
        <v>0.33</v>
      </c>
    </row>
    <row r="744" spans="1:8" hidden="1" x14ac:dyDescent="0.25">
      <c r="A744" s="2" t="str">
        <v>Textbook - Model 870</v>
      </c>
      <c r="B744" s="2" t="str">
        <f>_xlfn.XLOOKUP(A744,tbl_raw[Product_Name],tbl_raw[Category])</f>
        <v>Books</v>
      </c>
      <c r="C744" s="2">
        <f>COUNTIF(tbl_raw[Product_Name],A744)</f>
        <v>1</v>
      </c>
      <c r="D744" s="2">
        <f>SUMIFS(tbl_raw[Units_Sold],tbl_raw[Product_Name],A744)</f>
        <v>9</v>
      </c>
      <c r="E744" s="3">
        <f>SUMIFS(tbl_raw[Net_Profit],tbl_raw[Product_Name],A744)</f>
        <v>-117</v>
      </c>
      <c r="F744" s="2">
        <f>SUMIFS(tbl_raw[Return_Flag],tbl_raw[Product_Name],A744)</f>
        <v>0</v>
      </c>
      <c r="G744" s="3" cm="1">
        <f t="array" ref="G744">SUMPRODUCT((tbl_raw[Product_Name]=A744)*(tbl_raw[MRP]-tbl_raw[Selling_Price])*tbl_raw[Units_Sold])</f>
        <v>8388</v>
      </c>
      <c r="H744" s="83">
        <f>AVERAGEIFS(tbl_raw[Discount_Pct],tbl_raw[Product_Name],A744)</f>
        <v>0.44</v>
      </c>
    </row>
    <row r="745" spans="1:8" hidden="1" x14ac:dyDescent="0.25">
      <c r="A745" s="2" t="str">
        <v>Tablet - Model 587</v>
      </c>
      <c r="B745" s="2" t="str">
        <f>_xlfn.XLOOKUP(A745,tbl_raw[Product_Name],tbl_raw[Category])</f>
        <v>Electronics</v>
      </c>
      <c r="C745" s="2">
        <f>COUNTIF(tbl_raw[Product_Name],A745)</f>
        <v>1</v>
      </c>
      <c r="D745" s="2">
        <f>SUMIFS(tbl_raw[Units_Sold],tbl_raw[Product_Name],A745)</f>
        <v>1</v>
      </c>
      <c r="E745" s="3">
        <f>SUMIFS(tbl_raw[Net_Profit],tbl_raw[Product_Name],A745)</f>
        <v>391</v>
      </c>
      <c r="F745" s="2">
        <f>SUMIFS(tbl_raw[Return_Flag],tbl_raw[Product_Name],A745)</f>
        <v>1</v>
      </c>
      <c r="G745" s="3" cm="1">
        <f t="array" ref="G745">SUMPRODUCT((tbl_raw[Product_Name]=A745)*(tbl_raw[MRP]-tbl_raw[Selling_Price])*tbl_raw[Units_Sold])</f>
        <v>1035</v>
      </c>
      <c r="H745" s="83">
        <f>AVERAGEIFS(tbl_raw[Discount_Pct],tbl_raw[Product_Name],A745)</f>
        <v>0.19</v>
      </c>
    </row>
    <row r="746" spans="1:8" hidden="1" x14ac:dyDescent="0.25">
      <c r="A746" s="2" t="str">
        <v>Jacket - Model 131</v>
      </c>
      <c r="B746" s="2" t="str">
        <f>_xlfn.XLOOKUP(A746,tbl_raw[Product_Name],tbl_raw[Category])</f>
        <v>Fashion</v>
      </c>
      <c r="C746" s="2">
        <f>COUNTIF(tbl_raw[Product_Name],A746)</f>
        <v>1</v>
      </c>
      <c r="D746" s="2">
        <f>SUMIFS(tbl_raw[Units_Sold],tbl_raw[Product_Name],A746)</f>
        <v>4</v>
      </c>
      <c r="E746" s="3">
        <f>SUMIFS(tbl_raw[Net_Profit],tbl_raw[Product_Name],A746)</f>
        <v>-1040</v>
      </c>
      <c r="F746" s="2">
        <f>SUMIFS(tbl_raw[Return_Flag],tbl_raw[Product_Name],A746)</f>
        <v>0</v>
      </c>
      <c r="G746" s="3" cm="1">
        <f t="array" ref="G746">SUMPRODUCT((tbl_raw[Product_Name]=A746)*(tbl_raw[MRP]-tbl_raw[Selling_Price])*tbl_raw[Units_Sold])</f>
        <v>4372</v>
      </c>
      <c r="H746" s="83">
        <f>AVERAGEIFS(tbl_raw[Discount_Pct],tbl_raw[Product_Name],A746)</f>
        <v>0.37</v>
      </c>
    </row>
    <row r="747" spans="1:8" hidden="1" x14ac:dyDescent="0.25">
      <c r="A747" s="2" t="str">
        <v>Rice - Model 297</v>
      </c>
      <c r="B747" s="2" t="str">
        <f>_xlfn.XLOOKUP(A747,tbl_raw[Product_Name],tbl_raw[Category])</f>
        <v>Grocery</v>
      </c>
      <c r="C747" s="2">
        <f>COUNTIF(tbl_raw[Product_Name],A747)</f>
        <v>1</v>
      </c>
      <c r="D747" s="2">
        <f>SUMIFS(tbl_raw[Units_Sold],tbl_raw[Product_Name],A747)</f>
        <v>1</v>
      </c>
      <c r="E747" s="3">
        <f>SUMIFS(tbl_raw[Net_Profit],tbl_raw[Product_Name],A747)</f>
        <v>780</v>
      </c>
      <c r="F747" s="2">
        <f>SUMIFS(tbl_raw[Return_Flag],tbl_raw[Product_Name],A747)</f>
        <v>1</v>
      </c>
      <c r="G747" s="3" cm="1">
        <f t="array" ref="G747">SUMPRODUCT((tbl_raw[Product_Name]=A747)*(tbl_raw[MRP]-tbl_raw[Selling_Price])*tbl_raw[Units_Sold])</f>
        <v>19</v>
      </c>
      <c r="H747" s="83">
        <f>AVERAGEIFS(tbl_raw[Discount_Pct],tbl_raw[Product_Name],A747)</f>
        <v>0.01</v>
      </c>
    </row>
    <row r="748" spans="1:8" hidden="1" x14ac:dyDescent="0.25">
      <c r="A748" s="2" t="str">
        <v>Serum - Model 605</v>
      </c>
      <c r="B748" s="2" t="str">
        <f>_xlfn.XLOOKUP(A748,tbl_raw[Product_Name],tbl_raw[Category])</f>
        <v>Beauty</v>
      </c>
      <c r="C748" s="2">
        <f>COUNTIF(tbl_raw[Product_Name],A748)</f>
        <v>1</v>
      </c>
      <c r="D748" s="2">
        <f>SUMIFS(tbl_raw[Units_Sold],tbl_raw[Product_Name],A748)</f>
        <v>2</v>
      </c>
      <c r="E748" s="3">
        <f>SUMIFS(tbl_raw[Net_Profit],tbl_raw[Product_Name],A748)</f>
        <v>-396</v>
      </c>
      <c r="F748" s="2">
        <f>SUMIFS(tbl_raw[Return_Flag],tbl_raw[Product_Name],A748)</f>
        <v>1</v>
      </c>
      <c r="G748" s="3" cm="1">
        <f t="array" ref="G748">SUMPRODUCT((tbl_raw[Product_Name]=A748)*(tbl_raw[MRP]-tbl_raw[Selling_Price])*tbl_raw[Units_Sold])</f>
        <v>1960</v>
      </c>
      <c r="H748" s="83">
        <f>AVERAGEIFS(tbl_raw[Discount_Pct],tbl_raw[Product_Name],A748)</f>
        <v>0.41</v>
      </c>
    </row>
    <row r="749" spans="1:8" hidden="1" x14ac:dyDescent="0.25">
      <c r="A749" s="2" t="str">
        <v>Cycle - Model 612</v>
      </c>
      <c r="B749" s="2" t="str">
        <f>_xlfn.XLOOKUP(A749,tbl_raw[Product_Name],tbl_raw[Category])</f>
        <v>Sports</v>
      </c>
      <c r="C749" s="2">
        <f>COUNTIF(tbl_raw[Product_Name],A749)</f>
        <v>1</v>
      </c>
      <c r="D749" s="2">
        <f>SUMIFS(tbl_raw[Units_Sold],tbl_raw[Product_Name],A749)</f>
        <v>6</v>
      </c>
      <c r="E749" s="3">
        <f>SUMIFS(tbl_raw[Net_Profit],tbl_raw[Product_Name],A749)</f>
        <v>1968</v>
      </c>
      <c r="F749" s="2">
        <f>SUMIFS(tbl_raw[Return_Flag],tbl_raw[Product_Name],A749)</f>
        <v>0</v>
      </c>
      <c r="G749" s="3" cm="1">
        <f t="array" ref="G749">SUMPRODUCT((tbl_raw[Product_Name]=A749)*(tbl_raw[MRP]-tbl_raw[Selling_Price])*tbl_raw[Units_Sold])</f>
        <v>8106</v>
      </c>
      <c r="H749" s="83">
        <f>AVERAGEIFS(tbl_raw[Discount_Pct],tbl_raw[Product_Name],A749)</f>
        <v>0.3</v>
      </c>
    </row>
    <row r="750" spans="1:8" hidden="1" x14ac:dyDescent="0.25">
      <c r="A750" s="2" t="str">
        <v>Bedsheet - Model 683</v>
      </c>
      <c r="B750" s="2" t="str">
        <f>_xlfn.XLOOKUP(A750,tbl_raw[Product_Name],tbl_raw[Category])</f>
        <v>Home &amp; Kitchen</v>
      </c>
      <c r="C750" s="2">
        <f>COUNTIF(tbl_raw[Product_Name],A750)</f>
        <v>1</v>
      </c>
      <c r="D750" s="2">
        <f>SUMIFS(tbl_raw[Units_Sold],tbl_raw[Product_Name],A750)</f>
        <v>17</v>
      </c>
      <c r="E750" s="3">
        <f>SUMIFS(tbl_raw[Net_Profit],tbl_raw[Product_Name],A750)</f>
        <v>17782</v>
      </c>
      <c r="F750" s="2">
        <f>SUMIFS(tbl_raw[Return_Flag],tbl_raw[Product_Name],A750)</f>
        <v>0</v>
      </c>
      <c r="G750" s="3" cm="1">
        <f t="array" ref="G750">SUMPRODUCT((tbl_raw[Product_Name]=A750)*(tbl_raw[MRP]-tbl_raw[Selling_Price])*tbl_raw[Units_Sold])</f>
        <v>12002</v>
      </c>
      <c r="H750" s="83">
        <f>AVERAGEIFS(tbl_raw[Discount_Pct],tbl_raw[Product_Name],A750)</f>
        <v>0.12</v>
      </c>
    </row>
    <row r="751" spans="1:8" hidden="1" x14ac:dyDescent="0.25">
      <c r="A751" s="2" t="str">
        <v>Action Figure - Model 974</v>
      </c>
      <c r="B751" s="2" t="str">
        <f>_xlfn.XLOOKUP(A751,tbl_raw[Product_Name],tbl_raw[Category])</f>
        <v>Toys</v>
      </c>
      <c r="C751" s="2">
        <f>COUNTIF(tbl_raw[Product_Name],A751)</f>
        <v>1</v>
      </c>
      <c r="D751" s="2">
        <f>SUMIFS(tbl_raw[Units_Sold],tbl_raw[Product_Name],A751)</f>
        <v>14</v>
      </c>
      <c r="E751" s="3">
        <f>SUMIFS(tbl_raw[Net_Profit],tbl_raw[Product_Name],A751)</f>
        <v>34356</v>
      </c>
      <c r="F751" s="2">
        <f>SUMIFS(tbl_raw[Return_Flag],tbl_raw[Product_Name],A751)</f>
        <v>1</v>
      </c>
      <c r="G751" s="3" cm="1">
        <f t="array" ref="G751">SUMPRODUCT((tbl_raw[Product_Name]=A751)*(tbl_raw[MRP]-tbl_raw[Selling_Price])*tbl_raw[Units_Sold])</f>
        <v>17094</v>
      </c>
      <c r="H751" s="83">
        <f>AVERAGEIFS(tbl_raw[Discount_Pct],tbl_raw[Product_Name],A751)</f>
        <v>0.18</v>
      </c>
    </row>
    <row r="752" spans="1:8" hidden="1" x14ac:dyDescent="0.25">
      <c r="A752" s="2" t="str">
        <v>Headphones - Model 530</v>
      </c>
      <c r="B752" s="2" t="str">
        <f>_xlfn.XLOOKUP(A752,tbl_raw[Product_Name],tbl_raw[Category])</f>
        <v>Electronics</v>
      </c>
      <c r="C752" s="2">
        <f>COUNTIF(tbl_raw[Product_Name],A752)</f>
        <v>1</v>
      </c>
      <c r="D752" s="2">
        <f>SUMIFS(tbl_raw[Units_Sold],tbl_raw[Product_Name],A752)</f>
        <v>15</v>
      </c>
      <c r="E752" s="3">
        <f>SUMIFS(tbl_raw[Net_Profit],tbl_raw[Product_Name],A752)</f>
        <v>9690</v>
      </c>
      <c r="F752" s="2">
        <f>SUMIFS(tbl_raw[Return_Flag],tbl_raw[Product_Name],A752)</f>
        <v>0</v>
      </c>
      <c r="G752" s="3" cm="1">
        <f t="array" ref="G752">SUMPRODUCT((tbl_raw[Product_Name]=A752)*(tbl_raw[MRP]-tbl_raw[Selling_Price])*tbl_raw[Units_Sold])</f>
        <v>7200</v>
      </c>
      <c r="H752" s="83">
        <f>AVERAGEIFS(tbl_raw[Discount_Pct],tbl_raw[Product_Name],A752)</f>
        <v>0.18</v>
      </c>
    </row>
    <row r="753" spans="1:8" hidden="1" x14ac:dyDescent="0.25">
      <c r="A753" s="2" t="str">
        <v>Jeans - Model 301</v>
      </c>
      <c r="B753" s="2" t="str">
        <f>_xlfn.XLOOKUP(A753,tbl_raw[Product_Name],tbl_raw[Category])</f>
        <v>Fashion</v>
      </c>
      <c r="C753" s="2">
        <f>COUNTIF(tbl_raw[Product_Name],A753)</f>
        <v>1</v>
      </c>
      <c r="D753" s="2">
        <f>SUMIFS(tbl_raw[Units_Sold],tbl_raw[Product_Name],A753)</f>
        <v>11</v>
      </c>
      <c r="E753" s="3">
        <f>SUMIFS(tbl_raw[Net_Profit],tbl_raw[Product_Name],A753)</f>
        <v>7139</v>
      </c>
      <c r="F753" s="2">
        <f>SUMIFS(tbl_raw[Return_Flag],tbl_raw[Product_Name],A753)</f>
        <v>0</v>
      </c>
      <c r="G753" s="3" cm="1">
        <f t="array" ref="G753">SUMPRODUCT((tbl_raw[Product_Name]=A753)*(tbl_raw[MRP]-tbl_raw[Selling_Price])*tbl_raw[Units_Sold])</f>
        <v>8085</v>
      </c>
      <c r="H753" s="83">
        <f>AVERAGEIFS(tbl_raw[Discount_Pct],tbl_raw[Product_Name],A753)</f>
        <v>0.28000000000000003</v>
      </c>
    </row>
    <row r="754" spans="1:8" hidden="1" x14ac:dyDescent="0.25">
      <c r="A754" s="2" t="str">
        <v>Cricket Bat - Model 210</v>
      </c>
      <c r="B754" s="2" t="str">
        <f>_xlfn.XLOOKUP(A754,tbl_raw[Product_Name],tbl_raw[Category])</f>
        <v>Sports</v>
      </c>
      <c r="C754" s="2">
        <f>COUNTIF(tbl_raw[Product_Name],A754)</f>
        <v>1</v>
      </c>
      <c r="D754" s="2">
        <f>SUMIFS(tbl_raw[Units_Sold],tbl_raw[Product_Name],A754)</f>
        <v>8</v>
      </c>
      <c r="E754" s="3">
        <f>SUMIFS(tbl_raw[Net_Profit],tbl_raw[Product_Name],A754)</f>
        <v>-4400</v>
      </c>
      <c r="F754" s="2">
        <f>SUMIFS(tbl_raw[Return_Flag],tbl_raw[Product_Name],A754)</f>
        <v>0</v>
      </c>
      <c r="G754" s="3" cm="1">
        <f t="array" ref="G754">SUMPRODUCT((tbl_raw[Product_Name]=A754)*(tbl_raw[MRP]-tbl_raw[Selling_Price])*tbl_raw[Units_Sold])</f>
        <v>22728</v>
      </c>
      <c r="H754" s="83">
        <f>AVERAGEIFS(tbl_raw[Discount_Pct],tbl_raw[Product_Name],A754)</f>
        <v>0.37</v>
      </c>
    </row>
    <row r="755" spans="1:8" hidden="1" x14ac:dyDescent="0.25">
      <c r="A755" s="2" t="str">
        <v>Shoes - Model 692</v>
      </c>
      <c r="B755" s="2" t="str">
        <f>_xlfn.XLOOKUP(A755,tbl_raw[Product_Name],tbl_raw[Category])</f>
        <v>Fashion</v>
      </c>
      <c r="C755" s="2">
        <f>COUNTIF(tbl_raw[Product_Name],A755)</f>
        <v>1</v>
      </c>
      <c r="D755" s="2">
        <f>SUMIFS(tbl_raw[Units_Sold],tbl_raw[Product_Name],A755)</f>
        <v>3</v>
      </c>
      <c r="E755" s="3">
        <f>SUMIFS(tbl_raw[Net_Profit],tbl_raw[Product_Name],A755)</f>
        <v>864</v>
      </c>
      <c r="F755" s="2">
        <f>SUMIFS(tbl_raw[Return_Flag],tbl_raw[Product_Name],A755)</f>
        <v>0</v>
      </c>
      <c r="G755" s="3" cm="1">
        <f t="array" ref="G755">SUMPRODUCT((tbl_raw[Product_Name]=A755)*(tbl_raw[MRP]-tbl_raw[Selling_Price])*tbl_raw[Units_Sold])</f>
        <v>9594</v>
      </c>
      <c r="H755" s="83">
        <f>AVERAGEIFS(tbl_raw[Discount_Pct],tbl_raw[Product_Name],A755)</f>
        <v>0.41</v>
      </c>
    </row>
    <row r="756" spans="1:8" hidden="1" x14ac:dyDescent="0.25">
      <c r="A756" s="2" t="str">
        <v>Cycle - Model 741</v>
      </c>
      <c r="B756" s="2" t="str">
        <f>_xlfn.XLOOKUP(A756,tbl_raw[Product_Name],tbl_raw[Category])</f>
        <v>Sports</v>
      </c>
      <c r="C756" s="2">
        <f>COUNTIF(tbl_raw[Product_Name],A756)</f>
        <v>1</v>
      </c>
      <c r="D756" s="2">
        <f>SUMIFS(tbl_raw[Units_Sold],tbl_raw[Product_Name],A756)</f>
        <v>3</v>
      </c>
      <c r="E756" s="3">
        <f>SUMIFS(tbl_raw[Net_Profit],tbl_raw[Product_Name],A756)</f>
        <v>1173</v>
      </c>
      <c r="F756" s="2">
        <f>SUMIFS(tbl_raw[Return_Flag],tbl_raw[Product_Name],A756)</f>
        <v>1</v>
      </c>
      <c r="G756" s="3" cm="1">
        <f t="array" ref="G756">SUMPRODUCT((tbl_raw[Product_Name]=A756)*(tbl_raw[MRP]-tbl_raw[Selling_Price])*tbl_raw[Units_Sold])</f>
        <v>90</v>
      </c>
      <c r="H756" s="83">
        <f>AVERAGEIFS(tbl_raw[Discount_Pct],tbl_raw[Product_Name],A756)</f>
        <v>0.03</v>
      </c>
    </row>
    <row r="757" spans="1:8" hidden="1" x14ac:dyDescent="0.25">
      <c r="A757" s="2" t="str">
        <v>Smartwatch - Model 493</v>
      </c>
      <c r="B757" s="2" t="str">
        <f>_xlfn.XLOOKUP(A757,tbl_raw[Product_Name],tbl_raw[Category])</f>
        <v>Electronics</v>
      </c>
      <c r="C757" s="2">
        <f>COUNTIF(tbl_raw[Product_Name],A757)</f>
        <v>1</v>
      </c>
      <c r="D757" s="2">
        <f>SUMIFS(tbl_raw[Units_Sold],tbl_raw[Product_Name],A757)</f>
        <v>14</v>
      </c>
      <c r="E757" s="3">
        <f>SUMIFS(tbl_raw[Net_Profit],tbl_raw[Product_Name],A757)</f>
        <v>17500</v>
      </c>
      <c r="F757" s="2">
        <f>SUMIFS(tbl_raw[Return_Flag],tbl_raw[Product_Name],A757)</f>
        <v>0</v>
      </c>
      <c r="G757" s="3" cm="1">
        <f t="array" ref="G757">SUMPRODUCT((tbl_raw[Product_Name]=A757)*(tbl_raw[MRP]-tbl_raw[Selling_Price])*tbl_raw[Units_Sold])</f>
        <v>27692</v>
      </c>
      <c r="H757" s="83">
        <f>AVERAGEIFS(tbl_raw[Discount_Pct],tbl_raw[Product_Name],A757)</f>
        <v>0.28000000000000003</v>
      </c>
    </row>
    <row r="758" spans="1:8" hidden="1" x14ac:dyDescent="0.25">
      <c r="A758" s="2" t="str">
        <v>Kurta - Model 709</v>
      </c>
      <c r="B758" s="2" t="str">
        <f>_xlfn.XLOOKUP(A758,tbl_raw[Product_Name],tbl_raw[Category])</f>
        <v>Fashion</v>
      </c>
      <c r="C758" s="2">
        <f>COUNTIF(tbl_raw[Product_Name],A758)</f>
        <v>1</v>
      </c>
      <c r="D758" s="2">
        <f>SUMIFS(tbl_raw[Units_Sold],tbl_raw[Product_Name],A758)</f>
        <v>19</v>
      </c>
      <c r="E758" s="3">
        <f>SUMIFS(tbl_raw[Net_Profit],tbl_raw[Product_Name],A758)</f>
        <v>34979</v>
      </c>
      <c r="F758" s="2">
        <f>SUMIFS(tbl_raw[Return_Flag],tbl_raw[Product_Name],A758)</f>
        <v>0</v>
      </c>
      <c r="G758" s="3" cm="1">
        <f t="array" ref="G758">SUMPRODUCT((tbl_raw[Product_Name]=A758)*(tbl_raw[MRP]-tbl_raw[Selling_Price])*tbl_raw[Units_Sold])</f>
        <v>10868</v>
      </c>
      <c r="H758" s="83">
        <f>AVERAGEIFS(tbl_raw[Discount_Pct],tbl_raw[Product_Name],A758)</f>
        <v>0.09</v>
      </c>
    </row>
    <row r="759" spans="1:8" hidden="1" x14ac:dyDescent="0.25">
      <c r="A759" s="2" t="str">
        <v>Pressure Cooker - Model 240</v>
      </c>
      <c r="B759" s="2" t="str">
        <f>_xlfn.XLOOKUP(A759,tbl_raw[Product_Name],tbl_raw[Category])</f>
        <v>Home &amp; Kitchen</v>
      </c>
      <c r="C759" s="2">
        <f>COUNTIF(tbl_raw[Product_Name],A759)</f>
        <v>1</v>
      </c>
      <c r="D759" s="2">
        <f>SUMIFS(tbl_raw[Units_Sold],tbl_raw[Product_Name],A759)</f>
        <v>2</v>
      </c>
      <c r="E759" s="3">
        <f>SUMIFS(tbl_raw[Net_Profit],tbl_raw[Product_Name],A759)</f>
        <v>128</v>
      </c>
      <c r="F759" s="2">
        <f>SUMIFS(tbl_raw[Return_Flag],tbl_raw[Product_Name],A759)</f>
        <v>0</v>
      </c>
      <c r="G759" s="3" cm="1">
        <f t="array" ref="G759">SUMPRODUCT((tbl_raw[Product_Name]=A759)*(tbl_raw[MRP]-tbl_raw[Selling_Price])*tbl_raw[Units_Sold])</f>
        <v>622</v>
      </c>
      <c r="H759" s="83">
        <f>AVERAGEIFS(tbl_raw[Discount_Pct],tbl_raw[Product_Name],A759)</f>
        <v>0.26</v>
      </c>
    </row>
    <row r="760" spans="1:8" hidden="1" x14ac:dyDescent="0.25">
      <c r="A760" s="2" t="str">
        <v>Rice - Model 717</v>
      </c>
      <c r="B760" s="2" t="str">
        <f>_xlfn.XLOOKUP(A760,tbl_raw[Product_Name],tbl_raw[Category])</f>
        <v>Grocery</v>
      </c>
      <c r="C760" s="2">
        <f>COUNTIF(tbl_raw[Product_Name],A760)</f>
        <v>1</v>
      </c>
      <c r="D760" s="2">
        <f>SUMIFS(tbl_raw[Units_Sold],tbl_raw[Product_Name],A760)</f>
        <v>10</v>
      </c>
      <c r="E760" s="3">
        <f>SUMIFS(tbl_raw[Net_Profit],tbl_raw[Product_Name],A760)</f>
        <v>10830</v>
      </c>
      <c r="F760" s="2">
        <f>SUMIFS(tbl_raw[Return_Flag],tbl_raw[Product_Name],A760)</f>
        <v>1</v>
      </c>
      <c r="G760" s="3" cm="1">
        <f t="array" ref="G760">SUMPRODUCT((tbl_raw[Product_Name]=A760)*(tbl_raw[MRP]-tbl_raw[Selling_Price])*tbl_raw[Units_Sold])</f>
        <v>0</v>
      </c>
      <c r="H760" s="83">
        <f>AVERAGEIFS(tbl_raw[Discount_Pct],tbl_raw[Product_Name],A760)</f>
        <v>0</v>
      </c>
    </row>
    <row r="761" spans="1:8" hidden="1" x14ac:dyDescent="0.25">
      <c r="A761" s="2" t="str">
        <v>Smartwatch - Model 452</v>
      </c>
      <c r="B761" s="2" t="str">
        <f>_xlfn.XLOOKUP(A761,tbl_raw[Product_Name],tbl_raw[Category])</f>
        <v>Electronics</v>
      </c>
      <c r="C761" s="2">
        <f>COUNTIF(tbl_raw[Product_Name],A761)</f>
        <v>1</v>
      </c>
      <c r="D761" s="2">
        <f>SUMIFS(tbl_raw[Units_Sold],tbl_raw[Product_Name],A761)</f>
        <v>7</v>
      </c>
      <c r="E761" s="3">
        <f>SUMIFS(tbl_raw[Net_Profit],tbl_raw[Product_Name],A761)</f>
        <v>17269</v>
      </c>
      <c r="F761" s="2">
        <f>SUMIFS(tbl_raw[Return_Flag],tbl_raw[Product_Name],A761)</f>
        <v>0</v>
      </c>
      <c r="G761" s="3" cm="1">
        <f t="array" ref="G761">SUMPRODUCT((tbl_raw[Product_Name]=A761)*(tbl_raw[MRP]-tbl_raw[Selling_Price])*tbl_raw[Units_Sold])</f>
        <v>3276</v>
      </c>
      <c r="H761" s="83">
        <f>AVERAGEIFS(tbl_raw[Discount_Pct],tbl_raw[Product_Name],A761)</f>
        <v>0.09</v>
      </c>
    </row>
    <row r="762" spans="1:8" hidden="1" x14ac:dyDescent="0.25">
      <c r="A762" s="2" t="str">
        <v>Comic - Model 679</v>
      </c>
      <c r="B762" s="2" t="str">
        <f>_xlfn.XLOOKUP(A762,tbl_raw[Product_Name],tbl_raw[Category])</f>
        <v>Books</v>
      </c>
      <c r="C762" s="2">
        <f>COUNTIF(tbl_raw[Product_Name],A762)</f>
        <v>1</v>
      </c>
      <c r="D762" s="2">
        <f>SUMIFS(tbl_raw[Units_Sold],tbl_raw[Product_Name],A762)</f>
        <v>20</v>
      </c>
      <c r="E762" s="3">
        <f>SUMIFS(tbl_raw[Net_Profit],tbl_raw[Product_Name],A762)</f>
        <v>17740</v>
      </c>
      <c r="F762" s="2">
        <f>SUMIFS(tbl_raw[Return_Flag],tbl_raw[Product_Name],A762)</f>
        <v>0</v>
      </c>
      <c r="G762" s="3" cm="1">
        <f t="array" ref="G762">SUMPRODUCT((tbl_raw[Product_Name]=A762)*(tbl_raw[MRP]-tbl_raw[Selling_Price])*tbl_raw[Units_Sold])</f>
        <v>7620</v>
      </c>
      <c r="H762" s="83">
        <f>AVERAGEIFS(tbl_raw[Discount_Pct],tbl_raw[Product_Name],A762)</f>
        <v>0.15</v>
      </c>
    </row>
    <row r="763" spans="1:8" hidden="1" x14ac:dyDescent="0.25">
      <c r="A763" s="2" t="str">
        <v>Perfume - Model 738</v>
      </c>
      <c r="B763" s="2" t="str">
        <f>_xlfn.XLOOKUP(A763,tbl_raw[Product_Name],tbl_raw[Category])</f>
        <v>Beauty</v>
      </c>
      <c r="C763" s="2">
        <f>COUNTIF(tbl_raw[Product_Name],A763)</f>
        <v>1</v>
      </c>
      <c r="D763" s="2">
        <f>SUMIFS(tbl_raw[Units_Sold],tbl_raw[Product_Name],A763)</f>
        <v>8</v>
      </c>
      <c r="E763" s="3">
        <f>SUMIFS(tbl_raw[Net_Profit],tbl_raw[Product_Name],A763)</f>
        <v>-2312</v>
      </c>
      <c r="F763" s="2">
        <f>SUMIFS(tbl_raw[Return_Flag],tbl_raw[Product_Name],A763)</f>
        <v>0</v>
      </c>
      <c r="G763" s="3" cm="1">
        <f t="array" ref="G763">SUMPRODUCT((tbl_raw[Product_Name]=A763)*(tbl_raw[MRP]-tbl_raw[Selling_Price])*tbl_raw[Units_Sold])</f>
        <v>11056</v>
      </c>
      <c r="H763" s="83">
        <f>AVERAGEIFS(tbl_raw[Discount_Pct],tbl_raw[Product_Name],A763)</f>
        <v>0.35</v>
      </c>
    </row>
    <row r="764" spans="1:8" hidden="1" x14ac:dyDescent="0.25">
      <c r="A764" s="2" t="str">
        <v>Mobile - Model 466</v>
      </c>
      <c r="B764" s="2" t="str">
        <f>_xlfn.XLOOKUP(A764,tbl_raw[Product_Name],tbl_raw[Category])</f>
        <v>Electronics</v>
      </c>
      <c r="C764" s="2">
        <f>COUNTIF(tbl_raw[Product_Name],A764)</f>
        <v>1</v>
      </c>
      <c r="D764" s="2">
        <f>SUMIFS(tbl_raw[Units_Sold],tbl_raw[Product_Name],A764)</f>
        <v>18</v>
      </c>
      <c r="E764" s="3">
        <f>SUMIFS(tbl_raw[Net_Profit],tbl_raw[Product_Name],A764)</f>
        <v>5814</v>
      </c>
      <c r="F764" s="2">
        <f>SUMIFS(tbl_raw[Return_Flag],tbl_raw[Product_Name],A764)</f>
        <v>0</v>
      </c>
      <c r="G764" s="3" cm="1">
        <f t="array" ref="G764">SUMPRODUCT((tbl_raw[Product_Name]=A764)*(tbl_raw[MRP]-tbl_raw[Selling_Price])*tbl_raw[Units_Sold])</f>
        <v>2574</v>
      </c>
      <c r="H764" s="83">
        <f>AVERAGEIFS(tbl_raw[Discount_Pct],tbl_raw[Product_Name],A764)</f>
        <v>0.13</v>
      </c>
    </row>
    <row r="765" spans="1:8" hidden="1" x14ac:dyDescent="0.25">
      <c r="A765" s="2" t="str">
        <v>Pressure Cooker - Model 368</v>
      </c>
      <c r="B765" s="2" t="str">
        <f>_xlfn.XLOOKUP(A765,tbl_raw[Product_Name],tbl_raw[Category])</f>
        <v>Home &amp; Kitchen</v>
      </c>
      <c r="C765" s="2">
        <f>COUNTIF(tbl_raw[Product_Name],A765)</f>
        <v>1</v>
      </c>
      <c r="D765" s="2">
        <f>SUMIFS(tbl_raw[Units_Sold],tbl_raw[Product_Name],A765)</f>
        <v>11</v>
      </c>
      <c r="E765" s="3">
        <f>SUMIFS(tbl_raw[Net_Profit],tbl_raw[Product_Name],A765)</f>
        <v>30954</v>
      </c>
      <c r="F765" s="2">
        <f>SUMIFS(tbl_raw[Return_Flag],tbl_raw[Product_Name],A765)</f>
        <v>0</v>
      </c>
      <c r="G765" s="3" cm="1">
        <f t="array" ref="G765">SUMPRODUCT((tbl_raw[Product_Name]=A765)*(tbl_raw[MRP]-tbl_raw[Selling_Price])*tbl_raw[Units_Sold])</f>
        <v>8239</v>
      </c>
      <c r="H765" s="83">
        <f>AVERAGEIFS(tbl_raw[Discount_Pct],tbl_raw[Product_Name],A765)</f>
        <v>0.11</v>
      </c>
    </row>
    <row r="766" spans="1:8" hidden="1" x14ac:dyDescent="0.25">
      <c r="A766" s="2" t="str">
        <v>Action Figure - Model 446</v>
      </c>
      <c r="B766" s="2" t="str">
        <f>_xlfn.XLOOKUP(A766,tbl_raw[Product_Name],tbl_raw[Category])</f>
        <v>Toys</v>
      </c>
      <c r="C766" s="2">
        <f>COUNTIF(tbl_raw[Product_Name],A766)</f>
        <v>1</v>
      </c>
      <c r="D766" s="2">
        <f>SUMIFS(tbl_raw[Units_Sold],tbl_raw[Product_Name],A766)</f>
        <v>10</v>
      </c>
      <c r="E766" s="3">
        <f>SUMIFS(tbl_raw[Net_Profit],tbl_raw[Product_Name],A766)</f>
        <v>10700</v>
      </c>
      <c r="F766" s="2">
        <f>SUMIFS(tbl_raw[Return_Flag],tbl_raw[Product_Name],A766)</f>
        <v>0</v>
      </c>
      <c r="G766" s="3" cm="1">
        <f t="array" ref="G766">SUMPRODUCT((tbl_raw[Product_Name]=A766)*(tbl_raw[MRP]-tbl_raw[Selling_Price])*tbl_raw[Units_Sold])</f>
        <v>6390</v>
      </c>
      <c r="H766" s="83">
        <f>AVERAGEIFS(tbl_raw[Discount_Pct],tbl_raw[Product_Name],A766)</f>
        <v>0.17</v>
      </c>
    </row>
    <row r="767" spans="1:8" hidden="1" x14ac:dyDescent="0.25">
      <c r="A767" s="2" t="str">
        <v>Kurta - Model 247</v>
      </c>
      <c r="B767" s="2" t="str">
        <f>_xlfn.XLOOKUP(A767,tbl_raw[Product_Name],tbl_raw[Category])</f>
        <v>Fashion</v>
      </c>
      <c r="C767" s="2">
        <f>COUNTIF(tbl_raw[Product_Name],A767)</f>
        <v>1</v>
      </c>
      <c r="D767" s="2">
        <f>SUMIFS(tbl_raw[Units_Sold],tbl_raw[Product_Name],A767)</f>
        <v>7</v>
      </c>
      <c r="E767" s="3">
        <f>SUMIFS(tbl_raw[Net_Profit],tbl_raw[Product_Name],A767)</f>
        <v>2709</v>
      </c>
      <c r="F767" s="2">
        <f>SUMIFS(tbl_raw[Return_Flag],tbl_raw[Product_Name],A767)</f>
        <v>0</v>
      </c>
      <c r="G767" s="3" cm="1">
        <f t="array" ref="G767">SUMPRODUCT((tbl_raw[Product_Name]=A767)*(tbl_raw[MRP]-tbl_raw[Selling_Price])*tbl_raw[Units_Sold])</f>
        <v>2016</v>
      </c>
      <c r="H767" s="83">
        <f>AVERAGEIFS(tbl_raw[Discount_Pct],tbl_raw[Product_Name],A767)</f>
        <v>0.17</v>
      </c>
    </row>
    <row r="768" spans="1:8" hidden="1" x14ac:dyDescent="0.25">
      <c r="A768" s="2" t="str">
        <v>Cricket Bat - Model 435</v>
      </c>
      <c r="B768" s="2" t="str">
        <f>_xlfn.XLOOKUP(A768,tbl_raw[Product_Name],tbl_raw[Category])</f>
        <v>Sports</v>
      </c>
      <c r="C768" s="2">
        <f>COUNTIF(tbl_raw[Product_Name],A768)</f>
        <v>2</v>
      </c>
      <c r="D768" s="2">
        <f>SUMIFS(tbl_raw[Units_Sold],tbl_raw[Product_Name],A768)</f>
        <v>14</v>
      </c>
      <c r="E768" s="3">
        <f>SUMIFS(tbl_raw[Net_Profit],tbl_raw[Product_Name],A768)</f>
        <v>4548</v>
      </c>
      <c r="F768" s="2">
        <f>SUMIFS(tbl_raw[Return_Flag],tbl_raw[Product_Name],A768)</f>
        <v>1</v>
      </c>
      <c r="G768" s="3" cm="1">
        <f t="array" ref="G768">SUMPRODUCT((tbl_raw[Product_Name]=A768)*(tbl_raw[MRP]-tbl_raw[Selling_Price])*tbl_raw[Units_Sold])</f>
        <v>18044</v>
      </c>
      <c r="H768" s="83">
        <f>AVERAGEIFS(tbl_raw[Discount_Pct],tbl_raw[Product_Name],A768)</f>
        <v>0.19500000000000001</v>
      </c>
    </row>
    <row r="769" spans="1:8" hidden="1" x14ac:dyDescent="0.25">
      <c r="A769" s="2" t="str">
        <v>Spices - Model 166</v>
      </c>
      <c r="B769" s="2" t="str">
        <f>_xlfn.XLOOKUP(A769,tbl_raw[Product_Name],tbl_raw[Category])</f>
        <v>Grocery</v>
      </c>
      <c r="C769" s="2">
        <f>COUNTIF(tbl_raw[Product_Name],A769)</f>
        <v>1</v>
      </c>
      <c r="D769" s="2">
        <f>SUMIFS(tbl_raw[Units_Sold],tbl_raw[Product_Name],A769)</f>
        <v>17</v>
      </c>
      <c r="E769" s="3">
        <f>SUMIFS(tbl_raw[Net_Profit],tbl_raw[Product_Name],A769)</f>
        <v>-4913</v>
      </c>
      <c r="F769" s="2">
        <f>SUMIFS(tbl_raw[Return_Flag],tbl_raw[Product_Name],A769)</f>
        <v>0</v>
      </c>
      <c r="G769" s="3" cm="1">
        <f t="array" ref="G769">SUMPRODUCT((tbl_raw[Product_Name]=A769)*(tbl_raw[MRP]-tbl_raw[Selling_Price])*tbl_raw[Units_Sold])</f>
        <v>21947</v>
      </c>
      <c r="H769" s="83">
        <f>AVERAGEIFS(tbl_raw[Discount_Pct],tbl_raw[Product_Name],A769)</f>
        <v>0.4</v>
      </c>
    </row>
    <row r="770" spans="1:8" hidden="1" x14ac:dyDescent="0.25">
      <c r="A770" s="2" t="str">
        <v>Pulses - Model 585</v>
      </c>
      <c r="B770" s="2" t="str">
        <f>_xlfn.XLOOKUP(A770,tbl_raw[Product_Name],tbl_raw[Category])</f>
        <v>Grocery</v>
      </c>
      <c r="C770" s="2">
        <f>COUNTIF(tbl_raw[Product_Name],A770)</f>
        <v>1</v>
      </c>
      <c r="D770" s="2">
        <f>SUMIFS(tbl_raw[Units_Sold],tbl_raw[Product_Name],A770)</f>
        <v>19</v>
      </c>
      <c r="E770" s="3">
        <f>SUMIFS(tbl_raw[Net_Profit],tbl_raw[Product_Name],A770)</f>
        <v>-1577</v>
      </c>
      <c r="F770" s="2">
        <f>SUMIFS(tbl_raw[Return_Flag],tbl_raw[Product_Name],A770)</f>
        <v>0</v>
      </c>
      <c r="G770" s="3" cm="1">
        <f t="array" ref="G770">SUMPRODUCT((tbl_raw[Product_Name]=A770)*(tbl_raw[MRP]-tbl_raw[Selling_Price])*tbl_raw[Units_Sold])</f>
        <v>25916</v>
      </c>
      <c r="H770" s="83">
        <f>AVERAGEIFS(tbl_raw[Discount_Pct],tbl_raw[Product_Name],A770)</f>
        <v>0.41</v>
      </c>
    </row>
    <row r="771" spans="1:8" hidden="1" x14ac:dyDescent="0.25">
      <c r="A771" s="2" t="str">
        <v>Lipstick - Model 535</v>
      </c>
      <c r="B771" s="2" t="str">
        <f>_xlfn.XLOOKUP(A771,tbl_raw[Product_Name],tbl_raw[Category])</f>
        <v>Beauty</v>
      </c>
      <c r="C771" s="2">
        <f>COUNTIF(tbl_raw[Product_Name],A771)</f>
        <v>1</v>
      </c>
      <c r="D771" s="2">
        <f>SUMIFS(tbl_raw[Units_Sold],tbl_raw[Product_Name],A771)</f>
        <v>19</v>
      </c>
      <c r="E771" s="3">
        <f>SUMIFS(tbl_raw[Net_Profit],tbl_raw[Product_Name],A771)</f>
        <v>2736</v>
      </c>
      <c r="F771" s="2">
        <f>SUMIFS(tbl_raw[Return_Flag],tbl_raw[Product_Name],A771)</f>
        <v>0</v>
      </c>
      <c r="G771" s="3" cm="1">
        <f t="array" ref="G771">SUMPRODUCT((tbl_raw[Product_Name]=A771)*(tbl_raw[MRP]-tbl_raw[Selling_Price])*tbl_raw[Units_Sold])</f>
        <v>10298</v>
      </c>
      <c r="H771" s="83">
        <f>AVERAGEIFS(tbl_raw[Discount_Pct],tbl_raw[Product_Name],A771)</f>
        <v>0.38</v>
      </c>
    </row>
    <row r="772" spans="1:8" hidden="1" x14ac:dyDescent="0.25">
      <c r="A772" s="2" t="str">
        <v>Smartwatch - Model 624</v>
      </c>
      <c r="B772" s="2" t="str">
        <f>_xlfn.XLOOKUP(A772,tbl_raw[Product_Name],tbl_raw[Category])</f>
        <v>Electronics</v>
      </c>
      <c r="C772" s="2">
        <f>COUNTIF(tbl_raw[Product_Name],A772)</f>
        <v>1</v>
      </c>
      <c r="D772" s="2">
        <f>SUMIFS(tbl_raw[Units_Sold],tbl_raw[Product_Name],A772)</f>
        <v>11</v>
      </c>
      <c r="E772" s="3">
        <f>SUMIFS(tbl_raw[Net_Profit],tbl_raw[Product_Name],A772)</f>
        <v>7909</v>
      </c>
      <c r="F772" s="2">
        <f>SUMIFS(tbl_raw[Return_Flag],tbl_raw[Product_Name],A772)</f>
        <v>0</v>
      </c>
      <c r="G772" s="3" cm="1">
        <f t="array" ref="G772">SUMPRODUCT((tbl_raw[Product_Name]=A772)*(tbl_raw[MRP]-tbl_raw[Selling_Price])*tbl_raw[Units_Sold])</f>
        <v>8140</v>
      </c>
      <c r="H772" s="83">
        <f>AVERAGEIFS(tbl_raw[Discount_Pct],tbl_raw[Product_Name],A772)</f>
        <v>0.21</v>
      </c>
    </row>
    <row r="773" spans="1:8" hidden="1" x14ac:dyDescent="0.25">
      <c r="A773" s="2" t="str">
        <v>Shoes - Model 467</v>
      </c>
      <c r="B773" s="2" t="str">
        <f>_xlfn.XLOOKUP(A773,tbl_raw[Product_Name],tbl_raw[Category])</f>
        <v>Sports</v>
      </c>
      <c r="C773" s="2">
        <f>COUNTIF(tbl_raw[Product_Name],A773)</f>
        <v>1</v>
      </c>
      <c r="D773" s="2">
        <f>SUMIFS(tbl_raw[Units_Sold],tbl_raw[Product_Name],A773)</f>
        <v>10</v>
      </c>
      <c r="E773" s="3">
        <f>SUMIFS(tbl_raw[Net_Profit],tbl_raw[Product_Name],A773)</f>
        <v>8320</v>
      </c>
      <c r="F773" s="2">
        <f>SUMIFS(tbl_raw[Return_Flag],tbl_raw[Product_Name],A773)</f>
        <v>0</v>
      </c>
      <c r="G773" s="3" cm="1">
        <f t="array" ref="G773">SUMPRODUCT((tbl_raw[Product_Name]=A773)*(tbl_raw[MRP]-tbl_raw[Selling_Price])*tbl_raw[Units_Sold])</f>
        <v>15580</v>
      </c>
      <c r="H773" s="83">
        <f>AVERAGEIFS(tbl_raw[Discount_Pct],tbl_raw[Product_Name],A773)</f>
        <v>0.23</v>
      </c>
    </row>
    <row r="774" spans="1:8" hidden="1" x14ac:dyDescent="0.25">
      <c r="A774" s="2" t="str">
        <v>Lipstick - Model 301</v>
      </c>
      <c r="B774" s="2" t="str">
        <f>_xlfn.XLOOKUP(A774,tbl_raw[Product_Name],tbl_raw[Category])</f>
        <v>Beauty</v>
      </c>
      <c r="C774" s="2">
        <f>COUNTIF(tbl_raw[Product_Name],A774)</f>
        <v>1</v>
      </c>
      <c r="D774" s="2">
        <f>SUMIFS(tbl_raw[Units_Sold],tbl_raw[Product_Name],A774)</f>
        <v>9</v>
      </c>
      <c r="E774" s="3">
        <f>SUMIFS(tbl_raw[Net_Profit],tbl_raw[Product_Name],A774)</f>
        <v>-855</v>
      </c>
      <c r="F774" s="2">
        <f>SUMIFS(tbl_raw[Return_Flag],tbl_raw[Product_Name],A774)</f>
        <v>0</v>
      </c>
      <c r="G774" s="3" cm="1">
        <f t="array" ref="G774">SUMPRODUCT((tbl_raw[Product_Name]=A774)*(tbl_raw[MRP]-tbl_raw[Selling_Price])*tbl_raw[Units_Sold])</f>
        <v>8532</v>
      </c>
      <c r="H774" s="83">
        <f>AVERAGEIFS(tbl_raw[Discount_Pct],tbl_raw[Product_Name],A774)</f>
        <v>0.37</v>
      </c>
    </row>
    <row r="775" spans="1:8" hidden="1" x14ac:dyDescent="0.25">
      <c r="A775" s="2" t="str">
        <v>Shoes - Model 888</v>
      </c>
      <c r="B775" s="2" t="str">
        <f>_xlfn.XLOOKUP(A775,tbl_raw[Product_Name],tbl_raw[Category])</f>
        <v>Sports</v>
      </c>
      <c r="C775" s="2">
        <f>COUNTIF(tbl_raw[Product_Name],A775)</f>
        <v>1</v>
      </c>
      <c r="D775" s="2">
        <f>SUMIFS(tbl_raw[Units_Sold],tbl_raw[Product_Name],A775)</f>
        <v>10</v>
      </c>
      <c r="E775" s="3">
        <f>SUMIFS(tbl_raw[Net_Profit],tbl_raw[Product_Name],A775)</f>
        <v>6280</v>
      </c>
      <c r="F775" s="2">
        <f>SUMIFS(tbl_raw[Return_Flag],tbl_raw[Product_Name],A775)</f>
        <v>0</v>
      </c>
      <c r="G775" s="3" cm="1">
        <f t="array" ref="G775">SUMPRODUCT((tbl_raw[Product_Name]=A775)*(tbl_raw[MRP]-tbl_raw[Selling_Price])*tbl_raw[Units_Sold])</f>
        <v>23150</v>
      </c>
      <c r="H775" s="83">
        <f>AVERAGEIFS(tbl_raw[Discount_Pct],tbl_raw[Product_Name],A775)</f>
        <v>0.35</v>
      </c>
    </row>
    <row r="776" spans="1:8" hidden="1" x14ac:dyDescent="0.25">
      <c r="A776" s="2" t="str">
        <v>Curtain - Model 333</v>
      </c>
      <c r="B776" s="2" t="str">
        <f>_xlfn.XLOOKUP(A776,tbl_raw[Product_Name],tbl_raw[Category])</f>
        <v>Home &amp; Kitchen</v>
      </c>
      <c r="C776" s="2">
        <f>COUNTIF(tbl_raw[Product_Name],A776)</f>
        <v>1</v>
      </c>
      <c r="D776" s="2">
        <f>SUMIFS(tbl_raw[Units_Sold],tbl_raw[Product_Name],A776)</f>
        <v>7</v>
      </c>
      <c r="E776" s="3">
        <f>SUMIFS(tbl_raw[Net_Profit],tbl_raw[Product_Name],A776)</f>
        <v>1582</v>
      </c>
      <c r="F776" s="2">
        <f>SUMIFS(tbl_raw[Return_Flag],tbl_raw[Product_Name],A776)</f>
        <v>0</v>
      </c>
      <c r="G776" s="3" cm="1">
        <f t="array" ref="G776">SUMPRODUCT((tbl_raw[Product_Name]=A776)*(tbl_raw[MRP]-tbl_raw[Selling_Price])*tbl_raw[Units_Sold])</f>
        <v>6279</v>
      </c>
      <c r="H776" s="83">
        <f>AVERAGEIFS(tbl_raw[Discount_Pct],tbl_raw[Product_Name],A776)</f>
        <v>0.23</v>
      </c>
    </row>
    <row r="777" spans="1:8" hidden="1" x14ac:dyDescent="0.25">
      <c r="A777" s="2" t="str">
        <v>Board Game - Model 549</v>
      </c>
      <c r="B777" s="2" t="str">
        <f>_xlfn.XLOOKUP(A777,tbl_raw[Product_Name],tbl_raw[Category])</f>
        <v>Toys</v>
      </c>
      <c r="C777" s="2">
        <f>COUNTIF(tbl_raw[Product_Name],A777)</f>
        <v>1</v>
      </c>
      <c r="D777" s="2">
        <f>SUMIFS(tbl_raw[Units_Sold],tbl_raw[Product_Name],A777)</f>
        <v>18</v>
      </c>
      <c r="E777" s="3">
        <f>SUMIFS(tbl_raw[Net_Profit],tbl_raw[Product_Name],A777)</f>
        <v>468</v>
      </c>
      <c r="F777" s="2">
        <f>SUMIFS(tbl_raw[Return_Flag],tbl_raw[Product_Name],A777)</f>
        <v>0</v>
      </c>
      <c r="G777" s="3" cm="1">
        <f t="array" ref="G777">SUMPRODUCT((tbl_raw[Product_Name]=A777)*(tbl_raw[MRP]-tbl_raw[Selling_Price])*tbl_raw[Units_Sold])</f>
        <v>468</v>
      </c>
      <c r="H777" s="83">
        <f>AVERAGEIFS(tbl_raw[Discount_Pct],tbl_raw[Product_Name],A777)</f>
        <v>0.06</v>
      </c>
    </row>
    <row r="778" spans="1:8" hidden="1" x14ac:dyDescent="0.25">
      <c r="A778" s="2" t="str">
        <v>Perfume - Model 535</v>
      </c>
      <c r="B778" s="2" t="str">
        <f>_xlfn.XLOOKUP(A778,tbl_raw[Product_Name],tbl_raw[Category])</f>
        <v>Beauty</v>
      </c>
      <c r="C778" s="2">
        <f>COUNTIF(tbl_raw[Product_Name],A778)</f>
        <v>1</v>
      </c>
      <c r="D778" s="2">
        <f>SUMIFS(tbl_raw[Units_Sold],tbl_raw[Product_Name],A778)</f>
        <v>18</v>
      </c>
      <c r="E778" s="3">
        <f>SUMIFS(tbl_raw[Net_Profit],tbl_raw[Product_Name],A778)</f>
        <v>5814</v>
      </c>
      <c r="F778" s="2">
        <f>SUMIFS(tbl_raw[Return_Flag],tbl_raw[Product_Name],A778)</f>
        <v>0</v>
      </c>
      <c r="G778" s="3" cm="1">
        <f t="array" ref="G778">SUMPRODUCT((tbl_raw[Product_Name]=A778)*(tbl_raw[MRP]-tbl_raw[Selling_Price])*tbl_raw[Units_Sold])</f>
        <v>11880</v>
      </c>
      <c r="H778" s="83">
        <f>AVERAGEIFS(tbl_raw[Discount_Pct],tbl_raw[Product_Name],A778)</f>
        <v>0.26</v>
      </c>
    </row>
    <row r="779" spans="1:8" hidden="1" x14ac:dyDescent="0.25">
      <c r="A779" s="2" t="str">
        <v>Remote Car - Model 309</v>
      </c>
      <c r="B779" s="2" t="str">
        <f>_xlfn.XLOOKUP(A779,tbl_raw[Product_Name],tbl_raw[Category])</f>
        <v>Toys</v>
      </c>
      <c r="C779" s="2">
        <f>COUNTIF(tbl_raw[Product_Name],A779)</f>
        <v>1</v>
      </c>
      <c r="D779" s="2">
        <f>SUMIFS(tbl_raw[Units_Sold],tbl_raw[Product_Name],A779)</f>
        <v>3</v>
      </c>
      <c r="E779" s="3">
        <f>SUMIFS(tbl_raw[Net_Profit],tbl_raw[Product_Name],A779)</f>
        <v>5970</v>
      </c>
      <c r="F779" s="2">
        <f>SUMIFS(tbl_raw[Return_Flag],tbl_raw[Product_Name],A779)</f>
        <v>0</v>
      </c>
      <c r="G779" s="3" cm="1">
        <f t="array" ref="G779">SUMPRODUCT((tbl_raw[Product_Name]=A779)*(tbl_raw[MRP]-tbl_raw[Selling_Price])*tbl_raw[Units_Sold])</f>
        <v>1050</v>
      </c>
      <c r="H779" s="83">
        <f>AVERAGEIFS(tbl_raw[Discount_Pct],tbl_raw[Product_Name],A779)</f>
        <v>0.08</v>
      </c>
    </row>
    <row r="780" spans="1:8" hidden="1" x14ac:dyDescent="0.25">
      <c r="A780" s="2" t="str">
        <v>Mixer - Model 946</v>
      </c>
      <c r="B780" s="2" t="str">
        <f>_xlfn.XLOOKUP(A780,tbl_raw[Product_Name],tbl_raw[Category])</f>
        <v>Home &amp; Kitchen</v>
      </c>
      <c r="C780" s="2">
        <f>COUNTIF(tbl_raw[Product_Name],A780)</f>
        <v>1</v>
      </c>
      <c r="D780" s="2">
        <f>SUMIFS(tbl_raw[Units_Sold],tbl_raw[Product_Name],A780)</f>
        <v>16</v>
      </c>
      <c r="E780" s="3">
        <f>SUMIFS(tbl_raw[Net_Profit],tbl_raw[Product_Name],A780)</f>
        <v>-160</v>
      </c>
      <c r="F780" s="2">
        <f>SUMIFS(tbl_raw[Return_Flag],tbl_raw[Product_Name],A780)</f>
        <v>1</v>
      </c>
      <c r="G780" s="3" cm="1">
        <f t="array" ref="G780">SUMPRODUCT((tbl_raw[Product_Name]=A780)*(tbl_raw[MRP]-tbl_raw[Selling_Price])*tbl_raw[Units_Sold])</f>
        <v>592</v>
      </c>
      <c r="H780" s="83">
        <f>AVERAGEIFS(tbl_raw[Discount_Pct],tbl_raw[Product_Name],A780)</f>
        <v>0.09</v>
      </c>
    </row>
    <row r="781" spans="1:8" hidden="1" x14ac:dyDescent="0.25">
      <c r="A781" s="2" t="str">
        <v>Headphones - Model 630</v>
      </c>
      <c r="B781" s="2" t="str">
        <f>_xlfn.XLOOKUP(A781,tbl_raw[Product_Name],tbl_raw[Category])</f>
        <v>Electronics</v>
      </c>
      <c r="C781" s="2">
        <f>COUNTIF(tbl_raw[Product_Name],A781)</f>
        <v>1</v>
      </c>
      <c r="D781" s="2">
        <f>SUMIFS(tbl_raw[Units_Sold],tbl_raw[Product_Name],A781)</f>
        <v>6</v>
      </c>
      <c r="E781" s="3">
        <f>SUMIFS(tbl_raw[Net_Profit],tbl_raw[Product_Name],A781)</f>
        <v>-192</v>
      </c>
      <c r="F781" s="2">
        <f>SUMIFS(tbl_raw[Return_Flag],tbl_raw[Product_Name],A781)</f>
        <v>0</v>
      </c>
      <c r="G781" s="3" cm="1">
        <f t="array" ref="G781">SUMPRODUCT((tbl_raw[Product_Name]=A781)*(tbl_raw[MRP]-tbl_raw[Selling_Price])*tbl_raw[Units_Sold])</f>
        <v>6762</v>
      </c>
      <c r="H781" s="83">
        <f>AVERAGEIFS(tbl_raw[Discount_Pct],tbl_raw[Product_Name],A781)</f>
        <v>0.41</v>
      </c>
    </row>
    <row r="782" spans="1:8" hidden="1" x14ac:dyDescent="0.25">
      <c r="A782" s="2" t="str">
        <v>Serum - Model 991</v>
      </c>
      <c r="B782" s="2" t="str">
        <f>_xlfn.XLOOKUP(A782,tbl_raw[Product_Name],tbl_raw[Category])</f>
        <v>Beauty</v>
      </c>
      <c r="C782" s="2">
        <f>COUNTIF(tbl_raw[Product_Name],A782)</f>
        <v>1</v>
      </c>
      <c r="D782" s="2">
        <f>SUMIFS(tbl_raw[Units_Sold],tbl_raw[Product_Name],A782)</f>
        <v>10</v>
      </c>
      <c r="E782" s="3">
        <f>SUMIFS(tbl_raw[Net_Profit],tbl_raw[Product_Name],A782)</f>
        <v>2850</v>
      </c>
      <c r="F782" s="2">
        <f>SUMIFS(tbl_raw[Return_Flag],tbl_raw[Product_Name],A782)</f>
        <v>0</v>
      </c>
      <c r="G782" s="3" cm="1">
        <f t="array" ref="G782">SUMPRODUCT((tbl_raw[Product_Name]=A782)*(tbl_raw[MRP]-tbl_raw[Selling_Price])*tbl_raw[Units_Sold])</f>
        <v>11430</v>
      </c>
      <c r="H782" s="83">
        <f>AVERAGEIFS(tbl_raw[Discount_Pct],tbl_raw[Product_Name],A782)</f>
        <v>0.32</v>
      </c>
    </row>
    <row r="783" spans="1:8" hidden="1" x14ac:dyDescent="0.25">
      <c r="A783" s="2" t="str">
        <v>Cricket Bat - Model 107</v>
      </c>
      <c r="B783" s="2" t="str">
        <f>_xlfn.XLOOKUP(A783,tbl_raw[Product_Name],tbl_raw[Category])</f>
        <v>Sports</v>
      </c>
      <c r="C783" s="2">
        <f>COUNTIF(tbl_raw[Product_Name],A783)</f>
        <v>1</v>
      </c>
      <c r="D783" s="2">
        <f>SUMIFS(tbl_raw[Units_Sold],tbl_raw[Product_Name],A783)</f>
        <v>15</v>
      </c>
      <c r="E783" s="3">
        <f>SUMIFS(tbl_raw[Net_Profit],tbl_raw[Product_Name],A783)</f>
        <v>-195</v>
      </c>
      <c r="F783" s="2">
        <f>SUMIFS(tbl_raw[Return_Flag],tbl_raw[Product_Name],A783)</f>
        <v>0</v>
      </c>
      <c r="G783" s="3" cm="1">
        <f t="array" ref="G783">SUMPRODUCT((tbl_raw[Product_Name]=A783)*(tbl_raw[MRP]-tbl_raw[Selling_Price])*tbl_raw[Units_Sold])</f>
        <v>1890</v>
      </c>
      <c r="H783" s="83">
        <f>AVERAGEIFS(tbl_raw[Discount_Pct],tbl_raw[Product_Name],A783)</f>
        <v>0.18</v>
      </c>
    </row>
    <row r="784" spans="1:8" hidden="1" x14ac:dyDescent="0.25">
      <c r="A784" s="2" t="str">
        <v>Saree - Model 761</v>
      </c>
      <c r="B784" s="2" t="str">
        <f>_xlfn.XLOOKUP(A784,tbl_raw[Product_Name],tbl_raw[Category])</f>
        <v>Fashion</v>
      </c>
      <c r="C784" s="2">
        <f>COUNTIF(tbl_raw[Product_Name],A784)</f>
        <v>1</v>
      </c>
      <c r="D784" s="2">
        <f>SUMIFS(tbl_raw[Units_Sold],tbl_raw[Product_Name],A784)</f>
        <v>12</v>
      </c>
      <c r="E784" s="3">
        <f>SUMIFS(tbl_raw[Net_Profit],tbl_raw[Product_Name],A784)</f>
        <v>10488</v>
      </c>
      <c r="F784" s="2">
        <f>SUMIFS(tbl_raw[Return_Flag],tbl_raw[Product_Name],A784)</f>
        <v>0</v>
      </c>
      <c r="G784" s="3" cm="1">
        <f t="array" ref="G784">SUMPRODUCT((tbl_raw[Product_Name]=A784)*(tbl_raw[MRP]-tbl_raw[Selling_Price])*tbl_raw[Units_Sold])</f>
        <v>21744</v>
      </c>
      <c r="H784" s="83">
        <f>AVERAGEIFS(tbl_raw[Discount_Pct],tbl_raw[Product_Name],A784)</f>
        <v>0.32</v>
      </c>
    </row>
    <row r="785" spans="1:8" hidden="1" x14ac:dyDescent="0.25">
      <c r="A785" s="2" t="str">
        <v>Remote Car - Model 493</v>
      </c>
      <c r="B785" s="2" t="str">
        <f>_xlfn.XLOOKUP(A785,tbl_raw[Product_Name],tbl_raw[Category])</f>
        <v>Toys</v>
      </c>
      <c r="C785" s="2">
        <f>COUNTIF(tbl_raw[Product_Name],A785)</f>
        <v>1</v>
      </c>
      <c r="D785" s="2">
        <f>SUMIFS(tbl_raw[Units_Sold],tbl_raw[Product_Name],A785)</f>
        <v>19</v>
      </c>
      <c r="E785" s="3">
        <f>SUMIFS(tbl_raw[Net_Profit],tbl_raw[Product_Name],A785)</f>
        <v>1843</v>
      </c>
      <c r="F785" s="2">
        <f>SUMIFS(tbl_raw[Return_Flag],tbl_raw[Product_Name],A785)</f>
        <v>1</v>
      </c>
      <c r="G785" s="3" cm="1">
        <f t="array" ref="G785">SUMPRODUCT((tbl_raw[Product_Name]=A785)*(tbl_raw[MRP]-tbl_raw[Selling_Price])*tbl_raw[Units_Sold])</f>
        <v>5567</v>
      </c>
      <c r="H785" s="83">
        <f>AVERAGEIFS(tbl_raw[Discount_Pct],tbl_raw[Product_Name],A785)</f>
        <v>0.31</v>
      </c>
    </row>
    <row r="786" spans="1:8" hidden="1" x14ac:dyDescent="0.25">
      <c r="A786" s="2" t="str">
        <v>Jeans - Model 605</v>
      </c>
      <c r="B786" s="2" t="str">
        <f>_xlfn.XLOOKUP(A786,tbl_raw[Product_Name],tbl_raw[Category])</f>
        <v>Fashion</v>
      </c>
      <c r="C786" s="2">
        <f>COUNTIF(tbl_raw[Product_Name],A786)</f>
        <v>1</v>
      </c>
      <c r="D786" s="2">
        <f>SUMIFS(tbl_raw[Units_Sold],tbl_raw[Product_Name],A786)</f>
        <v>18</v>
      </c>
      <c r="E786" s="3">
        <f>SUMIFS(tbl_raw[Net_Profit],tbl_raw[Product_Name],A786)</f>
        <v>1512</v>
      </c>
      <c r="F786" s="2">
        <f>SUMIFS(tbl_raw[Return_Flag],tbl_raw[Product_Name],A786)</f>
        <v>0</v>
      </c>
      <c r="G786" s="3" cm="1">
        <f t="array" ref="G786">SUMPRODUCT((tbl_raw[Product_Name]=A786)*(tbl_raw[MRP]-tbl_raw[Selling_Price])*tbl_raw[Units_Sold])</f>
        <v>3510</v>
      </c>
      <c r="H786" s="83">
        <f>AVERAGEIFS(tbl_raw[Discount_Pct],tbl_raw[Product_Name],A786)</f>
        <v>0.17</v>
      </c>
    </row>
    <row r="787" spans="1:8" hidden="1" x14ac:dyDescent="0.25">
      <c r="A787" s="2" t="str">
        <v>Smartwatch - Model 127</v>
      </c>
      <c r="B787" s="2" t="str">
        <f>_xlfn.XLOOKUP(A787,tbl_raw[Product_Name],tbl_raw[Category])</f>
        <v>Electronics</v>
      </c>
      <c r="C787" s="2">
        <f>COUNTIF(tbl_raw[Product_Name],A787)</f>
        <v>1</v>
      </c>
      <c r="D787" s="2">
        <f>SUMIFS(tbl_raw[Units_Sold],tbl_raw[Product_Name],A787)</f>
        <v>15</v>
      </c>
      <c r="E787" s="3">
        <f>SUMIFS(tbl_raw[Net_Profit],tbl_raw[Product_Name],A787)</f>
        <v>-3240</v>
      </c>
      <c r="F787" s="2">
        <f>SUMIFS(tbl_raw[Return_Flag],tbl_raw[Product_Name],A787)</f>
        <v>0</v>
      </c>
      <c r="G787" s="3" cm="1">
        <f t="array" ref="G787">SUMPRODUCT((tbl_raw[Product_Name]=A787)*(tbl_raw[MRP]-tbl_raw[Selling_Price])*tbl_raw[Units_Sold])</f>
        <v>16185</v>
      </c>
      <c r="H787" s="83">
        <f>AVERAGEIFS(tbl_raw[Discount_Pct],tbl_raw[Product_Name],A787)</f>
        <v>0.34</v>
      </c>
    </row>
    <row r="788" spans="1:8" hidden="1" x14ac:dyDescent="0.25">
      <c r="A788" s="2" t="str">
        <v>Pulses - Model 572</v>
      </c>
      <c r="B788" s="2" t="str">
        <f>_xlfn.XLOOKUP(A788,tbl_raw[Product_Name],tbl_raw[Category])</f>
        <v>Grocery</v>
      </c>
      <c r="C788" s="2">
        <f>COUNTIF(tbl_raw[Product_Name],A788)</f>
        <v>1</v>
      </c>
      <c r="D788" s="2">
        <f>SUMIFS(tbl_raw[Units_Sold],tbl_raw[Product_Name],A788)</f>
        <v>3</v>
      </c>
      <c r="E788" s="3">
        <f>SUMIFS(tbl_raw[Net_Profit],tbl_raw[Product_Name],A788)</f>
        <v>1962</v>
      </c>
      <c r="F788" s="2">
        <f>SUMIFS(tbl_raw[Return_Flag],tbl_raw[Product_Name],A788)</f>
        <v>0</v>
      </c>
      <c r="G788" s="3" cm="1">
        <f t="array" ref="G788">SUMPRODUCT((tbl_raw[Product_Name]=A788)*(tbl_raw[MRP]-tbl_raw[Selling_Price])*tbl_raw[Units_Sold])</f>
        <v>1479</v>
      </c>
      <c r="H788" s="83">
        <f>AVERAGEIFS(tbl_raw[Discount_Pct],tbl_raw[Product_Name],A788)</f>
        <v>0.11</v>
      </c>
    </row>
    <row r="789" spans="1:8" hidden="1" x14ac:dyDescent="0.25">
      <c r="A789" s="2" t="str">
        <v>Jeans - Model 401</v>
      </c>
      <c r="B789" s="2" t="str">
        <f>_xlfn.XLOOKUP(A789,tbl_raw[Product_Name],tbl_raw[Category])</f>
        <v>Fashion</v>
      </c>
      <c r="C789" s="2">
        <f>COUNTIF(tbl_raw[Product_Name],A789)</f>
        <v>1</v>
      </c>
      <c r="D789" s="2">
        <f>SUMIFS(tbl_raw[Units_Sold],tbl_raw[Product_Name],A789)</f>
        <v>18</v>
      </c>
      <c r="E789" s="3">
        <f>SUMIFS(tbl_raw[Net_Profit],tbl_raw[Product_Name],A789)</f>
        <v>30114</v>
      </c>
      <c r="F789" s="2">
        <f>SUMIFS(tbl_raw[Return_Flag],tbl_raw[Product_Name],A789)</f>
        <v>0</v>
      </c>
      <c r="G789" s="3" cm="1">
        <f t="array" ref="G789">SUMPRODUCT((tbl_raw[Product_Name]=A789)*(tbl_raw[MRP]-tbl_raw[Selling_Price])*tbl_raw[Units_Sold])</f>
        <v>8622</v>
      </c>
      <c r="H789" s="83">
        <f>AVERAGEIFS(tbl_raw[Discount_Pct],tbl_raw[Product_Name],A789)</f>
        <v>0.08</v>
      </c>
    </row>
    <row r="790" spans="1:8" hidden="1" x14ac:dyDescent="0.25">
      <c r="A790" s="2" t="str">
        <v>Tablet - Model 321</v>
      </c>
      <c r="B790" s="2" t="str">
        <f>_xlfn.XLOOKUP(A790,tbl_raw[Product_Name],tbl_raw[Category])</f>
        <v>Electronics</v>
      </c>
      <c r="C790" s="2">
        <f>COUNTIF(tbl_raw[Product_Name],A790)</f>
        <v>1</v>
      </c>
      <c r="D790" s="2">
        <f>SUMIFS(tbl_raw[Units_Sold],tbl_raw[Product_Name],A790)</f>
        <v>2</v>
      </c>
      <c r="E790" s="3">
        <f>SUMIFS(tbl_raw[Net_Profit],tbl_raw[Product_Name],A790)</f>
        <v>-198</v>
      </c>
      <c r="F790" s="2">
        <f>SUMIFS(tbl_raw[Return_Flag],tbl_raw[Product_Name],A790)</f>
        <v>0</v>
      </c>
      <c r="G790" s="3" cm="1">
        <f t="array" ref="G790">SUMPRODUCT((tbl_raw[Product_Name]=A790)*(tbl_raw[MRP]-tbl_raw[Selling_Price])*tbl_raw[Units_Sold])</f>
        <v>4976</v>
      </c>
      <c r="H790" s="83">
        <f>AVERAGEIFS(tbl_raw[Discount_Pct],tbl_raw[Product_Name],A790)</f>
        <v>0.37</v>
      </c>
    </row>
    <row r="791" spans="1:8" hidden="1" x14ac:dyDescent="0.25">
      <c r="A791" s="2" t="str">
        <v>Mobile - Model 890</v>
      </c>
      <c r="B791" s="2" t="str">
        <f>_xlfn.XLOOKUP(A791,tbl_raw[Product_Name],tbl_raw[Category])</f>
        <v>Electronics</v>
      </c>
      <c r="C791" s="2">
        <f>COUNTIF(tbl_raw[Product_Name],A791)</f>
        <v>1</v>
      </c>
      <c r="D791" s="2">
        <f>SUMIFS(tbl_raw[Units_Sold],tbl_raw[Product_Name],A791)</f>
        <v>7</v>
      </c>
      <c r="E791" s="3">
        <f>SUMIFS(tbl_raw[Net_Profit],tbl_raw[Product_Name],A791)</f>
        <v>17745</v>
      </c>
      <c r="F791" s="2">
        <f>SUMIFS(tbl_raw[Return_Flag],tbl_raw[Product_Name],A791)</f>
        <v>0</v>
      </c>
      <c r="G791" s="3" cm="1">
        <f t="array" ref="G791">SUMPRODUCT((tbl_raw[Product_Name]=A791)*(tbl_raw[MRP]-tbl_raw[Selling_Price])*tbl_raw[Units_Sold])</f>
        <v>8862</v>
      </c>
      <c r="H791" s="83">
        <f>AVERAGEIFS(tbl_raw[Discount_Pct],tbl_raw[Product_Name],A791)</f>
        <v>0.17</v>
      </c>
    </row>
    <row r="792" spans="1:8" hidden="1" x14ac:dyDescent="0.25">
      <c r="A792" s="2" t="str">
        <v>Jeans - Model 198</v>
      </c>
      <c r="B792" s="2" t="str">
        <f>_xlfn.XLOOKUP(A792,tbl_raw[Product_Name],tbl_raw[Category])</f>
        <v>Fashion</v>
      </c>
      <c r="C792" s="2">
        <f>COUNTIF(tbl_raw[Product_Name],A792)</f>
        <v>1</v>
      </c>
      <c r="D792" s="2">
        <f>SUMIFS(tbl_raw[Units_Sold],tbl_raw[Product_Name],A792)</f>
        <v>6</v>
      </c>
      <c r="E792" s="3">
        <f>SUMIFS(tbl_raw[Net_Profit],tbl_raw[Product_Name],A792)</f>
        <v>-192</v>
      </c>
      <c r="F792" s="2">
        <f>SUMIFS(tbl_raw[Return_Flag],tbl_raw[Product_Name],A792)</f>
        <v>0</v>
      </c>
      <c r="G792" s="3" cm="1">
        <f t="array" ref="G792">SUMPRODUCT((tbl_raw[Product_Name]=A792)*(tbl_raw[MRP]-tbl_raw[Selling_Price])*tbl_raw[Units_Sold])</f>
        <v>750</v>
      </c>
      <c r="H792" s="83">
        <f>AVERAGEIFS(tbl_raw[Discount_Pct],tbl_raw[Product_Name],A792)</f>
        <v>0.23</v>
      </c>
    </row>
    <row r="793" spans="1:8" hidden="1" x14ac:dyDescent="0.25">
      <c r="A793" s="2" t="str">
        <v>Jeans - Model 318</v>
      </c>
      <c r="B793" s="2" t="str">
        <f>_xlfn.XLOOKUP(A793,tbl_raw[Product_Name],tbl_raw[Category])</f>
        <v>Fashion</v>
      </c>
      <c r="C793" s="2">
        <f>COUNTIF(tbl_raw[Product_Name],A793)</f>
        <v>1</v>
      </c>
      <c r="D793" s="2">
        <f>SUMIFS(tbl_raw[Units_Sold],tbl_raw[Product_Name],A793)</f>
        <v>12</v>
      </c>
      <c r="E793" s="3">
        <f>SUMIFS(tbl_raw[Net_Profit],tbl_raw[Product_Name],A793)</f>
        <v>11412</v>
      </c>
      <c r="F793" s="2">
        <f>SUMIFS(tbl_raw[Return_Flag],tbl_raw[Product_Name],A793)</f>
        <v>0</v>
      </c>
      <c r="G793" s="3" cm="1">
        <f t="array" ref="G793">SUMPRODUCT((tbl_raw[Product_Name]=A793)*(tbl_raw[MRP]-tbl_raw[Selling_Price])*tbl_raw[Units_Sold])</f>
        <v>324</v>
      </c>
      <c r="H793" s="83">
        <f>AVERAGEIFS(tbl_raw[Discount_Pct],tbl_raw[Product_Name],A793)</f>
        <v>0.01</v>
      </c>
    </row>
    <row r="794" spans="1:8" hidden="1" x14ac:dyDescent="0.25">
      <c r="A794" s="2" t="str">
        <v>Fiction - Model 168</v>
      </c>
      <c r="B794" s="2" t="str">
        <f>_xlfn.XLOOKUP(A794,tbl_raw[Product_Name],tbl_raw[Category])</f>
        <v>Books</v>
      </c>
      <c r="C794" s="2">
        <f>COUNTIF(tbl_raw[Product_Name],A794)</f>
        <v>1</v>
      </c>
      <c r="D794" s="2">
        <f>SUMIFS(tbl_raw[Units_Sold],tbl_raw[Product_Name],A794)</f>
        <v>14</v>
      </c>
      <c r="E794" s="3">
        <f>SUMIFS(tbl_raw[Net_Profit],tbl_raw[Product_Name],A794)</f>
        <v>-1134</v>
      </c>
      <c r="F794" s="2">
        <f>SUMIFS(tbl_raw[Return_Flag],tbl_raw[Product_Name],A794)</f>
        <v>0</v>
      </c>
      <c r="G794" s="3" cm="1">
        <f t="array" ref="G794">SUMPRODUCT((tbl_raw[Product_Name]=A794)*(tbl_raw[MRP]-tbl_raw[Selling_Price])*tbl_raw[Units_Sold])</f>
        <v>9646</v>
      </c>
      <c r="H794" s="83">
        <f>AVERAGEIFS(tbl_raw[Discount_Pct],tbl_raw[Product_Name],A794)</f>
        <v>0.27</v>
      </c>
    </row>
    <row r="795" spans="1:8" hidden="1" x14ac:dyDescent="0.25">
      <c r="A795" s="2" t="str">
        <v>Shoes - Model 714</v>
      </c>
      <c r="B795" s="2" t="str">
        <f>_xlfn.XLOOKUP(A795,tbl_raw[Product_Name],tbl_raw[Category])</f>
        <v>Sports</v>
      </c>
      <c r="C795" s="2">
        <f>COUNTIF(tbl_raw[Product_Name],A795)</f>
        <v>1</v>
      </c>
      <c r="D795" s="2">
        <f>SUMIFS(tbl_raw[Units_Sold],tbl_raw[Product_Name],A795)</f>
        <v>13</v>
      </c>
      <c r="E795" s="3">
        <f>SUMIFS(tbl_raw[Net_Profit],tbl_raw[Product_Name],A795)</f>
        <v>-6955</v>
      </c>
      <c r="F795" s="2">
        <f>SUMIFS(tbl_raw[Return_Flag],tbl_raw[Product_Name],A795)</f>
        <v>0</v>
      </c>
      <c r="G795" s="3" cm="1">
        <f t="array" ref="G795">SUMPRODUCT((tbl_raw[Product_Name]=A795)*(tbl_raw[MRP]-tbl_raw[Selling_Price])*tbl_raw[Units_Sold])</f>
        <v>31395</v>
      </c>
      <c r="H795" s="83">
        <f>AVERAGEIFS(tbl_raw[Discount_Pct],tbl_raw[Product_Name],A795)</f>
        <v>0.44</v>
      </c>
    </row>
    <row r="796" spans="1:8" hidden="1" x14ac:dyDescent="0.25">
      <c r="A796" s="2" t="str">
        <v>Tablet - Model 699</v>
      </c>
      <c r="B796" s="2" t="str">
        <f>_xlfn.XLOOKUP(A796,tbl_raw[Product_Name],tbl_raw[Category])</f>
        <v>Electronics</v>
      </c>
      <c r="C796" s="2">
        <f>COUNTIF(tbl_raw[Product_Name],A796)</f>
        <v>1</v>
      </c>
      <c r="D796" s="2">
        <f>SUMIFS(tbl_raw[Units_Sold],tbl_raw[Product_Name],A796)</f>
        <v>13</v>
      </c>
      <c r="E796" s="3">
        <f>SUMIFS(tbl_raw[Net_Profit],tbl_raw[Product_Name],A796)</f>
        <v>3341</v>
      </c>
      <c r="F796" s="2">
        <f>SUMIFS(tbl_raw[Return_Flag],tbl_raw[Product_Name],A796)</f>
        <v>0</v>
      </c>
      <c r="G796" s="3" cm="1">
        <f t="array" ref="G796">SUMPRODUCT((tbl_raw[Product_Name]=A796)*(tbl_raw[MRP]-tbl_raw[Selling_Price])*tbl_raw[Units_Sold])</f>
        <v>17953</v>
      </c>
      <c r="H796" s="83">
        <f>AVERAGEIFS(tbl_raw[Discount_Pct],tbl_raw[Product_Name],A796)</f>
        <v>0.33</v>
      </c>
    </row>
    <row r="797" spans="1:8" hidden="1" x14ac:dyDescent="0.25">
      <c r="A797" s="2" t="str">
        <v>Perfume - Model 875</v>
      </c>
      <c r="B797" s="2" t="str">
        <f>_xlfn.XLOOKUP(A797,tbl_raw[Product_Name],tbl_raw[Category])</f>
        <v>Beauty</v>
      </c>
      <c r="C797" s="2">
        <f>COUNTIF(tbl_raw[Product_Name],A797)</f>
        <v>1</v>
      </c>
      <c r="D797" s="2">
        <f>SUMIFS(tbl_raw[Units_Sold],tbl_raw[Product_Name],A797)</f>
        <v>20</v>
      </c>
      <c r="E797" s="3">
        <f>SUMIFS(tbl_raw[Net_Profit],tbl_raw[Product_Name],A797)</f>
        <v>4780</v>
      </c>
      <c r="F797" s="2">
        <f>SUMIFS(tbl_raw[Return_Flag],tbl_raw[Product_Name],A797)</f>
        <v>0</v>
      </c>
      <c r="G797" s="3" cm="1">
        <f t="array" ref="G797">SUMPRODUCT((tbl_raw[Product_Name]=A797)*(tbl_raw[MRP]-tbl_raw[Selling_Price])*tbl_raw[Units_Sold])</f>
        <v>980</v>
      </c>
      <c r="H797" s="83">
        <f>AVERAGEIFS(tbl_raw[Discount_Pct],tbl_raw[Product_Name],A797)</f>
        <v>0.06</v>
      </c>
    </row>
    <row r="798" spans="1:8" hidden="1" x14ac:dyDescent="0.25">
      <c r="A798" s="2" t="str">
        <v>Rice - Model 237</v>
      </c>
      <c r="B798" s="2" t="str">
        <f>_xlfn.XLOOKUP(A798,tbl_raw[Product_Name],tbl_raw[Category])</f>
        <v>Grocery</v>
      </c>
      <c r="C798" s="2">
        <f>COUNTIF(tbl_raw[Product_Name],A798)</f>
        <v>1</v>
      </c>
      <c r="D798" s="2">
        <f>SUMIFS(tbl_raw[Units_Sold],tbl_raw[Product_Name],A798)</f>
        <v>11</v>
      </c>
      <c r="E798" s="3">
        <f>SUMIFS(tbl_raw[Net_Profit],tbl_raw[Product_Name],A798)</f>
        <v>2508</v>
      </c>
      <c r="F798" s="2">
        <f>SUMIFS(tbl_raw[Return_Flag],tbl_raw[Product_Name],A798)</f>
        <v>0</v>
      </c>
      <c r="G798" s="3" cm="1">
        <f t="array" ref="G798">SUMPRODUCT((tbl_raw[Product_Name]=A798)*(tbl_raw[MRP]-tbl_raw[Selling_Price])*tbl_raw[Units_Sold])</f>
        <v>19525</v>
      </c>
      <c r="H798" s="83">
        <f>AVERAGEIFS(tbl_raw[Discount_Pct],tbl_raw[Product_Name],A798)</f>
        <v>0.34</v>
      </c>
    </row>
    <row r="799" spans="1:8" hidden="1" x14ac:dyDescent="0.25">
      <c r="A799" s="2" t="str">
        <v>Self-Help - Model 310</v>
      </c>
      <c r="B799" s="2" t="str">
        <f>_xlfn.XLOOKUP(A799,tbl_raw[Product_Name],tbl_raw[Category])</f>
        <v>Books</v>
      </c>
      <c r="C799" s="2">
        <f>COUNTIF(tbl_raw[Product_Name],A799)</f>
        <v>1</v>
      </c>
      <c r="D799" s="2">
        <f>SUMIFS(tbl_raw[Units_Sold],tbl_raw[Product_Name],A799)</f>
        <v>2</v>
      </c>
      <c r="E799" s="3">
        <f>SUMIFS(tbl_raw[Net_Profit],tbl_raw[Product_Name],A799)</f>
        <v>2832</v>
      </c>
      <c r="F799" s="2">
        <f>SUMIFS(tbl_raw[Return_Flag],tbl_raw[Product_Name],A799)</f>
        <v>0</v>
      </c>
      <c r="G799" s="3" cm="1">
        <f t="array" ref="G799">SUMPRODUCT((tbl_raw[Product_Name]=A799)*(tbl_raw[MRP]-tbl_raw[Selling_Price])*tbl_raw[Units_Sold])</f>
        <v>4364</v>
      </c>
      <c r="H799" s="83">
        <f>AVERAGEIFS(tbl_raw[Discount_Pct],tbl_raw[Product_Name],A799)</f>
        <v>0.3</v>
      </c>
    </row>
    <row r="800" spans="1:8" hidden="1" x14ac:dyDescent="0.25">
      <c r="A800" s="2" t="str">
        <v>Atta - Model 166</v>
      </c>
      <c r="B800" s="2" t="str">
        <f>_xlfn.XLOOKUP(A800,tbl_raw[Product_Name],tbl_raw[Category])</f>
        <v>Grocery</v>
      </c>
      <c r="C800" s="2">
        <f>COUNTIF(tbl_raw[Product_Name],A800)</f>
        <v>1</v>
      </c>
      <c r="D800" s="2">
        <f>SUMIFS(tbl_raw[Units_Sold],tbl_raw[Product_Name],A800)</f>
        <v>3</v>
      </c>
      <c r="E800" s="3">
        <f>SUMIFS(tbl_raw[Net_Profit],tbl_raw[Product_Name],A800)</f>
        <v>4821</v>
      </c>
      <c r="F800" s="2">
        <f>SUMIFS(tbl_raw[Return_Flag],tbl_raw[Product_Name],A800)</f>
        <v>0</v>
      </c>
      <c r="G800" s="3" cm="1">
        <f t="array" ref="G800">SUMPRODUCT((tbl_raw[Product_Name]=A800)*(tbl_raw[MRP]-tbl_raw[Selling_Price])*tbl_raw[Units_Sold])</f>
        <v>459</v>
      </c>
      <c r="H800" s="83">
        <f>AVERAGEIFS(tbl_raw[Discount_Pct],tbl_raw[Product_Name],A800)</f>
        <v>0.02</v>
      </c>
    </row>
    <row r="801" spans="1:8" hidden="1" x14ac:dyDescent="0.25">
      <c r="A801" s="2" t="str">
        <v>Shoes - Model 842</v>
      </c>
      <c r="B801" s="2" t="str">
        <f>_xlfn.XLOOKUP(A801,tbl_raw[Product_Name],tbl_raw[Category])</f>
        <v>Fashion</v>
      </c>
      <c r="C801" s="2">
        <f>COUNTIF(tbl_raw[Product_Name],A801)</f>
        <v>1</v>
      </c>
      <c r="D801" s="2">
        <f>SUMIFS(tbl_raw[Units_Sold],tbl_raw[Product_Name],A801)</f>
        <v>10</v>
      </c>
      <c r="E801" s="3">
        <f>SUMIFS(tbl_raw[Net_Profit],tbl_raw[Product_Name],A801)</f>
        <v>4140</v>
      </c>
      <c r="F801" s="2">
        <f>SUMIFS(tbl_raw[Return_Flag],tbl_raw[Product_Name],A801)</f>
        <v>0</v>
      </c>
      <c r="G801" s="3" cm="1">
        <f t="array" ref="G801">SUMPRODUCT((tbl_raw[Product_Name]=A801)*(tbl_raw[MRP]-tbl_raw[Selling_Price])*tbl_raw[Units_Sold])</f>
        <v>1330</v>
      </c>
      <c r="H801" s="83">
        <f>AVERAGEIFS(tbl_raw[Discount_Pct],tbl_raw[Product_Name],A801)</f>
        <v>0.09</v>
      </c>
    </row>
    <row r="802" spans="1:8" hidden="1" x14ac:dyDescent="0.25">
      <c r="A802" s="2" t="str">
        <v>Dumbbells - Model 181</v>
      </c>
      <c r="B802" s="2" t="str">
        <f>_xlfn.XLOOKUP(A802,tbl_raw[Product_Name],tbl_raw[Category])</f>
        <v>Sports</v>
      </c>
      <c r="C802" s="2">
        <f>COUNTIF(tbl_raw[Product_Name],A802)</f>
        <v>1</v>
      </c>
      <c r="D802" s="2">
        <f>SUMIFS(tbl_raw[Units_Sold],tbl_raw[Product_Name],A802)</f>
        <v>13</v>
      </c>
      <c r="E802" s="3">
        <f>SUMIFS(tbl_raw[Net_Profit],tbl_raw[Product_Name],A802)</f>
        <v>8320</v>
      </c>
      <c r="F802" s="2">
        <f>SUMIFS(tbl_raw[Return_Flag],tbl_raw[Product_Name],A802)</f>
        <v>1</v>
      </c>
      <c r="G802" s="3" cm="1">
        <f t="array" ref="G802">SUMPRODUCT((tbl_raw[Product_Name]=A802)*(tbl_raw[MRP]-tbl_raw[Selling_Price])*tbl_raw[Units_Sold])</f>
        <v>8593</v>
      </c>
      <c r="H802" s="83">
        <f>AVERAGEIFS(tbl_raw[Discount_Pct],tbl_raw[Product_Name],A802)</f>
        <v>0.21</v>
      </c>
    </row>
    <row r="803" spans="1:8" hidden="1" x14ac:dyDescent="0.25">
      <c r="A803" s="2" t="str">
        <v>Remote Car - Model 974</v>
      </c>
      <c r="B803" s="2" t="str">
        <f>_xlfn.XLOOKUP(A803,tbl_raw[Product_Name],tbl_raw[Category])</f>
        <v>Toys</v>
      </c>
      <c r="C803" s="2">
        <f>COUNTIF(tbl_raw[Product_Name],A803)</f>
        <v>1</v>
      </c>
      <c r="D803" s="2">
        <f>SUMIFS(tbl_raw[Units_Sold],tbl_raw[Product_Name],A803)</f>
        <v>10</v>
      </c>
      <c r="E803" s="3">
        <f>SUMIFS(tbl_raw[Net_Profit],tbl_raw[Product_Name],A803)</f>
        <v>12660</v>
      </c>
      <c r="F803" s="2">
        <f>SUMIFS(tbl_raw[Return_Flag],tbl_raw[Product_Name],A803)</f>
        <v>0</v>
      </c>
      <c r="G803" s="3" cm="1">
        <f t="array" ref="G803">SUMPRODUCT((tbl_raw[Product_Name]=A803)*(tbl_raw[MRP]-tbl_raw[Selling_Price])*tbl_raw[Units_Sold])</f>
        <v>3390</v>
      </c>
      <c r="H803" s="83">
        <f>AVERAGEIFS(tbl_raw[Discount_Pct],tbl_raw[Product_Name],A803)</f>
        <v>7.0000000000000007E-2</v>
      </c>
    </row>
    <row r="804" spans="1:8" hidden="1" x14ac:dyDescent="0.25">
      <c r="A804" s="2" t="str">
        <v>Atta - Model 441</v>
      </c>
      <c r="B804" s="2" t="str">
        <f>_xlfn.XLOOKUP(A804,tbl_raw[Product_Name],tbl_raw[Category])</f>
        <v>Grocery</v>
      </c>
      <c r="C804" s="2">
        <f>COUNTIF(tbl_raw[Product_Name],A804)</f>
        <v>1</v>
      </c>
      <c r="D804" s="2">
        <f>SUMIFS(tbl_raw[Units_Sold],tbl_raw[Product_Name],A804)</f>
        <v>16</v>
      </c>
      <c r="E804" s="3">
        <f>SUMIFS(tbl_raw[Net_Profit],tbl_raw[Product_Name],A804)</f>
        <v>2672</v>
      </c>
      <c r="F804" s="2">
        <f>SUMIFS(tbl_raw[Return_Flag],tbl_raw[Product_Name],A804)</f>
        <v>0</v>
      </c>
      <c r="G804" s="3" cm="1">
        <f t="array" ref="G804">SUMPRODUCT((tbl_raw[Product_Name]=A804)*(tbl_raw[MRP]-tbl_raw[Selling_Price])*tbl_raw[Units_Sold])</f>
        <v>11328</v>
      </c>
      <c r="H804" s="83">
        <f>AVERAGEIFS(tbl_raw[Discount_Pct],tbl_raw[Product_Name],A804)</f>
        <v>0.41</v>
      </c>
    </row>
    <row r="805" spans="1:8" hidden="1" x14ac:dyDescent="0.25">
      <c r="A805" s="2" t="str">
        <v>Children - Model 601</v>
      </c>
      <c r="B805" s="2" t="str">
        <f>_xlfn.XLOOKUP(A805,tbl_raw[Product_Name],tbl_raw[Category])</f>
        <v>Books</v>
      </c>
      <c r="C805" s="2">
        <f>COUNTIF(tbl_raw[Product_Name],A805)</f>
        <v>1</v>
      </c>
      <c r="D805" s="2">
        <f>SUMIFS(tbl_raw[Units_Sold],tbl_raw[Product_Name],A805)</f>
        <v>19</v>
      </c>
      <c r="E805" s="3">
        <f>SUMIFS(tbl_raw[Net_Profit],tbl_raw[Product_Name],A805)</f>
        <v>-3040</v>
      </c>
      <c r="F805" s="2">
        <f>SUMIFS(tbl_raw[Return_Flag],tbl_raw[Product_Name],A805)</f>
        <v>1</v>
      </c>
      <c r="G805" s="3" cm="1">
        <f t="array" ref="G805">SUMPRODUCT((tbl_raw[Product_Name]=A805)*(tbl_raw[MRP]-tbl_raw[Selling_Price])*tbl_raw[Units_Sold])</f>
        <v>5738</v>
      </c>
      <c r="H805" s="83">
        <f>AVERAGEIFS(tbl_raw[Discount_Pct],tbl_raw[Product_Name],A805)</f>
        <v>0.4</v>
      </c>
    </row>
    <row r="806" spans="1:8" hidden="1" x14ac:dyDescent="0.25">
      <c r="A806" s="2" t="str">
        <v>Comic - Model 826</v>
      </c>
      <c r="B806" s="2" t="str">
        <f>_xlfn.XLOOKUP(A806,tbl_raw[Product_Name],tbl_raw[Category])</f>
        <v>Books</v>
      </c>
      <c r="C806" s="2">
        <f>COUNTIF(tbl_raw[Product_Name],A806)</f>
        <v>1</v>
      </c>
      <c r="D806" s="2">
        <f>SUMIFS(tbl_raw[Units_Sold],tbl_raw[Product_Name],A806)</f>
        <v>12</v>
      </c>
      <c r="E806" s="3">
        <f>SUMIFS(tbl_raw[Net_Profit],tbl_raw[Product_Name],A806)</f>
        <v>-2640</v>
      </c>
      <c r="F806" s="2">
        <f>SUMIFS(tbl_raw[Return_Flag],tbl_raw[Product_Name],A806)</f>
        <v>0</v>
      </c>
      <c r="G806" s="3" cm="1">
        <f t="array" ref="G806">SUMPRODUCT((tbl_raw[Product_Name]=A806)*(tbl_raw[MRP]-tbl_raw[Selling_Price])*tbl_raw[Units_Sold])</f>
        <v>19596</v>
      </c>
      <c r="H806" s="83">
        <f>AVERAGEIFS(tbl_raw[Discount_Pct],tbl_raw[Product_Name],A806)</f>
        <v>0.28999999999999998</v>
      </c>
    </row>
    <row r="807" spans="1:8" hidden="1" x14ac:dyDescent="0.25">
      <c r="A807" s="2" t="str">
        <v>Laptop - Model 367</v>
      </c>
      <c r="B807" s="2" t="str">
        <f>_xlfn.XLOOKUP(A807,tbl_raw[Product_Name],tbl_raw[Category])</f>
        <v>Electronics</v>
      </c>
      <c r="C807" s="2">
        <f>COUNTIF(tbl_raw[Product_Name],A807)</f>
        <v>1</v>
      </c>
      <c r="D807" s="2">
        <f>SUMIFS(tbl_raw[Units_Sold],tbl_raw[Product_Name],A807)</f>
        <v>15</v>
      </c>
      <c r="E807" s="3">
        <f>SUMIFS(tbl_raw[Net_Profit],tbl_raw[Product_Name],A807)</f>
        <v>48555</v>
      </c>
      <c r="F807" s="2">
        <f>SUMIFS(tbl_raw[Return_Flag],tbl_raw[Product_Name],A807)</f>
        <v>0</v>
      </c>
      <c r="G807" s="3" cm="1">
        <f t="array" ref="G807">SUMPRODUCT((tbl_raw[Product_Name]=A807)*(tbl_raw[MRP]-tbl_raw[Selling_Price])*tbl_raw[Units_Sold])</f>
        <v>7950</v>
      </c>
      <c r="H807" s="83">
        <f>AVERAGEIFS(tbl_raw[Discount_Pct],tbl_raw[Product_Name],A807)</f>
        <v>7.0000000000000007E-2</v>
      </c>
    </row>
    <row r="808" spans="1:8" hidden="1" x14ac:dyDescent="0.25">
      <c r="A808" s="2" t="str">
        <v>Remote Car - Model 823</v>
      </c>
      <c r="B808" s="2" t="str">
        <f>_xlfn.XLOOKUP(A808,tbl_raw[Product_Name],tbl_raw[Category])</f>
        <v>Toys</v>
      </c>
      <c r="C808" s="2">
        <f>COUNTIF(tbl_raw[Product_Name],A808)</f>
        <v>1</v>
      </c>
      <c r="D808" s="2">
        <f>SUMIFS(tbl_raw[Units_Sold],tbl_raw[Product_Name],A808)</f>
        <v>3</v>
      </c>
      <c r="E808" s="3">
        <f>SUMIFS(tbl_raw[Net_Profit],tbl_raw[Product_Name],A808)</f>
        <v>4275</v>
      </c>
      <c r="F808" s="2">
        <f>SUMIFS(tbl_raw[Return_Flag],tbl_raw[Product_Name],A808)</f>
        <v>0</v>
      </c>
      <c r="G808" s="3" cm="1">
        <f t="array" ref="G808">SUMPRODUCT((tbl_raw[Product_Name]=A808)*(tbl_raw[MRP]-tbl_raw[Selling_Price])*tbl_raw[Units_Sold])</f>
        <v>1020</v>
      </c>
      <c r="H808" s="83">
        <f>AVERAGEIFS(tbl_raw[Discount_Pct],tbl_raw[Product_Name],A808)</f>
        <v>0.08</v>
      </c>
    </row>
    <row r="809" spans="1:8" hidden="1" x14ac:dyDescent="0.25">
      <c r="A809" s="2" t="str">
        <v>Doll - Model 415</v>
      </c>
      <c r="B809" s="2" t="str">
        <f>_xlfn.XLOOKUP(A809,tbl_raw[Product_Name],tbl_raw[Category])</f>
        <v>Toys</v>
      </c>
      <c r="C809" s="2">
        <f>COUNTIF(tbl_raw[Product_Name],A809)</f>
        <v>1</v>
      </c>
      <c r="D809" s="2">
        <f>SUMIFS(tbl_raw[Units_Sold],tbl_raw[Product_Name],A809)</f>
        <v>3</v>
      </c>
      <c r="E809" s="3">
        <f>SUMIFS(tbl_raw[Net_Profit],tbl_raw[Product_Name],A809)</f>
        <v>-264</v>
      </c>
      <c r="F809" s="2">
        <f>SUMIFS(tbl_raw[Return_Flag],tbl_raw[Product_Name],A809)</f>
        <v>0</v>
      </c>
      <c r="G809" s="3" cm="1">
        <f t="array" ref="G809">SUMPRODUCT((tbl_raw[Product_Name]=A809)*(tbl_raw[MRP]-tbl_raw[Selling_Price])*tbl_raw[Units_Sold])</f>
        <v>822</v>
      </c>
      <c r="H809" s="83">
        <f>AVERAGEIFS(tbl_raw[Discount_Pct],tbl_raw[Product_Name],A809)</f>
        <v>0.26</v>
      </c>
    </row>
    <row r="810" spans="1:8" hidden="1" x14ac:dyDescent="0.25">
      <c r="A810" s="2" t="str">
        <v>Shoes - Model 272</v>
      </c>
      <c r="B810" s="2" t="str">
        <f>_xlfn.XLOOKUP(A810,tbl_raw[Product_Name],tbl_raw[Category])</f>
        <v>Sports</v>
      </c>
      <c r="C810" s="2">
        <f>COUNTIF(tbl_raw[Product_Name],A810)</f>
        <v>1</v>
      </c>
      <c r="D810" s="2">
        <f>SUMIFS(tbl_raw[Units_Sold],tbl_raw[Product_Name],A810)</f>
        <v>1</v>
      </c>
      <c r="E810" s="3">
        <f>SUMIFS(tbl_raw[Net_Profit],tbl_raw[Product_Name],A810)</f>
        <v>6</v>
      </c>
      <c r="F810" s="2">
        <f>SUMIFS(tbl_raw[Return_Flag],tbl_raw[Product_Name],A810)</f>
        <v>0</v>
      </c>
      <c r="G810" s="3" cm="1">
        <f t="array" ref="G810">SUMPRODUCT((tbl_raw[Product_Name]=A810)*(tbl_raw[MRP]-tbl_raw[Selling_Price])*tbl_raw[Units_Sold])</f>
        <v>335</v>
      </c>
      <c r="H810" s="83">
        <f>AVERAGEIFS(tbl_raw[Discount_Pct],tbl_raw[Product_Name],A810)</f>
        <v>0.35</v>
      </c>
    </row>
    <row r="811" spans="1:8" hidden="1" x14ac:dyDescent="0.25">
      <c r="A811" s="2" t="str">
        <v>Pressure Cooker - Model 598</v>
      </c>
      <c r="B811" s="2" t="str">
        <f>_xlfn.XLOOKUP(A811,tbl_raw[Product_Name],tbl_raw[Category])</f>
        <v>Home &amp; Kitchen</v>
      </c>
      <c r="C811" s="2">
        <f>COUNTIF(tbl_raw[Product_Name],A811)</f>
        <v>1</v>
      </c>
      <c r="D811" s="2">
        <f>SUMIFS(tbl_raw[Units_Sold],tbl_raw[Product_Name],A811)</f>
        <v>17</v>
      </c>
      <c r="E811" s="3">
        <f>SUMIFS(tbl_raw[Net_Profit],tbl_raw[Product_Name],A811)</f>
        <v>13855</v>
      </c>
      <c r="F811" s="2">
        <f>SUMIFS(tbl_raw[Return_Flag],tbl_raw[Product_Name],A811)</f>
        <v>1</v>
      </c>
      <c r="G811" s="3" cm="1">
        <f t="array" ref="G811">SUMPRODUCT((tbl_raw[Product_Name]=A811)*(tbl_raw[MRP]-tbl_raw[Selling_Price])*tbl_raw[Units_Sold])</f>
        <v>25840</v>
      </c>
      <c r="H811" s="83">
        <f>AVERAGEIFS(tbl_raw[Discount_Pct],tbl_raw[Product_Name],A811)</f>
        <v>0.2</v>
      </c>
    </row>
    <row r="812" spans="1:8" hidden="1" x14ac:dyDescent="0.25">
      <c r="A812" s="2" t="str">
        <v>Remote Car - Model 741</v>
      </c>
      <c r="B812" s="2" t="str">
        <f>_xlfn.XLOOKUP(A812,tbl_raw[Product_Name],tbl_raw[Category])</f>
        <v>Toys</v>
      </c>
      <c r="C812" s="2">
        <f>COUNTIF(tbl_raw[Product_Name],A812)</f>
        <v>1</v>
      </c>
      <c r="D812" s="2">
        <f>SUMIFS(tbl_raw[Units_Sold],tbl_raw[Product_Name],A812)</f>
        <v>4</v>
      </c>
      <c r="E812" s="3">
        <f>SUMIFS(tbl_raw[Net_Profit],tbl_raw[Product_Name],A812)</f>
        <v>11572</v>
      </c>
      <c r="F812" s="2">
        <f>SUMIFS(tbl_raw[Return_Flag],tbl_raw[Product_Name],A812)</f>
        <v>0</v>
      </c>
      <c r="G812" s="3" cm="1">
        <f t="array" ref="G812">SUMPRODUCT((tbl_raw[Product_Name]=A812)*(tbl_raw[MRP]-tbl_raw[Selling_Price])*tbl_raw[Units_Sold])</f>
        <v>1952</v>
      </c>
      <c r="H812" s="83">
        <f>AVERAGEIFS(tbl_raw[Discount_Pct],tbl_raw[Product_Name],A812)</f>
        <v>7.0000000000000007E-2</v>
      </c>
    </row>
    <row r="813" spans="1:8" hidden="1" x14ac:dyDescent="0.25">
      <c r="A813" s="2" t="str">
        <v>Atta - Model 109</v>
      </c>
      <c r="B813" s="2" t="str">
        <f>_xlfn.XLOOKUP(A813,tbl_raw[Product_Name],tbl_raw[Category])</f>
        <v>Grocery</v>
      </c>
      <c r="C813" s="2">
        <f>COUNTIF(tbl_raw[Product_Name],A813)</f>
        <v>1</v>
      </c>
      <c r="D813" s="2">
        <f>SUMIFS(tbl_raw[Units_Sold],tbl_raw[Product_Name],A813)</f>
        <v>9</v>
      </c>
      <c r="E813" s="3">
        <f>SUMIFS(tbl_raw[Net_Profit],tbl_raw[Product_Name],A813)</f>
        <v>20016</v>
      </c>
      <c r="F813" s="2">
        <f>SUMIFS(tbl_raw[Return_Flag],tbl_raw[Product_Name],A813)</f>
        <v>1</v>
      </c>
      <c r="G813" s="3" cm="1">
        <f t="array" ref="G813">SUMPRODUCT((tbl_raw[Product_Name]=A813)*(tbl_raw[MRP]-tbl_raw[Selling_Price])*tbl_raw[Units_Sold])</f>
        <v>0</v>
      </c>
      <c r="H813" s="83">
        <f>AVERAGEIFS(tbl_raw[Discount_Pct],tbl_raw[Product_Name],A813)</f>
        <v>0</v>
      </c>
    </row>
    <row r="814" spans="1:8" hidden="1" x14ac:dyDescent="0.25">
      <c r="A814" s="2" t="str">
        <v>Dumbbells - Model 584</v>
      </c>
      <c r="B814" s="2" t="str">
        <f>_xlfn.XLOOKUP(A814,tbl_raw[Product_Name],tbl_raw[Category])</f>
        <v>Sports</v>
      </c>
      <c r="C814" s="2">
        <f>COUNTIF(tbl_raw[Product_Name],A814)</f>
        <v>1</v>
      </c>
      <c r="D814" s="2">
        <f>SUMIFS(tbl_raw[Units_Sold],tbl_raw[Product_Name],A814)</f>
        <v>20</v>
      </c>
      <c r="E814" s="3">
        <f>SUMIFS(tbl_raw[Net_Profit],tbl_raw[Product_Name],A814)</f>
        <v>4800</v>
      </c>
      <c r="F814" s="2">
        <f>SUMIFS(tbl_raw[Return_Flag],tbl_raw[Product_Name],A814)</f>
        <v>1</v>
      </c>
      <c r="G814" s="3" cm="1">
        <f t="array" ref="G814">SUMPRODUCT((tbl_raw[Product_Name]=A814)*(tbl_raw[MRP]-tbl_raw[Selling_Price])*tbl_raw[Units_Sold])</f>
        <v>12080</v>
      </c>
      <c r="H814" s="83">
        <f>AVERAGEIFS(tbl_raw[Discount_Pct],tbl_raw[Product_Name],A814)</f>
        <v>0.17</v>
      </c>
    </row>
    <row r="815" spans="1:8" hidden="1" x14ac:dyDescent="0.25">
      <c r="A815" s="2" t="str">
        <v>Headphones - Model 994</v>
      </c>
      <c r="B815" s="2" t="str">
        <f>_xlfn.XLOOKUP(A815,tbl_raw[Product_Name],tbl_raw[Category])</f>
        <v>Electronics</v>
      </c>
      <c r="C815" s="2">
        <f>COUNTIF(tbl_raw[Product_Name],A815)</f>
        <v>1</v>
      </c>
      <c r="D815" s="2">
        <f>SUMIFS(tbl_raw[Units_Sold],tbl_raw[Product_Name],A815)</f>
        <v>4</v>
      </c>
      <c r="E815" s="3">
        <f>SUMIFS(tbl_raw[Net_Profit],tbl_raw[Product_Name],A815)</f>
        <v>-556</v>
      </c>
      <c r="F815" s="2">
        <f>SUMIFS(tbl_raw[Return_Flag],tbl_raw[Product_Name],A815)</f>
        <v>0</v>
      </c>
      <c r="G815" s="3" cm="1">
        <f t="array" ref="G815">SUMPRODUCT((tbl_raw[Product_Name]=A815)*(tbl_raw[MRP]-tbl_raw[Selling_Price])*tbl_raw[Units_Sold])</f>
        <v>348</v>
      </c>
      <c r="H815" s="83">
        <f>AVERAGEIFS(tbl_raw[Discount_Pct],tbl_raw[Product_Name],A815)</f>
        <v>0.39</v>
      </c>
    </row>
    <row r="816" spans="1:8" hidden="1" x14ac:dyDescent="0.25">
      <c r="A816" s="2" t="str">
        <v>Lipstick - Model 562</v>
      </c>
      <c r="B816" s="2" t="str">
        <f>_xlfn.XLOOKUP(A816,tbl_raw[Product_Name],tbl_raw[Category])</f>
        <v>Beauty</v>
      </c>
      <c r="C816" s="2">
        <f>COUNTIF(tbl_raw[Product_Name],A816)</f>
        <v>1</v>
      </c>
      <c r="D816" s="2">
        <f>SUMIFS(tbl_raw[Units_Sold],tbl_raw[Product_Name],A816)</f>
        <v>16</v>
      </c>
      <c r="E816" s="3">
        <f>SUMIFS(tbl_raw[Net_Profit],tbl_raw[Product_Name],A816)</f>
        <v>18144</v>
      </c>
      <c r="F816" s="2">
        <f>SUMIFS(tbl_raw[Return_Flag],tbl_raw[Product_Name],A816)</f>
        <v>0</v>
      </c>
      <c r="G816" s="3" cm="1">
        <f t="array" ref="G816">SUMPRODUCT((tbl_raw[Product_Name]=A816)*(tbl_raw[MRP]-tbl_raw[Selling_Price])*tbl_raw[Units_Sold])</f>
        <v>20240</v>
      </c>
      <c r="H816" s="83">
        <f>AVERAGEIFS(tbl_raw[Discount_Pct],tbl_raw[Product_Name],A816)</f>
        <v>0.3</v>
      </c>
    </row>
    <row r="817" spans="1:8" hidden="1" x14ac:dyDescent="0.25">
      <c r="A817" s="2" t="str">
        <v>Children - Model 339</v>
      </c>
      <c r="B817" s="2" t="str">
        <f>_xlfn.XLOOKUP(A817,tbl_raw[Product_Name],tbl_raw[Category])</f>
        <v>Books</v>
      </c>
      <c r="C817" s="2">
        <f>COUNTIF(tbl_raw[Product_Name],A817)</f>
        <v>1</v>
      </c>
      <c r="D817" s="2">
        <f>SUMIFS(tbl_raw[Units_Sold],tbl_raw[Product_Name],A817)</f>
        <v>16</v>
      </c>
      <c r="E817" s="3">
        <f>SUMIFS(tbl_raw[Net_Profit],tbl_raw[Product_Name],A817)</f>
        <v>13984</v>
      </c>
      <c r="F817" s="2">
        <f>SUMIFS(tbl_raw[Return_Flag],tbl_raw[Product_Name],A817)</f>
        <v>0</v>
      </c>
      <c r="G817" s="3" cm="1">
        <f t="array" ref="G817">SUMPRODUCT((tbl_raw[Product_Name]=A817)*(tbl_raw[MRP]-tbl_raw[Selling_Price])*tbl_raw[Units_Sold])</f>
        <v>14880</v>
      </c>
      <c r="H817" s="83">
        <f>AVERAGEIFS(tbl_raw[Discount_Pct],tbl_raw[Product_Name],A817)</f>
        <v>0.28000000000000003</v>
      </c>
    </row>
    <row r="818" spans="1:8" hidden="1" x14ac:dyDescent="0.25">
      <c r="A818" s="2" t="str">
        <v>Puzzle - Model 721</v>
      </c>
      <c r="B818" s="2" t="str">
        <f>_xlfn.XLOOKUP(A818,tbl_raw[Product_Name],tbl_raw[Category])</f>
        <v>Toys</v>
      </c>
      <c r="C818" s="2">
        <f>COUNTIF(tbl_raw[Product_Name],A818)</f>
        <v>1</v>
      </c>
      <c r="D818" s="2">
        <f>SUMIFS(tbl_raw[Units_Sold],tbl_raw[Product_Name],A818)</f>
        <v>5</v>
      </c>
      <c r="E818" s="3">
        <f>SUMIFS(tbl_raw[Net_Profit],tbl_raw[Product_Name],A818)</f>
        <v>-2945</v>
      </c>
      <c r="F818" s="2">
        <f>SUMIFS(tbl_raw[Return_Flag],tbl_raw[Product_Name],A818)</f>
        <v>1</v>
      </c>
      <c r="G818" s="3" cm="1">
        <f t="array" ref="G818">SUMPRODUCT((tbl_raw[Product_Name]=A818)*(tbl_raw[MRP]-tbl_raw[Selling_Price])*tbl_raw[Units_Sold])</f>
        <v>13620</v>
      </c>
      <c r="H818" s="83">
        <f>AVERAGEIFS(tbl_raw[Discount_Pct],tbl_raw[Product_Name],A818)</f>
        <v>0.39</v>
      </c>
    </row>
    <row r="819" spans="1:8" hidden="1" x14ac:dyDescent="0.25">
      <c r="A819" s="2" t="str">
        <v>Oil - Model 556</v>
      </c>
      <c r="B819" s="2" t="str">
        <f>_xlfn.XLOOKUP(A819,tbl_raw[Product_Name],tbl_raw[Category])</f>
        <v>Grocery</v>
      </c>
      <c r="C819" s="2">
        <f>COUNTIF(tbl_raw[Product_Name],A819)</f>
        <v>1</v>
      </c>
      <c r="D819" s="2">
        <f>SUMIFS(tbl_raw[Units_Sold],tbl_raw[Product_Name],A819)</f>
        <v>16</v>
      </c>
      <c r="E819" s="3">
        <f>SUMIFS(tbl_raw[Net_Profit],tbl_raw[Product_Name],A819)</f>
        <v>33440</v>
      </c>
      <c r="F819" s="2">
        <f>SUMIFS(tbl_raw[Return_Flag],tbl_raw[Product_Name],A819)</f>
        <v>0</v>
      </c>
      <c r="G819" s="3" cm="1">
        <f t="array" ref="G819">SUMPRODUCT((tbl_raw[Product_Name]=A819)*(tbl_raw[MRP]-tbl_raw[Selling_Price])*tbl_raw[Units_Sold])</f>
        <v>9456</v>
      </c>
      <c r="H819" s="83">
        <f>AVERAGEIFS(tbl_raw[Discount_Pct],tbl_raw[Product_Name],A819)</f>
        <v>0.11</v>
      </c>
    </row>
    <row r="820" spans="1:8" hidden="1" x14ac:dyDescent="0.25">
      <c r="A820" s="2" t="str">
        <v>Children - Model 884</v>
      </c>
      <c r="B820" s="2" t="str">
        <f>_xlfn.XLOOKUP(A820,tbl_raw[Product_Name],tbl_raw[Category])</f>
        <v>Books</v>
      </c>
      <c r="C820" s="2">
        <f>COUNTIF(tbl_raw[Product_Name],A820)</f>
        <v>1</v>
      </c>
      <c r="D820" s="2">
        <f>SUMIFS(tbl_raw[Units_Sold],tbl_raw[Product_Name],A820)</f>
        <v>8</v>
      </c>
      <c r="E820" s="3">
        <f>SUMIFS(tbl_raw[Net_Profit],tbl_raw[Product_Name],A820)</f>
        <v>-2584</v>
      </c>
      <c r="F820" s="2">
        <f>SUMIFS(tbl_raw[Return_Flag],tbl_raw[Product_Name],A820)</f>
        <v>1</v>
      </c>
      <c r="G820" s="3" cm="1">
        <f t="array" ref="G820">SUMPRODUCT((tbl_raw[Product_Name]=A820)*(tbl_raw[MRP]-tbl_raw[Selling_Price])*tbl_raw[Units_Sold])</f>
        <v>13944</v>
      </c>
      <c r="H820" s="83">
        <f>AVERAGEIFS(tbl_raw[Discount_Pct],tbl_raw[Product_Name],A820)</f>
        <v>0.3</v>
      </c>
    </row>
    <row r="821" spans="1:8" hidden="1" x14ac:dyDescent="0.25">
      <c r="A821" s="2" t="str">
        <v>Self-Help - Model 689</v>
      </c>
      <c r="B821" s="2" t="str">
        <f>_xlfn.XLOOKUP(A821,tbl_raw[Product_Name],tbl_raw[Category])</f>
        <v>Books</v>
      </c>
      <c r="C821" s="2">
        <f>COUNTIF(tbl_raw[Product_Name],A821)</f>
        <v>1</v>
      </c>
      <c r="D821" s="2">
        <f>SUMIFS(tbl_raw[Units_Sold],tbl_raw[Product_Name],A821)</f>
        <v>3</v>
      </c>
      <c r="E821" s="3">
        <f>SUMIFS(tbl_raw[Net_Profit],tbl_raw[Product_Name],A821)</f>
        <v>2382</v>
      </c>
      <c r="F821" s="2">
        <f>SUMIFS(tbl_raw[Return_Flag],tbl_raw[Product_Name],A821)</f>
        <v>1</v>
      </c>
      <c r="G821" s="3" cm="1">
        <f t="array" ref="G821">SUMPRODUCT((tbl_raw[Product_Name]=A821)*(tbl_raw[MRP]-tbl_raw[Selling_Price])*tbl_raw[Units_Sold])</f>
        <v>2664</v>
      </c>
      <c r="H821" s="83">
        <f>AVERAGEIFS(tbl_raw[Discount_Pct],tbl_raw[Product_Name],A821)</f>
        <v>0.17</v>
      </c>
    </row>
    <row r="822" spans="1:8" hidden="1" x14ac:dyDescent="0.25">
      <c r="A822" s="2" t="str">
        <v>Serum - Model 365</v>
      </c>
      <c r="B822" s="2" t="str">
        <f>_xlfn.XLOOKUP(A822,tbl_raw[Product_Name],tbl_raw[Category])</f>
        <v>Beauty</v>
      </c>
      <c r="C822" s="2">
        <f>COUNTIF(tbl_raw[Product_Name],A822)</f>
        <v>1</v>
      </c>
      <c r="D822" s="2">
        <f>SUMIFS(tbl_raw[Units_Sold],tbl_raw[Product_Name],A822)</f>
        <v>10</v>
      </c>
      <c r="E822" s="3">
        <f>SUMIFS(tbl_raw[Net_Profit],tbl_raw[Product_Name],A822)</f>
        <v>950</v>
      </c>
      <c r="F822" s="2">
        <f>SUMIFS(tbl_raw[Return_Flag],tbl_raw[Product_Name],A822)</f>
        <v>0</v>
      </c>
      <c r="G822" s="3" cm="1">
        <f t="array" ref="G822">SUMPRODUCT((tbl_raw[Product_Name]=A822)*(tbl_raw[MRP]-tbl_raw[Selling_Price])*tbl_raw[Units_Sold])</f>
        <v>350</v>
      </c>
      <c r="H822" s="83">
        <f>AVERAGEIFS(tbl_raw[Discount_Pct],tbl_raw[Product_Name],A822)</f>
        <v>0.04</v>
      </c>
    </row>
    <row r="823" spans="1:8" hidden="1" x14ac:dyDescent="0.25">
      <c r="A823" s="2" t="str">
        <v>Headphones - Model 163</v>
      </c>
      <c r="B823" s="2" t="str">
        <f>_xlfn.XLOOKUP(A823,tbl_raw[Product_Name],tbl_raw[Category])</f>
        <v>Electronics</v>
      </c>
      <c r="C823" s="2">
        <f>COUNTIF(tbl_raw[Product_Name],A823)</f>
        <v>1</v>
      </c>
      <c r="D823" s="2">
        <f>SUMIFS(tbl_raw[Units_Sold],tbl_raw[Product_Name],A823)</f>
        <v>18</v>
      </c>
      <c r="E823" s="3">
        <f>SUMIFS(tbl_raw[Net_Profit],tbl_raw[Product_Name],A823)</f>
        <v>5886</v>
      </c>
      <c r="F823" s="2">
        <f>SUMIFS(tbl_raw[Return_Flag],tbl_raw[Product_Name],A823)</f>
        <v>1</v>
      </c>
      <c r="G823" s="3" cm="1">
        <f t="array" ref="G823">SUMPRODUCT((tbl_raw[Product_Name]=A823)*(tbl_raw[MRP]-tbl_raw[Selling_Price])*tbl_raw[Units_Sold])</f>
        <v>5148</v>
      </c>
      <c r="H823" s="83">
        <f>AVERAGEIFS(tbl_raw[Discount_Pct],tbl_raw[Product_Name],A823)</f>
        <v>0.17</v>
      </c>
    </row>
    <row r="824" spans="1:8" hidden="1" x14ac:dyDescent="0.25">
      <c r="A824" s="2" t="str">
        <v>Action Figure - Model 651</v>
      </c>
      <c r="B824" s="2" t="str">
        <f>_xlfn.XLOOKUP(A824,tbl_raw[Product_Name],tbl_raw[Category])</f>
        <v>Toys</v>
      </c>
      <c r="C824" s="2">
        <f>COUNTIF(tbl_raw[Product_Name],A824)</f>
        <v>1</v>
      </c>
      <c r="D824" s="2">
        <f>SUMIFS(tbl_raw[Units_Sold],tbl_raw[Product_Name],A824)</f>
        <v>11</v>
      </c>
      <c r="E824" s="3">
        <f>SUMIFS(tbl_raw[Net_Profit],tbl_raw[Product_Name],A824)</f>
        <v>-2805</v>
      </c>
      <c r="F824" s="2">
        <f>SUMIFS(tbl_raw[Return_Flag],tbl_raw[Product_Name],A824)</f>
        <v>0</v>
      </c>
      <c r="G824" s="3" cm="1">
        <f t="array" ref="G824">SUMPRODUCT((tbl_raw[Product_Name]=A824)*(tbl_raw[MRP]-tbl_raw[Selling_Price])*tbl_raw[Units_Sold])</f>
        <v>6138</v>
      </c>
      <c r="H824" s="83">
        <f>AVERAGEIFS(tbl_raw[Discount_Pct],tbl_raw[Product_Name],A824)</f>
        <v>0.42</v>
      </c>
    </row>
    <row r="825" spans="1:8" hidden="1" x14ac:dyDescent="0.25">
      <c r="A825" s="2" t="str">
        <v>Tablet - Model 427</v>
      </c>
      <c r="B825" s="2" t="str">
        <f>_xlfn.XLOOKUP(A825,tbl_raw[Product_Name],tbl_raw[Category])</f>
        <v>Electronics</v>
      </c>
      <c r="C825" s="2">
        <f>COUNTIF(tbl_raw[Product_Name],A825)</f>
        <v>1</v>
      </c>
      <c r="D825" s="2">
        <f>SUMIFS(tbl_raw[Units_Sold],tbl_raw[Product_Name],A825)</f>
        <v>17</v>
      </c>
      <c r="E825" s="3">
        <f>SUMIFS(tbl_raw[Net_Profit],tbl_raw[Product_Name],A825)</f>
        <v>23443</v>
      </c>
      <c r="F825" s="2">
        <f>SUMIFS(tbl_raw[Return_Flag],tbl_raw[Product_Name],A825)</f>
        <v>0</v>
      </c>
      <c r="G825" s="3" cm="1">
        <f t="array" ref="G825">SUMPRODUCT((tbl_raw[Product_Name]=A825)*(tbl_raw[MRP]-tbl_raw[Selling_Price])*tbl_raw[Units_Sold])</f>
        <v>8075</v>
      </c>
      <c r="H825" s="83">
        <f>AVERAGEIFS(tbl_raw[Discount_Pct],tbl_raw[Product_Name],A825)</f>
        <v>0.06</v>
      </c>
    </row>
    <row r="826" spans="1:8" hidden="1" x14ac:dyDescent="0.25">
      <c r="A826" s="2" t="str">
        <v>Action Figure - Model 929</v>
      </c>
      <c r="B826" s="2" t="str">
        <f>_xlfn.XLOOKUP(A826,tbl_raw[Product_Name],tbl_raw[Category])</f>
        <v>Toys</v>
      </c>
      <c r="C826" s="2">
        <f>COUNTIF(tbl_raw[Product_Name],A826)</f>
        <v>1</v>
      </c>
      <c r="D826" s="2">
        <f>SUMIFS(tbl_raw[Units_Sold],tbl_raw[Product_Name],A826)</f>
        <v>5</v>
      </c>
      <c r="E826" s="3">
        <f>SUMIFS(tbl_raw[Net_Profit],tbl_raw[Product_Name],A826)</f>
        <v>7680</v>
      </c>
      <c r="F826" s="2">
        <f>SUMIFS(tbl_raw[Return_Flag],tbl_raw[Product_Name],A826)</f>
        <v>1</v>
      </c>
      <c r="G826" s="3" cm="1">
        <f t="array" ref="G826">SUMPRODUCT((tbl_raw[Product_Name]=A826)*(tbl_raw[MRP]-tbl_raw[Selling_Price])*tbl_raw[Units_Sold])</f>
        <v>2995</v>
      </c>
      <c r="H826" s="83">
        <f>AVERAGEIFS(tbl_raw[Discount_Pct],tbl_raw[Product_Name],A826)</f>
        <v>0.09</v>
      </c>
    </row>
    <row r="827" spans="1:8" hidden="1" x14ac:dyDescent="0.25">
      <c r="A827" s="2" t="str">
        <v>Puzzle - Model 934</v>
      </c>
      <c r="B827" s="2" t="str">
        <f>_xlfn.XLOOKUP(A827,tbl_raw[Product_Name],tbl_raw[Category])</f>
        <v>Toys</v>
      </c>
      <c r="C827" s="2">
        <f>COUNTIF(tbl_raw[Product_Name],A827)</f>
        <v>1</v>
      </c>
      <c r="D827" s="2">
        <f>SUMIFS(tbl_raw[Units_Sold],tbl_raw[Product_Name],A827)</f>
        <v>1</v>
      </c>
      <c r="E827" s="3">
        <f>SUMIFS(tbl_raw[Net_Profit],tbl_raw[Product_Name],A827)</f>
        <v>773</v>
      </c>
      <c r="F827" s="2">
        <f>SUMIFS(tbl_raw[Return_Flag],tbl_raw[Product_Name],A827)</f>
        <v>0</v>
      </c>
      <c r="G827" s="3" cm="1">
        <f t="array" ref="G827">SUMPRODUCT((tbl_raw[Product_Name]=A827)*(tbl_raw[MRP]-tbl_raw[Selling_Price])*tbl_raw[Units_Sold])</f>
        <v>671</v>
      </c>
      <c r="H827" s="83">
        <f>AVERAGEIFS(tbl_raw[Discount_Pct],tbl_raw[Product_Name],A827)</f>
        <v>0.15</v>
      </c>
    </row>
    <row r="828" spans="1:8" hidden="1" x14ac:dyDescent="0.25">
      <c r="A828" s="2" t="str">
        <v>Sunscreen - Model 503</v>
      </c>
      <c r="B828" s="2" t="str">
        <f>_xlfn.XLOOKUP(A828,tbl_raw[Product_Name],tbl_raw[Category])</f>
        <v>Beauty</v>
      </c>
      <c r="C828" s="2">
        <f>COUNTIF(tbl_raw[Product_Name],A828)</f>
        <v>1</v>
      </c>
      <c r="D828" s="2">
        <f>SUMIFS(tbl_raw[Units_Sold],tbl_raw[Product_Name],A828)</f>
        <v>5</v>
      </c>
      <c r="E828" s="3">
        <f>SUMIFS(tbl_raw[Net_Profit],tbl_raw[Product_Name],A828)</f>
        <v>-1045</v>
      </c>
      <c r="F828" s="2">
        <f>SUMIFS(tbl_raw[Return_Flag],tbl_raw[Product_Name],A828)</f>
        <v>0</v>
      </c>
      <c r="G828" s="3" cm="1">
        <f t="array" ref="G828">SUMPRODUCT((tbl_raw[Product_Name]=A828)*(tbl_raw[MRP]-tbl_raw[Selling_Price])*tbl_raw[Units_Sold])</f>
        <v>4900</v>
      </c>
      <c r="H828" s="83">
        <f>AVERAGEIFS(tbl_raw[Discount_Pct],tbl_raw[Product_Name],A828)</f>
        <v>0.36</v>
      </c>
    </row>
    <row r="829" spans="1:8" hidden="1" x14ac:dyDescent="0.25">
      <c r="A829" s="2" t="str">
        <v>Rice - Model 248</v>
      </c>
      <c r="B829" s="2" t="str">
        <f>_xlfn.XLOOKUP(A829,tbl_raw[Product_Name],tbl_raw[Category])</f>
        <v>Grocery</v>
      </c>
      <c r="C829" s="2">
        <f>COUNTIF(tbl_raw[Product_Name],A829)</f>
        <v>1</v>
      </c>
      <c r="D829" s="2">
        <f>SUMIFS(tbl_raw[Units_Sold],tbl_raw[Product_Name],A829)</f>
        <v>7</v>
      </c>
      <c r="E829" s="3">
        <f>SUMIFS(tbl_raw[Net_Profit],tbl_raw[Product_Name],A829)</f>
        <v>12194</v>
      </c>
      <c r="F829" s="2">
        <f>SUMIFS(tbl_raw[Return_Flag],tbl_raw[Product_Name],A829)</f>
        <v>1</v>
      </c>
      <c r="G829" s="3" cm="1">
        <f t="array" ref="G829">SUMPRODUCT((tbl_raw[Product_Name]=A829)*(tbl_raw[MRP]-tbl_raw[Selling_Price])*tbl_raw[Units_Sold])</f>
        <v>4081</v>
      </c>
      <c r="H829" s="83">
        <f>AVERAGEIFS(tbl_raw[Discount_Pct],tbl_raw[Product_Name],A829)</f>
        <v>0.09</v>
      </c>
    </row>
    <row r="830" spans="1:8" hidden="1" x14ac:dyDescent="0.25">
      <c r="A830" s="2" t="str">
        <v>Board Game - Model 157</v>
      </c>
      <c r="B830" s="2" t="str">
        <f>_xlfn.XLOOKUP(A830,tbl_raw[Product_Name],tbl_raw[Category])</f>
        <v>Toys</v>
      </c>
      <c r="C830" s="2">
        <f>COUNTIF(tbl_raw[Product_Name],A830)</f>
        <v>1</v>
      </c>
      <c r="D830" s="2">
        <f>SUMIFS(tbl_raw[Units_Sold],tbl_raw[Product_Name],A830)</f>
        <v>12</v>
      </c>
      <c r="E830" s="3">
        <f>SUMIFS(tbl_raw[Net_Profit],tbl_raw[Product_Name],A830)</f>
        <v>44820</v>
      </c>
      <c r="F830" s="2">
        <f>SUMIFS(tbl_raw[Return_Flag],tbl_raw[Product_Name],A830)</f>
        <v>0</v>
      </c>
      <c r="G830" s="3" cm="1">
        <f t="array" ref="G830">SUMPRODUCT((tbl_raw[Product_Name]=A830)*(tbl_raw[MRP]-tbl_raw[Selling_Price])*tbl_raw[Units_Sold])</f>
        <v>7488</v>
      </c>
      <c r="H830" s="83">
        <f>AVERAGEIFS(tbl_raw[Discount_Pct],tbl_raw[Product_Name],A830)</f>
        <v>0.08</v>
      </c>
    </row>
    <row r="831" spans="1:8" hidden="1" x14ac:dyDescent="0.25">
      <c r="A831" s="2" t="str">
        <v>Board Game - Model 134</v>
      </c>
      <c r="B831" s="2" t="str">
        <f>_xlfn.XLOOKUP(A831,tbl_raw[Product_Name],tbl_raw[Category])</f>
        <v>Toys</v>
      </c>
      <c r="C831" s="2">
        <f>COUNTIF(tbl_raw[Product_Name],A831)</f>
        <v>1</v>
      </c>
      <c r="D831" s="2">
        <f>SUMIFS(tbl_raw[Units_Sold],tbl_raw[Product_Name],A831)</f>
        <v>8</v>
      </c>
      <c r="E831" s="3">
        <f>SUMIFS(tbl_raw[Net_Profit],tbl_raw[Product_Name],A831)</f>
        <v>6176</v>
      </c>
      <c r="F831" s="2">
        <f>SUMIFS(tbl_raw[Return_Flag],tbl_raw[Product_Name],A831)</f>
        <v>0</v>
      </c>
      <c r="G831" s="3" cm="1">
        <f t="array" ref="G831">SUMPRODUCT((tbl_raw[Product_Name]=A831)*(tbl_raw[MRP]-tbl_raw[Selling_Price])*tbl_raw[Units_Sold])</f>
        <v>3688</v>
      </c>
      <c r="H831" s="83">
        <f>AVERAGEIFS(tbl_raw[Discount_Pct],tbl_raw[Product_Name],A831)</f>
        <v>0.14000000000000001</v>
      </c>
    </row>
    <row r="832" spans="1:8" hidden="1" x14ac:dyDescent="0.25">
      <c r="A832" s="2" t="str">
        <v>Shoes - Model 985</v>
      </c>
      <c r="B832" s="2" t="str">
        <f>_xlfn.XLOOKUP(A832,tbl_raw[Product_Name],tbl_raw[Category])</f>
        <v>Fashion</v>
      </c>
      <c r="C832" s="2">
        <f>COUNTIF(tbl_raw[Product_Name],A832)</f>
        <v>1</v>
      </c>
      <c r="D832" s="2">
        <f>SUMIFS(tbl_raw[Units_Sold],tbl_raw[Product_Name],A832)</f>
        <v>9</v>
      </c>
      <c r="E832" s="3">
        <f>SUMIFS(tbl_raw[Net_Profit],tbl_raw[Product_Name],A832)</f>
        <v>17865</v>
      </c>
      <c r="F832" s="2">
        <f>SUMIFS(tbl_raw[Return_Flag],tbl_raw[Product_Name],A832)</f>
        <v>0</v>
      </c>
      <c r="G832" s="3" cm="1">
        <f t="array" ref="G832">SUMPRODUCT((tbl_raw[Product_Name]=A832)*(tbl_raw[MRP]-tbl_raw[Selling_Price])*tbl_raw[Units_Sold])</f>
        <v>9234</v>
      </c>
      <c r="H832" s="83">
        <f>AVERAGEIFS(tbl_raw[Discount_Pct],tbl_raw[Product_Name],A832)</f>
        <v>0.2</v>
      </c>
    </row>
    <row r="833" spans="1:8" hidden="1" x14ac:dyDescent="0.25">
      <c r="A833" s="2" t="str">
        <v>Tablet - Model 686</v>
      </c>
      <c r="B833" s="2" t="str">
        <f>_xlfn.XLOOKUP(A833,tbl_raw[Product_Name],tbl_raw[Category])</f>
        <v>Electronics</v>
      </c>
      <c r="C833" s="2">
        <f>COUNTIF(tbl_raw[Product_Name],A833)</f>
        <v>1</v>
      </c>
      <c r="D833" s="2">
        <f>SUMIFS(tbl_raw[Units_Sold],tbl_raw[Product_Name],A833)</f>
        <v>16</v>
      </c>
      <c r="E833" s="3">
        <f>SUMIFS(tbl_raw[Net_Profit],tbl_raw[Product_Name],A833)</f>
        <v>-1584</v>
      </c>
      <c r="F833" s="2">
        <f>SUMIFS(tbl_raw[Return_Flag],tbl_raw[Product_Name],A833)</f>
        <v>0</v>
      </c>
      <c r="G833" s="3" cm="1">
        <f t="array" ref="G833">SUMPRODUCT((tbl_raw[Product_Name]=A833)*(tbl_raw[MRP]-tbl_raw[Selling_Price])*tbl_raw[Units_Sold])</f>
        <v>12704</v>
      </c>
      <c r="H833" s="83">
        <f>AVERAGEIFS(tbl_raw[Discount_Pct],tbl_raw[Product_Name],A833)</f>
        <v>0.34</v>
      </c>
    </row>
    <row r="834" spans="1:8" hidden="1" x14ac:dyDescent="0.25">
      <c r="A834" s="2" t="str">
        <v>Mixer - Model 433</v>
      </c>
      <c r="B834" s="2" t="str">
        <f>_xlfn.XLOOKUP(A834,tbl_raw[Product_Name],tbl_raw[Category])</f>
        <v>Home &amp; Kitchen</v>
      </c>
      <c r="C834" s="2">
        <f>COUNTIF(tbl_raw[Product_Name],A834)</f>
        <v>1</v>
      </c>
      <c r="D834" s="2">
        <f>SUMIFS(tbl_raw[Units_Sold],tbl_raw[Product_Name],A834)</f>
        <v>18</v>
      </c>
      <c r="E834" s="3">
        <f>SUMIFS(tbl_raw[Net_Profit],tbl_raw[Product_Name],A834)</f>
        <v>4554</v>
      </c>
      <c r="F834" s="2">
        <f>SUMIFS(tbl_raw[Return_Flag],tbl_raw[Product_Name],A834)</f>
        <v>0</v>
      </c>
      <c r="G834" s="3" cm="1">
        <f t="array" ref="G834">SUMPRODUCT((tbl_raw[Product_Name]=A834)*(tbl_raw[MRP]-tbl_raw[Selling_Price])*tbl_raw[Units_Sold])</f>
        <v>10944</v>
      </c>
      <c r="H834" s="83">
        <f>AVERAGEIFS(tbl_raw[Discount_Pct],tbl_raw[Product_Name],A834)</f>
        <v>0.37</v>
      </c>
    </row>
    <row r="835" spans="1:8" hidden="1" x14ac:dyDescent="0.25">
      <c r="A835" s="2" t="str">
        <v>Jeans - Model 774</v>
      </c>
      <c r="B835" s="2" t="str">
        <f>_xlfn.XLOOKUP(A835,tbl_raw[Product_Name],tbl_raw[Category])</f>
        <v>Fashion</v>
      </c>
      <c r="C835" s="2">
        <f>COUNTIF(tbl_raw[Product_Name],A835)</f>
        <v>1</v>
      </c>
      <c r="D835" s="2">
        <f>SUMIFS(tbl_raw[Units_Sold],tbl_raw[Product_Name],A835)</f>
        <v>6</v>
      </c>
      <c r="E835" s="3">
        <f>SUMIFS(tbl_raw[Net_Profit],tbl_raw[Product_Name],A835)</f>
        <v>11388</v>
      </c>
      <c r="F835" s="2">
        <f>SUMIFS(tbl_raw[Return_Flag],tbl_raw[Product_Name],A835)</f>
        <v>0</v>
      </c>
      <c r="G835" s="3" cm="1">
        <f t="array" ref="G835">SUMPRODUCT((tbl_raw[Product_Name]=A835)*(tbl_raw[MRP]-tbl_raw[Selling_Price])*tbl_raw[Units_Sold])</f>
        <v>12876</v>
      </c>
      <c r="H835" s="83">
        <f>AVERAGEIFS(tbl_raw[Discount_Pct],tbl_raw[Product_Name],A835)</f>
        <v>0.31</v>
      </c>
    </row>
    <row r="836" spans="1:8" hidden="1" x14ac:dyDescent="0.25">
      <c r="A836" s="2" t="str">
        <v>Mixer - Model 675</v>
      </c>
      <c r="B836" s="2" t="str">
        <f>_xlfn.XLOOKUP(A836,tbl_raw[Product_Name],tbl_raw[Category])</f>
        <v>Home &amp; Kitchen</v>
      </c>
      <c r="C836" s="2">
        <f>COUNTIF(tbl_raw[Product_Name],A836)</f>
        <v>1</v>
      </c>
      <c r="D836" s="2">
        <f>SUMIFS(tbl_raw[Units_Sold],tbl_raw[Product_Name],A836)</f>
        <v>2</v>
      </c>
      <c r="E836" s="3">
        <f>SUMIFS(tbl_raw[Net_Profit],tbl_raw[Product_Name],A836)</f>
        <v>398</v>
      </c>
      <c r="F836" s="2">
        <f>SUMIFS(tbl_raw[Return_Flag],tbl_raw[Product_Name],A836)</f>
        <v>0</v>
      </c>
      <c r="G836" s="3" cm="1">
        <f t="array" ref="G836">SUMPRODUCT((tbl_raw[Product_Name]=A836)*(tbl_raw[MRP]-tbl_raw[Selling_Price])*tbl_raw[Units_Sold])</f>
        <v>104</v>
      </c>
      <c r="H836" s="83">
        <f>AVERAGEIFS(tbl_raw[Discount_Pct],tbl_raw[Product_Name],A836)</f>
        <v>0.06</v>
      </c>
    </row>
    <row r="837" spans="1:8" hidden="1" x14ac:dyDescent="0.25">
      <c r="A837" s="2" t="str">
        <v>Shoes - Model 631</v>
      </c>
      <c r="B837" s="2" t="str">
        <f>_xlfn.XLOOKUP(A837,tbl_raw[Product_Name],tbl_raw[Category])</f>
        <v>Sports</v>
      </c>
      <c r="C837" s="2">
        <f>COUNTIF(tbl_raw[Product_Name],A837)</f>
        <v>1</v>
      </c>
      <c r="D837" s="2">
        <f>SUMIFS(tbl_raw[Units_Sold],tbl_raw[Product_Name],A837)</f>
        <v>18</v>
      </c>
      <c r="E837" s="3">
        <f>SUMIFS(tbl_raw[Net_Profit],tbl_raw[Product_Name],A837)</f>
        <v>4446</v>
      </c>
      <c r="F837" s="2">
        <f>SUMIFS(tbl_raw[Return_Flag],tbl_raw[Product_Name],A837)</f>
        <v>0</v>
      </c>
      <c r="G837" s="3" cm="1">
        <f t="array" ref="G837">SUMPRODUCT((tbl_raw[Product_Name]=A837)*(tbl_raw[MRP]-tbl_raw[Selling_Price])*tbl_raw[Units_Sold])</f>
        <v>17172</v>
      </c>
      <c r="H837" s="83">
        <f>AVERAGEIFS(tbl_raw[Discount_Pct],tbl_raw[Product_Name],A837)</f>
        <v>0.26</v>
      </c>
    </row>
    <row r="838" spans="1:8" hidden="1" x14ac:dyDescent="0.25">
      <c r="A838" s="2" t="str">
        <v>Laptop - Model 137</v>
      </c>
      <c r="B838" s="2" t="str">
        <f>_xlfn.XLOOKUP(A838,tbl_raw[Product_Name],tbl_raw[Category])</f>
        <v>Electronics</v>
      </c>
      <c r="C838" s="2">
        <f>COUNTIF(tbl_raw[Product_Name],A838)</f>
        <v>1</v>
      </c>
      <c r="D838" s="2">
        <f>SUMIFS(tbl_raw[Units_Sold],tbl_raw[Product_Name],A838)</f>
        <v>5</v>
      </c>
      <c r="E838" s="3">
        <f>SUMIFS(tbl_raw[Net_Profit],tbl_raw[Product_Name],A838)</f>
        <v>-1935</v>
      </c>
      <c r="F838" s="2">
        <f>SUMIFS(tbl_raw[Return_Flag],tbl_raw[Product_Name],A838)</f>
        <v>0</v>
      </c>
      <c r="G838" s="3" cm="1">
        <f t="array" ref="G838">SUMPRODUCT((tbl_raw[Product_Name]=A838)*(tbl_raw[MRP]-tbl_raw[Selling_Price])*tbl_raw[Units_Sold])</f>
        <v>4695</v>
      </c>
      <c r="H838" s="83">
        <f>AVERAGEIFS(tbl_raw[Discount_Pct],tbl_raw[Product_Name],A838)</f>
        <v>0.37</v>
      </c>
    </row>
    <row r="839" spans="1:8" hidden="1" x14ac:dyDescent="0.25">
      <c r="A839" s="2" t="str">
        <v>Action Figure - Model 663</v>
      </c>
      <c r="B839" s="2" t="str">
        <f>_xlfn.XLOOKUP(A839,tbl_raw[Product_Name],tbl_raw[Category])</f>
        <v>Toys</v>
      </c>
      <c r="C839" s="2">
        <f>COUNTIF(tbl_raw[Product_Name],A839)</f>
        <v>1</v>
      </c>
      <c r="D839" s="2">
        <f>SUMIFS(tbl_raw[Units_Sold],tbl_raw[Product_Name],A839)</f>
        <v>9</v>
      </c>
      <c r="E839" s="3">
        <f>SUMIFS(tbl_raw[Net_Profit],tbl_raw[Product_Name],A839)</f>
        <v>1053</v>
      </c>
      <c r="F839" s="2">
        <f>SUMIFS(tbl_raw[Return_Flag],tbl_raw[Product_Name],A839)</f>
        <v>0</v>
      </c>
      <c r="G839" s="3" cm="1">
        <f t="array" ref="G839">SUMPRODUCT((tbl_raw[Product_Name]=A839)*(tbl_raw[MRP]-tbl_raw[Selling_Price])*tbl_raw[Units_Sold])</f>
        <v>11727</v>
      </c>
      <c r="H839" s="83">
        <f>AVERAGEIFS(tbl_raw[Discount_Pct],tbl_raw[Product_Name],A839)</f>
        <v>0.41</v>
      </c>
    </row>
    <row r="840" spans="1:8" hidden="1" x14ac:dyDescent="0.25">
      <c r="A840" s="2" t="str">
        <v>Moisturizer - Model 744</v>
      </c>
      <c r="B840" s="2" t="str">
        <f>_xlfn.XLOOKUP(A840,tbl_raw[Product_Name],tbl_raw[Category])</f>
        <v>Beauty</v>
      </c>
      <c r="C840" s="2">
        <f>COUNTIF(tbl_raw[Product_Name],A840)</f>
        <v>1</v>
      </c>
      <c r="D840" s="2">
        <f>SUMIFS(tbl_raw[Units_Sold],tbl_raw[Product_Name],A840)</f>
        <v>7</v>
      </c>
      <c r="E840" s="3">
        <f>SUMIFS(tbl_raw[Net_Profit],tbl_raw[Product_Name],A840)</f>
        <v>4235</v>
      </c>
      <c r="F840" s="2">
        <f>SUMIFS(tbl_raw[Return_Flag],tbl_raw[Product_Name],A840)</f>
        <v>0</v>
      </c>
      <c r="G840" s="3" cm="1">
        <f t="array" ref="G840">SUMPRODUCT((tbl_raw[Product_Name]=A840)*(tbl_raw[MRP]-tbl_raw[Selling_Price])*tbl_raw[Units_Sold])</f>
        <v>10101</v>
      </c>
      <c r="H840" s="83">
        <f>AVERAGEIFS(tbl_raw[Discount_Pct],tbl_raw[Product_Name],A840)</f>
        <v>0.25</v>
      </c>
    </row>
    <row r="841" spans="1:8" hidden="1" x14ac:dyDescent="0.25">
      <c r="A841" s="2" t="str">
        <v>Tablet - Model 353</v>
      </c>
      <c r="B841" s="2" t="str">
        <f>_xlfn.XLOOKUP(A841,tbl_raw[Product_Name],tbl_raw[Category])</f>
        <v>Electronics</v>
      </c>
      <c r="C841" s="2">
        <f>COUNTIF(tbl_raw[Product_Name],A841)</f>
        <v>1</v>
      </c>
      <c r="D841" s="2">
        <f>SUMIFS(tbl_raw[Units_Sold],tbl_raw[Product_Name],A841)</f>
        <v>9</v>
      </c>
      <c r="E841" s="3">
        <f>SUMIFS(tbl_raw[Net_Profit],tbl_raw[Product_Name],A841)</f>
        <v>3411</v>
      </c>
      <c r="F841" s="2">
        <f>SUMIFS(tbl_raw[Return_Flag],tbl_raw[Product_Name],A841)</f>
        <v>0</v>
      </c>
      <c r="G841" s="3" cm="1">
        <f t="array" ref="G841">SUMPRODUCT((tbl_raw[Product_Name]=A841)*(tbl_raw[MRP]-tbl_raw[Selling_Price])*tbl_raw[Units_Sold])</f>
        <v>531</v>
      </c>
      <c r="H841" s="83">
        <f>AVERAGEIFS(tbl_raw[Discount_Pct],tbl_raw[Product_Name],A841)</f>
        <v>0.05</v>
      </c>
    </row>
    <row r="842" spans="1:8" hidden="1" x14ac:dyDescent="0.25">
      <c r="A842" s="2" t="str">
        <v>Lipstick - Model 110</v>
      </c>
      <c r="B842" s="2" t="str">
        <f>_xlfn.XLOOKUP(A842,tbl_raw[Product_Name],tbl_raw[Category])</f>
        <v>Beauty</v>
      </c>
      <c r="C842" s="2">
        <f>COUNTIF(tbl_raw[Product_Name],A842)</f>
        <v>1</v>
      </c>
      <c r="D842" s="2">
        <f>SUMIFS(tbl_raw[Units_Sold],tbl_raw[Product_Name],A842)</f>
        <v>13</v>
      </c>
      <c r="E842" s="3">
        <f>SUMIFS(tbl_raw[Net_Profit],tbl_raw[Product_Name],A842)</f>
        <v>15093</v>
      </c>
      <c r="F842" s="2">
        <f>SUMIFS(tbl_raw[Return_Flag],tbl_raw[Product_Name],A842)</f>
        <v>0</v>
      </c>
      <c r="G842" s="3" cm="1">
        <f t="array" ref="G842">SUMPRODUCT((tbl_raw[Product_Name]=A842)*(tbl_raw[MRP]-tbl_raw[Selling_Price])*tbl_raw[Units_Sold])</f>
        <v>10192</v>
      </c>
      <c r="H842" s="83">
        <f>AVERAGEIFS(tbl_raw[Discount_Pct],tbl_raw[Product_Name],A842)</f>
        <v>0.1</v>
      </c>
    </row>
    <row r="843" spans="1:8" hidden="1" x14ac:dyDescent="0.25">
      <c r="A843" s="2" t="str">
        <v>Atta - Model 641</v>
      </c>
      <c r="B843" s="2" t="str">
        <f>_xlfn.XLOOKUP(A843,tbl_raw[Product_Name],tbl_raw[Category])</f>
        <v>Grocery</v>
      </c>
      <c r="C843" s="2">
        <f>COUNTIF(tbl_raw[Product_Name],A843)</f>
        <v>1</v>
      </c>
      <c r="D843" s="2">
        <f>SUMIFS(tbl_raw[Units_Sold],tbl_raw[Product_Name],A843)</f>
        <v>19</v>
      </c>
      <c r="E843" s="3">
        <f>SUMIFS(tbl_raw[Net_Profit],tbl_raw[Product_Name],A843)</f>
        <v>15010</v>
      </c>
      <c r="F843" s="2">
        <f>SUMIFS(tbl_raw[Return_Flag],tbl_raw[Product_Name],A843)</f>
        <v>0</v>
      </c>
      <c r="G843" s="3" cm="1">
        <f t="array" ref="G843">SUMPRODUCT((tbl_raw[Product_Name]=A843)*(tbl_raw[MRP]-tbl_raw[Selling_Price])*tbl_raw[Units_Sold])</f>
        <v>33022</v>
      </c>
      <c r="H843" s="83">
        <f>AVERAGEIFS(tbl_raw[Discount_Pct],tbl_raw[Product_Name],A843)</f>
        <v>0.25</v>
      </c>
    </row>
    <row r="844" spans="1:8" hidden="1" x14ac:dyDescent="0.25">
      <c r="A844" s="2" t="str">
        <v>Remote Car - Model 706</v>
      </c>
      <c r="B844" s="2" t="str">
        <f>_xlfn.XLOOKUP(A844,tbl_raw[Product_Name],tbl_raw[Category])</f>
        <v>Toys</v>
      </c>
      <c r="C844" s="2">
        <f>COUNTIF(tbl_raw[Product_Name],A844)</f>
        <v>1</v>
      </c>
      <c r="D844" s="2">
        <f>SUMIFS(tbl_raw[Units_Sold],tbl_raw[Product_Name],A844)</f>
        <v>9</v>
      </c>
      <c r="E844" s="3">
        <f>SUMIFS(tbl_raw[Net_Profit],tbl_raw[Product_Name],A844)</f>
        <v>333</v>
      </c>
      <c r="F844" s="2">
        <f>SUMIFS(tbl_raw[Return_Flag],tbl_raw[Product_Name],A844)</f>
        <v>0</v>
      </c>
      <c r="G844" s="3" cm="1">
        <f t="array" ref="G844">SUMPRODUCT((tbl_raw[Product_Name]=A844)*(tbl_raw[MRP]-tbl_raw[Selling_Price])*tbl_raw[Units_Sold])</f>
        <v>567</v>
      </c>
      <c r="H844" s="83">
        <f>AVERAGEIFS(tbl_raw[Discount_Pct],tbl_raw[Product_Name],A844)</f>
        <v>0.23</v>
      </c>
    </row>
    <row r="845" spans="1:8" hidden="1" x14ac:dyDescent="0.25">
      <c r="A845" s="2" t="str">
        <v>Self-Help - Model 794</v>
      </c>
      <c r="B845" s="2" t="str">
        <f>_xlfn.XLOOKUP(A845,tbl_raw[Product_Name],tbl_raw[Category])</f>
        <v>Books</v>
      </c>
      <c r="C845" s="2">
        <f>COUNTIF(tbl_raw[Product_Name],A845)</f>
        <v>1</v>
      </c>
      <c r="D845" s="2">
        <f>SUMIFS(tbl_raw[Units_Sold],tbl_raw[Product_Name],A845)</f>
        <v>14</v>
      </c>
      <c r="E845" s="3">
        <f>SUMIFS(tbl_raw[Net_Profit],tbl_raw[Product_Name],A845)</f>
        <v>11886</v>
      </c>
      <c r="F845" s="2">
        <f>SUMIFS(tbl_raw[Return_Flag],tbl_raw[Product_Name],A845)</f>
        <v>0</v>
      </c>
      <c r="G845" s="3" cm="1">
        <f t="array" ref="G845">SUMPRODUCT((tbl_raw[Product_Name]=A845)*(tbl_raw[MRP]-tbl_raw[Selling_Price])*tbl_raw[Units_Sold])</f>
        <v>6398</v>
      </c>
      <c r="H845" s="83">
        <f>AVERAGEIFS(tbl_raw[Discount_Pct],tbl_raw[Product_Name],A845)</f>
        <v>0.08</v>
      </c>
    </row>
    <row r="846" spans="1:8" hidden="1" x14ac:dyDescent="0.25">
      <c r="A846" s="2" t="str">
        <v>Lipstick - Model 750</v>
      </c>
      <c r="B846" s="2" t="str">
        <f>_xlfn.XLOOKUP(A846,tbl_raw[Product_Name],tbl_raw[Category])</f>
        <v>Beauty</v>
      </c>
      <c r="C846" s="2">
        <f>COUNTIF(tbl_raw[Product_Name],A846)</f>
        <v>1</v>
      </c>
      <c r="D846" s="2">
        <f>SUMIFS(tbl_raw[Units_Sold],tbl_raw[Product_Name],A846)</f>
        <v>10</v>
      </c>
      <c r="E846" s="3">
        <f>SUMIFS(tbl_raw[Net_Profit],tbl_raw[Product_Name],A846)</f>
        <v>14020</v>
      </c>
      <c r="F846" s="2">
        <f>SUMIFS(tbl_raw[Return_Flag],tbl_raw[Product_Name],A846)</f>
        <v>0</v>
      </c>
      <c r="G846" s="3" cm="1">
        <f t="array" ref="G846">SUMPRODUCT((tbl_raw[Product_Name]=A846)*(tbl_raw[MRP]-tbl_raw[Selling_Price])*tbl_raw[Units_Sold])</f>
        <v>4720</v>
      </c>
      <c r="H846" s="83">
        <f>AVERAGEIFS(tbl_raw[Discount_Pct],tbl_raw[Product_Name],A846)</f>
        <v>0.14000000000000001</v>
      </c>
    </row>
    <row r="847" spans="1:8" hidden="1" x14ac:dyDescent="0.25">
      <c r="A847" s="2" t="str">
        <v>Cycle - Model 604</v>
      </c>
      <c r="B847" s="2" t="str">
        <f>_xlfn.XLOOKUP(A847,tbl_raw[Product_Name],tbl_raw[Category])</f>
        <v>Sports</v>
      </c>
      <c r="C847" s="2">
        <f>COUNTIF(tbl_raw[Product_Name],A847)</f>
        <v>1</v>
      </c>
      <c r="D847" s="2">
        <f>SUMIFS(tbl_raw[Units_Sold],tbl_raw[Product_Name],A847)</f>
        <v>14</v>
      </c>
      <c r="E847" s="3">
        <f>SUMIFS(tbl_raw[Net_Profit],tbl_raw[Product_Name],A847)</f>
        <v>8680</v>
      </c>
      <c r="F847" s="2">
        <f>SUMIFS(tbl_raw[Return_Flag],tbl_raw[Product_Name],A847)</f>
        <v>0</v>
      </c>
      <c r="G847" s="3" cm="1">
        <f t="array" ref="G847">SUMPRODUCT((tbl_raw[Product_Name]=A847)*(tbl_raw[MRP]-tbl_raw[Selling_Price])*tbl_raw[Units_Sold])</f>
        <v>32228</v>
      </c>
      <c r="H847" s="83">
        <f>AVERAGEIFS(tbl_raw[Discount_Pct],tbl_raw[Product_Name],A847)</f>
        <v>0.42</v>
      </c>
    </row>
    <row r="848" spans="1:8" hidden="1" x14ac:dyDescent="0.25">
      <c r="A848" s="2" t="str">
        <v>Smartwatch - Model 819</v>
      </c>
      <c r="B848" s="2" t="str">
        <f>_xlfn.XLOOKUP(A848,tbl_raw[Product_Name],tbl_raw[Category])</f>
        <v>Electronics</v>
      </c>
      <c r="C848" s="2">
        <f>COUNTIF(tbl_raw[Product_Name],A848)</f>
        <v>1</v>
      </c>
      <c r="D848" s="2">
        <f>SUMIFS(tbl_raw[Units_Sold],tbl_raw[Product_Name],A848)</f>
        <v>12</v>
      </c>
      <c r="E848" s="3">
        <f>SUMIFS(tbl_raw[Net_Profit],tbl_raw[Product_Name],A848)</f>
        <v>-3444</v>
      </c>
      <c r="F848" s="2">
        <f>SUMIFS(tbl_raw[Return_Flag],tbl_raw[Product_Name],A848)</f>
        <v>0</v>
      </c>
      <c r="G848" s="3" cm="1">
        <f t="array" ref="G848">SUMPRODUCT((tbl_raw[Product_Name]=A848)*(tbl_raw[MRP]-tbl_raw[Selling_Price])*tbl_raw[Units_Sold])</f>
        <v>8340</v>
      </c>
      <c r="H848" s="83">
        <f>AVERAGEIFS(tbl_raw[Discount_Pct],tbl_raw[Product_Name],A848)</f>
        <v>0.33</v>
      </c>
    </row>
    <row r="849" spans="1:8" hidden="1" x14ac:dyDescent="0.25">
      <c r="A849" s="2" t="str">
        <v>Serum - Model 176</v>
      </c>
      <c r="B849" s="2" t="str">
        <f>_xlfn.XLOOKUP(A849,tbl_raw[Product_Name],tbl_raw[Category])</f>
        <v>Beauty</v>
      </c>
      <c r="C849" s="2">
        <f>COUNTIF(tbl_raw[Product_Name],A849)</f>
        <v>1</v>
      </c>
      <c r="D849" s="2">
        <f>SUMIFS(tbl_raw[Units_Sold],tbl_raw[Product_Name],A849)</f>
        <v>5</v>
      </c>
      <c r="E849" s="3">
        <f>SUMIFS(tbl_raw[Net_Profit],tbl_raw[Product_Name],A849)</f>
        <v>30</v>
      </c>
      <c r="F849" s="2">
        <f>SUMIFS(tbl_raw[Return_Flag],tbl_raw[Product_Name],A849)</f>
        <v>0</v>
      </c>
      <c r="G849" s="3" cm="1">
        <f t="array" ref="G849">SUMPRODUCT((tbl_raw[Product_Name]=A849)*(tbl_raw[MRP]-tbl_raw[Selling_Price])*tbl_raw[Units_Sold])</f>
        <v>9045</v>
      </c>
      <c r="H849" s="83">
        <f>AVERAGEIFS(tbl_raw[Discount_Pct],tbl_raw[Product_Name],A849)</f>
        <v>0.43</v>
      </c>
    </row>
    <row r="850" spans="1:8" hidden="1" x14ac:dyDescent="0.25">
      <c r="A850" s="2" t="str">
        <v>Saree - Model 406</v>
      </c>
      <c r="B850" s="2" t="str">
        <f>_xlfn.XLOOKUP(A850,tbl_raw[Product_Name],tbl_raw[Category])</f>
        <v>Fashion</v>
      </c>
      <c r="C850" s="2">
        <f>COUNTIF(tbl_raw[Product_Name],A850)</f>
        <v>1</v>
      </c>
      <c r="D850" s="2">
        <f>SUMIFS(tbl_raw[Units_Sold],tbl_raw[Product_Name],A850)</f>
        <v>10</v>
      </c>
      <c r="E850" s="3">
        <f>SUMIFS(tbl_raw[Net_Profit],tbl_raw[Product_Name],A850)</f>
        <v>7700</v>
      </c>
      <c r="F850" s="2">
        <f>SUMIFS(tbl_raw[Return_Flag],tbl_raw[Product_Name],A850)</f>
        <v>0</v>
      </c>
      <c r="G850" s="3" cm="1">
        <f t="array" ref="G850">SUMPRODUCT((tbl_raw[Product_Name]=A850)*(tbl_raw[MRP]-tbl_raw[Selling_Price])*tbl_raw[Units_Sold])</f>
        <v>0</v>
      </c>
      <c r="H850" s="83">
        <f>AVERAGEIFS(tbl_raw[Discount_Pct],tbl_raw[Product_Name],A850)</f>
        <v>0</v>
      </c>
    </row>
    <row r="851" spans="1:8" hidden="1" x14ac:dyDescent="0.25">
      <c r="A851" s="2" t="str">
        <v>Smartwatch - Model 732</v>
      </c>
      <c r="B851" s="2" t="str">
        <f>_xlfn.XLOOKUP(A851,tbl_raw[Product_Name],tbl_raw[Category])</f>
        <v>Electronics</v>
      </c>
      <c r="C851" s="2">
        <f>COUNTIF(tbl_raw[Product_Name],A851)</f>
        <v>1</v>
      </c>
      <c r="D851" s="2">
        <f>SUMIFS(tbl_raw[Units_Sold],tbl_raw[Product_Name],A851)</f>
        <v>2</v>
      </c>
      <c r="E851" s="3">
        <f>SUMIFS(tbl_raw[Net_Profit],tbl_raw[Product_Name],A851)</f>
        <v>1054</v>
      </c>
      <c r="F851" s="2">
        <f>SUMIFS(tbl_raw[Return_Flag],tbl_raw[Product_Name],A851)</f>
        <v>0</v>
      </c>
      <c r="G851" s="3" cm="1">
        <f t="array" ref="G851">SUMPRODUCT((tbl_raw[Product_Name]=A851)*(tbl_raw[MRP]-tbl_raw[Selling_Price])*tbl_raw[Units_Sold])</f>
        <v>1666</v>
      </c>
      <c r="H851" s="83">
        <f>AVERAGEIFS(tbl_raw[Discount_Pct],tbl_raw[Product_Name],A851)</f>
        <v>0.28000000000000003</v>
      </c>
    </row>
    <row r="852" spans="1:8" hidden="1" x14ac:dyDescent="0.25">
      <c r="A852" s="2" t="str">
        <v>Mobile - Model 541</v>
      </c>
      <c r="B852" s="2" t="str">
        <f>_xlfn.XLOOKUP(A852,tbl_raw[Product_Name],tbl_raw[Category])</f>
        <v>Electronics</v>
      </c>
      <c r="C852" s="2">
        <f>COUNTIF(tbl_raw[Product_Name],A852)</f>
        <v>1</v>
      </c>
      <c r="D852" s="2">
        <f>SUMIFS(tbl_raw[Units_Sold],tbl_raw[Product_Name],A852)</f>
        <v>7</v>
      </c>
      <c r="E852" s="3">
        <f>SUMIFS(tbl_raw[Net_Profit],tbl_raw[Product_Name],A852)</f>
        <v>1561</v>
      </c>
      <c r="F852" s="2">
        <f>SUMIFS(tbl_raw[Return_Flag],tbl_raw[Product_Name],A852)</f>
        <v>1</v>
      </c>
      <c r="G852" s="3" cm="1">
        <f t="array" ref="G852">SUMPRODUCT((tbl_raw[Product_Name]=A852)*(tbl_raw[MRP]-tbl_raw[Selling_Price])*tbl_raw[Units_Sold])</f>
        <v>1386</v>
      </c>
      <c r="H852" s="83">
        <f>AVERAGEIFS(tbl_raw[Discount_Pct],tbl_raw[Product_Name],A852)</f>
        <v>0.23</v>
      </c>
    </row>
    <row r="853" spans="1:8" hidden="1" x14ac:dyDescent="0.25">
      <c r="A853" s="2" t="str">
        <v>Pulses - Model 483</v>
      </c>
      <c r="B853" s="2" t="str">
        <f>_xlfn.XLOOKUP(A853,tbl_raw[Product_Name],tbl_raw[Category])</f>
        <v>Grocery</v>
      </c>
      <c r="C853" s="2">
        <f>COUNTIF(tbl_raw[Product_Name],A853)</f>
        <v>1</v>
      </c>
      <c r="D853" s="2">
        <f>SUMIFS(tbl_raw[Units_Sold],tbl_raw[Product_Name],A853)</f>
        <v>12</v>
      </c>
      <c r="E853" s="3">
        <f>SUMIFS(tbl_raw[Net_Profit],tbl_raw[Product_Name],A853)</f>
        <v>9480</v>
      </c>
      <c r="F853" s="2">
        <f>SUMIFS(tbl_raw[Return_Flag],tbl_raw[Product_Name],A853)</f>
        <v>0</v>
      </c>
      <c r="G853" s="3" cm="1">
        <f t="array" ref="G853">SUMPRODUCT((tbl_raw[Product_Name]=A853)*(tbl_raw[MRP]-tbl_raw[Selling_Price])*tbl_raw[Units_Sold])</f>
        <v>3396</v>
      </c>
      <c r="H853" s="83">
        <f>AVERAGEIFS(tbl_raw[Discount_Pct],tbl_raw[Product_Name],A853)</f>
        <v>0.08</v>
      </c>
    </row>
    <row r="854" spans="1:8" hidden="1" x14ac:dyDescent="0.25">
      <c r="A854" s="2" t="str">
        <v>Action Figure - Model 467</v>
      </c>
      <c r="B854" s="2" t="str">
        <f>_xlfn.XLOOKUP(A854,tbl_raw[Product_Name],tbl_raw[Category])</f>
        <v>Toys</v>
      </c>
      <c r="C854" s="2">
        <f>COUNTIF(tbl_raw[Product_Name],A854)</f>
        <v>1</v>
      </c>
      <c r="D854" s="2">
        <f>SUMIFS(tbl_raw[Units_Sold],tbl_raw[Product_Name],A854)</f>
        <v>4</v>
      </c>
      <c r="E854" s="3">
        <f>SUMIFS(tbl_raw[Net_Profit],tbl_raw[Product_Name],A854)</f>
        <v>2400</v>
      </c>
      <c r="F854" s="2">
        <f>SUMIFS(tbl_raw[Return_Flag],tbl_raw[Product_Name],A854)</f>
        <v>0</v>
      </c>
      <c r="G854" s="3" cm="1">
        <f t="array" ref="G854">SUMPRODUCT((tbl_raw[Product_Name]=A854)*(tbl_raw[MRP]-tbl_raw[Selling_Price])*tbl_raw[Units_Sold])</f>
        <v>136</v>
      </c>
      <c r="H854" s="83">
        <f>AVERAGEIFS(tbl_raw[Discount_Pct],tbl_raw[Product_Name],A854)</f>
        <v>0.02</v>
      </c>
    </row>
    <row r="855" spans="1:8" hidden="1" x14ac:dyDescent="0.25">
      <c r="A855" s="2" t="str">
        <v>Shoes - Model 531</v>
      </c>
      <c r="B855" s="2" t="str">
        <f>_xlfn.XLOOKUP(A855,tbl_raw[Product_Name],tbl_raw[Category])</f>
        <v>Sports</v>
      </c>
      <c r="C855" s="2">
        <f>COUNTIF(tbl_raw[Product_Name],A855)</f>
        <v>1</v>
      </c>
      <c r="D855" s="2">
        <f>SUMIFS(tbl_raw[Units_Sold],tbl_raw[Product_Name],A855)</f>
        <v>18</v>
      </c>
      <c r="E855" s="3">
        <f>SUMIFS(tbl_raw[Net_Profit],tbl_raw[Product_Name],A855)</f>
        <v>15390</v>
      </c>
      <c r="F855" s="2">
        <f>SUMIFS(tbl_raw[Return_Flag],tbl_raw[Product_Name],A855)</f>
        <v>0</v>
      </c>
      <c r="G855" s="3" cm="1">
        <f t="array" ref="G855">SUMPRODUCT((tbl_raw[Product_Name]=A855)*(tbl_raw[MRP]-tbl_raw[Selling_Price])*tbl_raw[Units_Sold])</f>
        <v>22680</v>
      </c>
      <c r="H855" s="83">
        <f>AVERAGEIFS(tbl_raw[Discount_Pct],tbl_raw[Product_Name],A855)</f>
        <v>0.31</v>
      </c>
    </row>
    <row r="856" spans="1:8" hidden="1" x14ac:dyDescent="0.25">
      <c r="A856" s="2" t="str">
        <v>Kurta - Model 911</v>
      </c>
      <c r="B856" s="2" t="str">
        <f>_xlfn.XLOOKUP(A856,tbl_raw[Product_Name],tbl_raw[Category])</f>
        <v>Fashion</v>
      </c>
      <c r="C856" s="2">
        <f>COUNTIF(tbl_raw[Product_Name],A856)</f>
        <v>1</v>
      </c>
      <c r="D856" s="2">
        <f>SUMIFS(tbl_raw[Units_Sold],tbl_raw[Product_Name],A856)</f>
        <v>5</v>
      </c>
      <c r="E856" s="3">
        <f>SUMIFS(tbl_raw[Net_Profit],tbl_raw[Product_Name],A856)</f>
        <v>390</v>
      </c>
      <c r="F856" s="2">
        <f>SUMIFS(tbl_raw[Return_Flag],tbl_raw[Product_Name],A856)</f>
        <v>0</v>
      </c>
      <c r="G856" s="3" cm="1">
        <f t="array" ref="G856">SUMPRODUCT((tbl_raw[Product_Name]=A856)*(tbl_raw[MRP]-tbl_raw[Selling_Price])*tbl_raw[Units_Sold])</f>
        <v>1625</v>
      </c>
      <c r="H856" s="83">
        <f>AVERAGEIFS(tbl_raw[Discount_Pct],tbl_raw[Product_Name],A856)</f>
        <v>0.23</v>
      </c>
    </row>
    <row r="857" spans="1:8" hidden="1" x14ac:dyDescent="0.25">
      <c r="A857" s="2" t="str">
        <v>Rice - Model 388</v>
      </c>
      <c r="B857" s="2" t="str">
        <f>_xlfn.XLOOKUP(A857,tbl_raw[Product_Name],tbl_raw[Category])</f>
        <v>Grocery</v>
      </c>
      <c r="C857" s="2">
        <f>COUNTIF(tbl_raw[Product_Name],A857)</f>
        <v>1</v>
      </c>
      <c r="D857" s="2">
        <f>SUMIFS(tbl_raw[Units_Sold],tbl_raw[Product_Name],A857)</f>
        <v>3</v>
      </c>
      <c r="E857" s="3">
        <f>SUMIFS(tbl_raw[Net_Profit],tbl_raw[Product_Name],A857)</f>
        <v>7716</v>
      </c>
      <c r="F857" s="2">
        <f>SUMIFS(tbl_raw[Return_Flag],tbl_raw[Product_Name],A857)</f>
        <v>0</v>
      </c>
      <c r="G857" s="3" cm="1">
        <f t="array" ref="G857">SUMPRODUCT((tbl_raw[Product_Name]=A857)*(tbl_raw[MRP]-tbl_raw[Selling_Price])*tbl_raw[Units_Sold])</f>
        <v>2025</v>
      </c>
      <c r="H857" s="83">
        <f>AVERAGEIFS(tbl_raw[Discount_Pct],tbl_raw[Product_Name],A857)</f>
        <v>0.11</v>
      </c>
    </row>
    <row r="858" spans="1:8" hidden="1" x14ac:dyDescent="0.25">
      <c r="A858" s="2" t="str">
        <v>Perfume - Model 303</v>
      </c>
      <c r="B858" s="2" t="str">
        <f>_xlfn.XLOOKUP(A858,tbl_raw[Product_Name],tbl_raw[Category])</f>
        <v>Beauty</v>
      </c>
      <c r="C858" s="2">
        <f>COUNTIF(tbl_raw[Product_Name],A858)</f>
        <v>1</v>
      </c>
      <c r="D858" s="2">
        <f>SUMIFS(tbl_raw[Units_Sold],tbl_raw[Product_Name],A858)</f>
        <v>4</v>
      </c>
      <c r="E858" s="3">
        <f>SUMIFS(tbl_raw[Net_Profit],tbl_raw[Product_Name],A858)</f>
        <v>6236</v>
      </c>
      <c r="F858" s="2">
        <f>SUMIFS(tbl_raw[Return_Flag],tbl_raw[Product_Name],A858)</f>
        <v>0</v>
      </c>
      <c r="G858" s="3" cm="1">
        <f t="array" ref="G858">SUMPRODUCT((tbl_raw[Product_Name]=A858)*(tbl_raw[MRP]-tbl_raw[Selling_Price])*tbl_raw[Units_Sold])</f>
        <v>5216</v>
      </c>
      <c r="H858" s="83">
        <f>AVERAGEIFS(tbl_raw[Discount_Pct],tbl_raw[Product_Name],A858)</f>
        <v>0.23</v>
      </c>
    </row>
    <row r="859" spans="1:8" hidden="1" x14ac:dyDescent="0.25">
      <c r="A859" s="2" t="str">
        <v>Action Figure - Model 380</v>
      </c>
      <c r="B859" s="2" t="str">
        <f>_xlfn.XLOOKUP(A859,tbl_raw[Product_Name],tbl_raw[Category])</f>
        <v>Toys</v>
      </c>
      <c r="C859" s="2">
        <f>COUNTIF(tbl_raw[Product_Name],A859)</f>
        <v>1</v>
      </c>
      <c r="D859" s="2">
        <f>SUMIFS(tbl_raw[Units_Sold],tbl_raw[Product_Name],A859)</f>
        <v>5</v>
      </c>
      <c r="E859" s="3">
        <f>SUMIFS(tbl_raw[Net_Profit],tbl_raw[Product_Name],A859)</f>
        <v>4890</v>
      </c>
      <c r="F859" s="2">
        <f>SUMIFS(tbl_raw[Return_Flag],tbl_raw[Product_Name],A859)</f>
        <v>0</v>
      </c>
      <c r="G859" s="3" cm="1">
        <f t="array" ref="G859">SUMPRODUCT((tbl_raw[Product_Name]=A859)*(tbl_raw[MRP]-tbl_raw[Selling_Price])*tbl_raw[Units_Sold])</f>
        <v>4935</v>
      </c>
      <c r="H859" s="83">
        <f>AVERAGEIFS(tbl_raw[Discount_Pct],tbl_raw[Product_Name],A859)</f>
        <v>0.28000000000000003</v>
      </c>
    </row>
    <row r="860" spans="1:8" hidden="1" x14ac:dyDescent="0.25">
      <c r="A860" s="2" t="str">
        <v>Children - Model 590</v>
      </c>
      <c r="B860" s="2" t="str">
        <f>_xlfn.XLOOKUP(A860,tbl_raw[Product_Name],tbl_raw[Category])</f>
        <v>Books</v>
      </c>
      <c r="C860" s="2">
        <f>COUNTIF(tbl_raw[Product_Name],A860)</f>
        <v>1</v>
      </c>
      <c r="D860" s="2">
        <f>SUMIFS(tbl_raw[Units_Sold],tbl_raw[Product_Name],A860)</f>
        <v>17</v>
      </c>
      <c r="E860" s="3">
        <f>SUMIFS(tbl_raw[Net_Profit],tbl_raw[Product_Name],A860)</f>
        <v>31059</v>
      </c>
      <c r="F860" s="2">
        <f>SUMIFS(tbl_raw[Return_Flag],tbl_raw[Product_Name],A860)</f>
        <v>0</v>
      </c>
      <c r="G860" s="3" cm="1">
        <f t="array" ref="G860">SUMPRODUCT((tbl_raw[Product_Name]=A860)*(tbl_raw[MRP]-tbl_raw[Selling_Price])*tbl_raw[Units_Sold])</f>
        <v>1207</v>
      </c>
      <c r="H860" s="83">
        <f>AVERAGEIFS(tbl_raw[Discount_Pct],tbl_raw[Product_Name],A860)</f>
        <v>0.02</v>
      </c>
    </row>
    <row r="861" spans="1:8" hidden="1" x14ac:dyDescent="0.25">
      <c r="A861" s="2" t="str">
        <v>Mobile - Model 153</v>
      </c>
      <c r="B861" s="2" t="str">
        <f>_xlfn.XLOOKUP(A861,tbl_raw[Product_Name],tbl_raw[Category])</f>
        <v>Electronics</v>
      </c>
      <c r="C861" s="2">
        <f>COUNTIF(tbl_raw[Product_Name],A861)</f>
        <v>1</v>
      </c>
      <c r="D861" s="2">
        <f>SUMIFS(tbl_raw[Units_Sold],tbl_raw[Product_Name],A861)</f>
        <v>7</v>
      </c>
      <c r="E861" s="3">
        <f>SUMIFS(tbl_raw[Net_Profit],tbl_raw[Product_Name],A861)</f>
        <v>3710</v>
      </c>
      <c r="F861" s="2">
        <f>SUMIFS(tbl_raw[Return_Flag],tbl_raw[Product_Name],A861)</f>
        <v>0</v>
      </c>
      <c r="G861" s="3" cm="1">
        <f t="array" ref="G861">SUMPRODUCT((tbl_raw[Product_Name]=A861)*(tbl_raw[MRP]-tbl_raw[Selling_Price])*tbl_raw[Units_Sold])</f>
        <v>2205</v>
      </c>
      <c r="H861" s="83">
        <f>AVERAGEIFS(tbl_raw[Discount_Pct],tbl_raw[Product_Name],A861)</f>
        <v>0.13</v>
      </c>
    </row>
    <row r="862" spans="1:8" hidden="1" x14ac:dyDescent="0.25">
      <c r="A862" s="2" t="str">
        <v>Kurta - Model 799</v>
      </c>
      <c r="B862" s="2" t="str">
        <f>_xlfn.XLOOKUP(A862,tbl_raw[Product_Name],tbl_raw[Category])</f>
        <v>Fashion</v>
      </c>
      <c r="C862" s="2">
        <f>COUNTIF(tbl_raw[Product_Name],A862)</f>
        <v>1</v>
      </c>
      <c r="D862" s="2">
        <f>SUMIFS(tbl_raw[Units_Sold],tbl_raw[Product_Name],A862)</f>
        <v>5</v>
      </c>
      <c r="E862" s="3">
        <f>SUMIFS(tbl_raw[Net_Profit],tbl_raw[Product_Name],A862)</f>
        <v>1265</v>
      </c>
      <c r="F862" s="2">
        <f>SUMIFS(tbl_raw[Return_Flag],tbl_raw[Product_Name],A862)</f>
        <v>0</v>
      </c>
      <c r="G862" s="3" cm="1">
        <f t="array" ref="G862">SUMPRODUCT((tbl_raw[Product_Name]=A862)*(tbl_raw[MRP]-tbl_raw[Selling_Price])*tbl_raw[Units_Sold])</f>
        <v>4590</v>
      </c>
      <c r="H862" s="83">
        <f>AVERAGEIFS(tbl_raw[Discount_Pct],tbl_raw[Product_Name],A862)</f>
        <v>0.33</v>
      </c>
    </row>
    <row r="863" spans="1:8" hidden="1" x14ac:dyDescent="0.25">
      <c r="A863" s="2" t="str">
        <v>Action Figure - Model 208</v>
      </c>
      <c r="B863" s="2" t="str">
        <f>_xlfn.XLOOKUP(A863,tbl_raw[Product_Name],tbl_raw[Category])</f>
        <v>Toys</v>
      </c>
      <c r="C863" s="2">
        <f>COUNTIF(tbl_raw[Product_Name],A863)</f>
        <v>1</v>
      </c>
      <c r="D863" s="2">
        <f>SUMIFS(tbl_raw[Units_Sold],tbl_raw[Product_Name],A863)</f>
        <v>20</v>
      </c>
      <c r="E863" s="3">
        <f>SUMIFS(tbl_raw[Net_Profit],tbl_raw[Product_Name],A863)</f>
        <v>-2080</v>
      </c>
      <c r="F863" s="2">
        <f>SUMIFS(tbl_raw[Return_Flag],tbl_raw[Product_Name],A863)</f>
        <v>0</v>
      </c>
      <c r="G863" s="3" cm="1">
        <f t="array" ref="G863">SUMPRODUCT((tbl_raw[Product_Name]=A863)*(tbl_raw[MRP]-tbl_raw[Selling_Price])*tbl_raw[Units_Sold])</f>
        <v>5920</v>
      </c>
      <c r="H863" s="83">
        <f>AVERAGEIFS(tbl_raw[Discount_Pct],tbl_raw[Product_Name],A863)</f>
        <v>0.26</v>
      </c>
    </row>
    <row r="864" spans="1:8" hidden="1" x14ac:dyDescent="0.25">
      <c r="A864" s="2" t="str">
        <v>Textbook - Model 842</v>
      </c>
      <c r="B864" s="2" t="str">
        <f>_xlfn.XLOOKUP(A864,tbl_raw[Product_Name],tbl_raw[Category])</f>
        <v>Books</v>
      </c>
      <c r="C864" s="2">
        <f>COUNTIF(tbl_raw[Product_Name],A864)</f>
        <v>1</v>
      </c>
      <c r="D864" s="2">
        <f>SUMIFS(tbl_raw[Units_Sold],tbl_raw[Product_Name],A864)</f>
        <v>7</v>
      </c>
      <c r="E864" s="3">
        <f>SUMIFS(tbl_raw[Net_Profit],tbl_raw[Product_Name],A864)</f>
        <v>14168</v>
      </c>
      <c r="F864" s="2">
        <f>SUMIFS(tbl_raw[Return_Flag],tbl_raw[Product_Name],A864)</f>
        <v>1</v>
      </c>
      <c r="G864" s="3" cm="1">
        <f t="array" ref="G864">SUMPRODUCT((tbl_raw[Product_Name]=A864)*(tbl_raw[MRP]-tbl_raw[Selling_Price])*tbl_raw[Units_Sold])</f>
        <v>2135</v>
      </c>
      <c r="H864" s="83">
        <f>AVERAGEIFS(tbl_raw[Discount_Pct],tbl_raw[Product_Name],A864)</f>
        <v>7.0000000000000007E-2</v>
      </c>
    </row>
    <row r="865" spans="1:8" hidden="1" x14ac:dyDescent="0.25">
      <c r="A865" s="2" t="str">
        <v>Children - Model 744</v>
      </c>
      <c r="B865" s="2" t="str">
        <f>_xlfn.XLOOKUP(A865,tbl_raw[Product_Name],tbl_raw[Category])</f>
        <v>Books</v>
      </c>
      <c r="C865" s="2">
        <f>COUNTIF(tbl_raw[Product_Name],A865)</f>
        <v>1</v>
      </c>
      <c r="D865" s="2">
        <f>SUMIFS(tbl_raw[Units_Sold],tbl_raw[Product_Name],A865)</f>
        <v>14</v>
      </c>
      <c r="E865" s="3">
        <f>SUMIFS(tbl_raw[Net_Profit],tbl_raw[Product_Name],A865)</f>
        <v>-630</v>
      </c>
      <c r="F865" s="2">
        <f>SUMIFS(tbl_raw[Return_Flag],tbl_raw[Product_Name],A865)</f>
        <v>0</v>
      </c>
      <c r="G865" s="3" cm="1">
        <f t="array" ref="G865">SUMPRODUCT((tbl_raw[Product_Name]=A865)*(tbl_raw[MRP]-tbl_raw[Selling_Price])*tbl_raw[Units_Sold])</f>
        <v>1932</v>
      </c>
      <c r="H865" s="83">
        <f>AVERAGEIFS(tbl_raw[Discount_Pct],tbl_raw[Product_Name],A865)</f>
        <v>0.19</v>
      </c>
    </row>
    <row r="866" spans="1:8" hidden="1" x14ac:dyDescent="0.25">
      <c r="A866" s="2" t="str">
        <v>Tablet - Model 162</v>
      </c>
      <c r="B866" s="2" t="str">
        <f>_xlfn.XLOOKUP(A866,tbl_raw[Product_Name],tbl_raw[Category])</f>
        <v>Electronics</v>
      </c>
      <c r="C866" s="2">
        <f>COUNTIF(tbl_raw[Product_Name],A866)</f>
        <v>1</v>
      </c>
      <c r="D866" s="2">
        <f>SUMIFS(tbl_raw[Units_Sold],tbl_raw[Product_Name],A866)</f>
        <v>13</v>
      </c>
      <c r="E866" s="3">
        <f>SUMIFS(tbl_raw[Net_Profit],tbl_raw[Product_Name],A866)</f>
        <v>8983</v>
      </c>
      <c r="F866" s="2">
        <f>SUMIFS(tbl_raw[Return_Flag],tbl_raw[Product_Name],A866)</f>
        <v>0</v>
      </c>
      <c r="G866" s="3" cm="1">
        <f t="array" ref="G866">SUMPRODUCT((tbl_raw[Product_Name]=A866)*(tbl_raw[MRP]-tbl_raw[Selling_Price])*tbl_raw[Units_Sold])</f>
        <v>12675</v>
      </c>
      <c r="H866" s="83">
        <f>AVERAGEIFS(tbl_raw[Discount_Pct],tbl_raw[Product_Name],A866)</f>
        <v>0.24</v>
      </c>
    </row>
    <row r="867" spans="1:8" hidden="1" x14ac:dyDescent="0.25">
      <c r="A867" s="2" t="str">
        <v>Cricket Bat - Model 288</v>
      </c>
      <c r="B867" s="2" t="str">
        <f>_xlfn.XLOOKUP(A867,tbl_raw[Product_Name],tbl_raw[Category])</f>
        <v>Sports</v>
      </c>
      <c r="C867" s="2">
        <f>COUNTIF(tbl_raw[Product_Name],A867)</f>
        <v>1</v>
      </c>
      <c r="D867" s="2">
        <f>SUMIFS(tbl_raw[Units_Sold],tbl_raw[Product_Name],A867)</f>
        <v>6</v>
      </c>
      <c r="E867" s="3">
        <f>SUMIFS(tbl_raw[Net_Profit],tbl_raw[Product_Name],A867)</f>
        <v>8130</v>
      </c>
      <c r="F867" s="2">
        <f>SUMIFS(tbl_raw[Return_Flag],tbl_raw[Product_Name],A867)</f>
        <v>0</v>
      </c>
      <c r="G867" s="3" cm="1">
        <f t="array" ref="G867">SUMPRODUCT((tbl_raw[Product_Name]=A867)*(tbl_raw[MRP]-tbl_raw[Selling_Price])*tbl_raw[Units_Sold])</f>
        <v>7548</v>
      </c>
      <c r="H867" s="83">
        <f>AVERAGEIFS(tbl_raw[Discount_Pct],tbl_raw[Product_Name],A867)</f>
        <v>0.27</v>
      </c>
    </row>
    <row r="868" spans="1:8" hidden="1" x14ac:dyDescent="0.25">
      <c r="A868" s="2" t="str">
        <v>Cricket Bat - Model 403</v>
      </c>
      <c r="B868" s="2" t="str">
        <f>_xlfn.XLOOKUP(A868,tbl_raw[Product_Name],tbl_raw[Category])</f>
        <v>Sports</v>
      </c>
      <c r="C868" s="2">
        <f>COUNTIF(tbl_raw[Product_Name],A868)</f>
        <v>1</v>
      </c>
      <c r="D868" s="2">
        <f>SUMIFS(tbl_raw[Units_Sold],tbl_raw[Product_Name],A868)</f>
        <v>18</v>
      </c>
      <c r="E868" s="3">
        <f>SUMIFS(tbl_raw[Net_Profit],tbl_raw[Product_Name],A868)</f>
        <v>5040</v>
      </c>
      <c r="F868" s="2">
        <f>SUMIFS(tbl_raw[Return_Flag],tbl_raw[Product_Name],A868)</f>
        <v>0</v>
      </c>
      <c r="G868" s="3" cm="1">
        <f t="array" ref="G868">SUMPRODUCT((tbl_raw[Product_Name]=A868)*(tbl_raw[MRP]-tbl_raw[Selling_Price])*tbl_raw[Units_Sold])</f>
        <v>2034</v>
      </c>
      <c r="H868" s="83">
        <f>AVERAGEIFS(tbl_raw[Discount_Pct],tbl_raw[Product_Name],A868)</f>
        <v>0.1</v>
      </c>
    </row>
    <row r="869" spans="1:8" hidden="1" x14ac:dyDescent="0.25">
      <c r="A869" s="2" t="str">
        <v>Laptop - Model 943</v>
      </c>
      <c r="B869" s="2" t="str">
        <f>_xlfn.XLOOKUP(A869,tbl_raw[Product_Name],tbl_raw[Category])</f>
        <v>Electronics</v>
      </c>
      <c r="C869" s="2">
        <f>COUNTIF(tbl_raw[Product_Name],A869)</f>
        <v>1</v>
      </c>
      <c r="D869" s="2">
        <f>SUMIFS(tbl_raw[Units_Sold],tbl_raw[Product_Name],A869)</f>
        <v>18</v>
      </c>
      <c r="E869" s="3">
        <f>SUMIFS(tbl_raw[Net_Profit],tbl_raw[Product_Name],A869)</f>
        <v>-1404</v>
      </c>
      <c r="F869" s="2">
        <f>SUMIFS(tbl_raw[Return_Flag],tbl_raw[Product_Name],A869)</f>
        <v>0</v>
      </c>
      <c r="G869" s="3" cm="1">
        <f t="array" ref="G869">SUMPRODUCT((tbl_raw[Product_Name]=A869)*(tbl_raw[MRP]-tbl_raw[Selling_Price])*tbl_raw[Units_Sold])</f>
        <v>5778</v>
      </c>
      <c r="H869" s="83">
        <f>AVERAGEIFS(tbl_raw[Discount_Pct],tbl_raw[Product_Name],A869)</f>
        <v>0.28999999999999998</v>
      </c>
    </row>
    <row r="870" spans="1:8" hidden="1" x14ac:dyDescent="0.25">
      <c r="A870" s="2" t="str">
        <v>Curtain - Model 726</v>
      </c>
      <c r="B870" s="2" t="str">
        <f>_xlfn.XLOOKUP(A870,tbl_raw[Product_Name],tbl_raw[Category])</f>
        <v>Home &amp; Kitchen</v>
      </c>
      <c r="C870" s="2">
        <f>COUNTIF(tbl_raw[Product_Name],A870)</f>
        <v>1</v>
      </c>
      <c r="D870" s="2">
        <f>SUMIFS(tbl_raw[Units_Sold],tbl_raw[Product_Name],A870)</f>
        <v>11</v>
      </c>
      <c r="E870" s="3">
        <f>SUMIFS(tbl_raw[Net_Profit],tbl_raw[Product_Name],A870)</f>
        <v>26521</v>
      </c>
      <c r="F870" s="2">
        <f>SUMIFS(tbl_raw[Return_Flag],tbl_raw[Product_Name],A870)</f>
        <v>0</v>
      </c>
      <c r="G870" s="3" cm="1">
        <f t="array" ref="G870">SUMPRODUCT((tbl_raw[Product_Name]=A870)*(tbl_raw[MRP]-tbl_raw[Selling_Price])*tbl_raw[Units_Sold])</f>
        <v>24288</v>
      </c>
      <c r="H870" s="83">
        <f>AVERAGEIFS(tbl_raw[Discount_Pct],tbl_raw[Product_Name],A870)</f>
        <v>0.28000000000000003</v>
      </c>
    </row>
    <row r="871" spans="1:8" hidden="1" x14ac:dyDescent="0.25">
      <c r="A871" s="2" t="str">
        <v>Shoes - Model 769</v>
      </c>
      <c r="B871" s="2" t="str">
        <f>_xlfn.XLOOKUP(A871,tbl_raw[Product_Name],tbl_raw[Category])</f>
        <v>Fashion</v>
      </c>
      <c r="C871" s="2">
        <f>COUNTIF(tbl_raw[Product_Name],A871)</f>
        <v>1</v>
      </c>
      <c r="D871" s="2">
        <f>SUMIFS(tbl_raw[Units_Sold],tbl_raw[Product_Name],A871)</f>
        <v>20</v>
      </c>
      <c r="E871" s="3">
        <f>SUMIFS(tbl_raw[Net_Profit],tbl_raw[Product_Name],A871)</f>
        <v>12340</v>
      </c>
      <c r="F871" s="2">
        <f>SUMIFS(tbl_raw[Return_Flag],tbl_raw[Product_Name],A871)</f>
        <v>0</v>
      </c>
      <c r="G871" s="3" cm="1">
        <f t="array" ref="G871">SUMPRODUCT((tbl_raw[Product_Name]=A871)*(tbl_raw[MRP]-tbl_raw[Selling_Price])*tbl_raw[Units_Sold])</f>
        <v>33280</v>
      </c>
      <c r="H871" s="83">
        <f>AVERAGEIFS(tbl_raw[Discount_Pct],tbl_raw[Product_Name],A871)</f>
        <v>0.37</v>
      </c>
    </row>
    <row r="872" spans="1:8" hidden="1" x14ac:dyDescent="0.25">
      <c r="A872" s="2" t="str">
        <v>Oil - Model 847</v>
      </c>
      <c r="B872" s="2" t="str">
        <f>_xlfn.XLOOKUP(A872,tbl_raw[Product_Name],tbl_raw[Category])</f>
        <v>Grocery</v>
      </c>
      <c r="C872" s="2">
        <f>COUNTIF(tbl_raw[Product_Name],A872)</f>
        <v>1</v>
      </c>
      <c r="D872" s="2">
        <f>SUMIFS(tbl_raw[Units_Sold],tbl_raw[Product_Name],A872)</f>
        <v>12</v>
      </c>
      <c r="E872" s="3">
        <f>SUMIFS(tbl_raw[Net_Profit],tbl_raw[Product_Name],A872)</f>
        <v>2172</v>
      </c>
      <c r="F872" s="2">
        <f>SUMIFS(tbl_raw[Return_Flag],tbl_raw[Product_Name],A872)</f>
        <v>0</v>
      </c>
      <c r="G872" s="3" cm="1">
        <f t="array" ref="G872">SUMPRODUCT((tbl_raw[Product_Name]=A872)*(tbl_raw[MRP]-tbl_raw[Selling_Price])*tbl_raw[Units_Sold])</f>
        <v>3588</v>
      </c>
      <c r="H872" s="83">
        <f>AVERAGEIFS(tbl_raw[Discount_Pct],tbl_raw[Product_Name],A872)</f>
        <v>0.22</v>
      </c>
    </row>
    <row r="873" spans="1:8" hidden="1" x14ac:dyDescent="0.25">
      <c r="A873" s="2" t="str">
        <v>Shoes - Model 417</v>
      </c>
      <c r="B873" s="2" t="str">
        <f>_xlfn.XLOOKUP(A873,tbl_raw[Product_Name],tbl_raw[Category])</f>
        <v>Sports</v>
      </c>
      <c r="C873" s="2">
        <f>COUNTIF(tbl_raw[Product_Name],A873)</f>
        <v>1</v>
      </c>
      <c r="D873" s="2">
        <f>SUMIFS(tbl_raw[Units_Sold],tbl_raw[Product_Name],A873)</f>
        <v>6</v>
      </c>
      <c r="E873" s="3">
        <f>SUMIFS(tbl_raw[Net_Profit],tbl_raw[Product_Name],A873)</f>
        <v>8532</v>
      </c>
      <c r="F873" s="2">
        <f>SUMIFS(tbl_raw[Return_Flag],tbl_raw[Product_Name],A873)</f>
        <v>0</v>
      </c>
      <c r="G873" s="3" cm="1">
        <f t="array" ref="G873">SUMPRODUCT((tbl_raw[Product_Name]=A873)*(tbl_raw[MRP]-tbl_raw[Selling_Price])*tbl_raw[Units_Sold])</f>
        <v>12234</v>
      </c>
      <c r="H873" s="83">
        <f>AVERAGEIFS(tbl_raw[Discount_Pct],tbl_raw[Product_Name],A873)</f>
        <v>0.31</v>
      </c>
    </row>
    <row r="874" spans="1:8" hidden="1" x14ac:dyDescent="0.25">
      <c r="A874" s="2" t="str">
        <v>Mixer - Model 717</v>
      </c>
      <c r="B874" s="2" t="str">
        <f>_xlfn.XLOOKUP(A874,tbl_raw[Product_Name],tbl_raw[Category])</f>
        <v>Home &amp; Kitchen</v>
      </c>
      <c r="C874" s="2">
        <f>COUNTIF(tbl_raw[Product_Name],A874)</f>
        <v>1</v>
      </c>
      <c r="D874" s="2">
        <f>SUMIFS(tbl_raw[Units_Sold],tbl_raw[Product_Name],A874)</f>
        <v>13</v>
      </c>
      <c r="E874" s="3">
        <f>SUMIFS(tbl_raw[Net_Profit],tbl_raw[Product_Name],A874)</f>
        <v>20631</v>
      </c>
      <c r="F874" s="2">
        <f>SUMIFS(tbl_raw[Return_Flag],tbl_raw[Product_Name],A874)</f>
        <v>1</v>
      </c>
      <c r="G874" s="3" cm="1">
        <f t="array" ref="G874">SUMPRODUCT((tbl_raw[Product_Name]=A874)*(tbl_raw[MRP]-tbl_raw[Selling_Price])*tbl_raw[Units_Sold])</f>
        <v>2080</v>
      </c>
      <c r="H874" s="83">
        <f>AVERAGEIFS(tbl_raw[Discount_Pct],tbl_raw[Product_Name],A874)</f>
        <v>0.05</v>
      </c>
    </row>
    <row r="875" spans="1:8" hidden="1" x14ac:dyDescent="0.25">
      <c r="A875" s="2" t="str">
        <v>Mobile - Model 910</v>
      </c>
      <c r="B875" s="2" t="str">
        <f>_xlfn.XLOOKUP(A875,tbl_raw[Product_Name],tbl_raw[Category])</f>
        <v>Electronics</v>
      </c>
      <c r="C875" s="2">
        <f>COUNTIF(tbl_raw[Product_Name],A875)</f>
        <v>1</v>
      </c>
      <c r="D875" s="2">
        <f>SUMIFS(tbl_raw[Units_Sold],tbl_raw[Product_Name],A875)</f>
        <v>18</v>
      </c>
      <c r="E875" s="3">
        <f>SUMIFS(tbl_raw[Net_Profit],tbl_raw[Product_Name],A875)</f>
        <v>20574</v>
      </c>
      <c r="F875" s="2">
        <f>SUMIFS(tbl_raw[Return_Flag],tbl_raw[Product_Name],A875)</f>
        <v>0</v>
      </c>
      <c r="G875" s="3" cm="1">
        <f t="array" ref="G875">SUMPRODUCT((tbl_raw[Product_Name]=A875)*(tbl_raw[MRP]-tbl_raw[Selling_Price])*tbl_raw[Units_Sold])</f>
        <v>16038</v>
      </c>
      <c r="H875" s="83">
        <f>AVERAGEIFS(tbl_raw[Discount_Pct],tbl_raw[Product_Name],A875)</f>
        <v>0.15</v>
      </c>
    </row>
    <row r="876" spans="1:8" hidden="1" x14ac:dyDescent="0.25">
      <c r="A876" s="2" t="str">
        <v>Children - Model 258</v>
      </c>
      <c r="B876" s="2" t="str">
        <f>_xlfn.XLOOKUP(A876,tbl_raw[Product_Name],tbl_raw[Category])</f>
        <v>Books</v>
      </c>
      <c r="C876" s="2">
        <f>COUNTIF(tbl_raw[Product_Name],A876)</f>
        <v>1</v>
      </c>
      <c r="D876" s="2">
        <f>SUMIFS(tbl_raw[Units_Sold],tbl_raw[Product_Name],A876)</f>
        <v>2</v>
      </c>
      <c r="E876" s="3">
        <f>SUMIFS(tbl_raw[Net_Profit],tbl_raw[Product_Name],A876)</f>
        <v>2506</v>
      </c>
      <c r="F876" s="2">
        <f>SUMIFS(tbl_raw[Return_Flag],tbl_raw[Product_Name],A876)</f>
        <v>0</v>
      </c>
      <c r="G876" s="3" cm="1">
        <f t="array" ref="G876">SUMPRODUCT((tbl_raw[Product_Name]=A876)*(tbl_raw[MRP]-tbl_raw[Selling_Price])*tbl_raw[Units_Sold])</f>
        <v>1066</v>
      </c>
      <c r="H876" s="83">
        <f>AVERAGEIFS(tbl_raw[Discount_Pct],tbl_raw[Product_Name],A876)</f>
        <v>0.12</v>
      </c>
    </row>
    <row r="877" spans="1:8" hidden="1" x14ac:dyDescent="0.25">
      <c r="A877" s="2" t="str">
        <v>Board Game - Model 101</v>
      </c>
      <c r="B877" s="2" t="str">
        <f>_xlfn.XLOOKUP(A877,tbl_raw[Product_Name],tbl_raw[Category])</f>
        <v>Toys</v>
      </c>
      <c r="C877" s="2">
        <f>COUNTIF(tbl_raw[Product_Name],A877)</f>
        <v>1</v>
      </c>
      <c r="D877" s="2">
        <f>SUMIFS(tbl_raw[Units_Sold],tbl_raw[Product_Name],A877)</f>
        <v>1</v>
      </c>
      <c r="E877" s="3">
        <f>SUMIFS(tbl_raw[Net_Profit],tbl_raw[Product_Name],A877)</f>
        <v>529</v>
      </c>
      <c r="F877" s="2">
        <f>SUMIFS(tbl_raw[Return_Flag],tbl_raw[Product_Name],A877)</f>
        <v>0</v>
      </c>
      <c r="G877" s="3" cm="1">
        <f t="array" ref="G877">SUMPRODUCT((tbl_raw[Product_Name]=A877)*(tbl_raw[MRP]-tbl_raw[Selling_Price])*tbl_raw[Units_Sold])</f>
        <v>335</v>
      </c>
      <c r="H877" s="83">
        <f>AVERAGEIFS(tbl_raw[Discount_Pct],tbl_raw[Product_Name],A877)</f>
        <v>0.17</v>
      </c>
    </row>
    <row r="878" spans="1:8" hidden="1" x14ac:dyDescent="0.25">
      <c r="A878" s="2" t="str">
        <v>Mixer - Model 329</v>
      </c>
      <c r="B878" s="2" t="str">
        <f>_xlfn.XLOOKUP(A878,tbl_raw[Product_Name],tbl_raw[Category])</f>
        <v>Home &amp; Kitchen</v>
      </c>
      <c r="C878" s="2">
        <f>COUNTIF(tbl_raw[Product_Name],A878)</f>
        <v>1</v>
      </c>
      <c r="D878" s="2">
        <f>SUMIFS(tbl_raw[Units_Sold],tbl_raw[Product_Name],A878)</f>
        <v>10</v>
      </c>
      <c r="E878" s="3">
        <f>SUMIFS(tbl_raw[Net_Profit],tbl_raw[Product_Name],A878)</f>
        <v>6640</v>
      </c>
      <c r="F878" s="2">
        <f>SUMIFS(tbl_raw[Return_Flag],tbl_raw[Product_Name],A878)</f>
        <v>0</v>
      </c>
      <c r="G878" s="3" cm="1">
        <f t="array" ref="G878">SUMPRODUCT((tbl_raw[Product_Name]=A878)*(tbl_raw[MRP]-tbl_raw[Selling_Price])*tbl_raw[Units_Sold])</f>
        <v>8360</v>
      </c>
      <c r="H878" s="83">
        <f>AVERAGEIFS(tbl_raw[Discount_Pct],tbl_raw[Product_Name],A878)</f>
        <v>0.28000000000000003</v>
      </c>
    </row>
    <row r="879" spans="1:8" hidden="1" x14ac:dyDescent="0.25">
      <c r="A879" s="2" t="str">
        <v>Comic - Model 285</v>
      </c>
      <c r="B879" s="2" t="str">
        <f>_xlfn.XLOOKUP(A879,tbl_raw[Product_Name],tbl_raw[Category])</f>
        <v>Books</v>
      </c>
      <c r="C879" s="2">
        <f>COUNTIF(tbl_raw[Product_Name],A879)</f>
        <v>1</v>
      </c>
      <c r="D879" s="2">
        <f>SUMIFS(tbl_raw[Units_Sold],tbl_raw[Product_Name],A879)</f>
        <v>5</v>
      </c>
      <c r="E879" s="3">
        <f>SUMIFS(tbl_raw[Net_Profit],tbl_raw[Product_Name],A879)</f>
        <v>2195</v>
      </c>
      <c r="F879" s="2">
        <f>SUMIFS(tbl_raw[Return_Flag],tbl_raw[Product_Name],A879)</f>
        <v>0</v>
      </c>
      <c r="G879" s="3" cm="1">
        <f t="array" ref="G879">SUMPRODUCT((tbl_raw[Product_Name]=A879)*(tbl_raw[MRP]-tbl_raw[Selling_Price])*tbl_raw[Units_Sold])</f>
        <v>11105</v>
      </c>
      <c r="H879" s="83">
        <f>AVERAGEIFS(tbl_raw[Discount_Pct],tbl_raw[Product_Name],A879)</f>
        <v>0.31</v>
      </c>
    </row>
    <row r="880" spans="1:8" hidden="1" x14ac:dyDescent="0.25">
      <c r="A880" s="2" t="str">
        <v>Kurta - Model 982</v>
      </c>
      <c r="B880" s="2" t="str">
        <f>_xlfn.XLOOKUP(A880,tbl_raw[Product_Name],tbl_raw[Category])</f>
        <v>Fashion</v>
      </c>
      <c r="C880" s="2">
        <f>COUNTIF(tbl_raw[Product_Name],A880)</f>
        <v>1</v>
      </c>
      <c r="D880" s="2">
        <f>SUMIFS(tbl_raw[Units_Sold],tbl_raw[Product_Name],A880)</f>
        <v>5</v>
      </c>
      <c r="E880" s="3">
        <f>SUMIFS(tbl_raw[Net_Profit],tbl_raw[Product_Name],A880)</f>
        <v>1520</v>
      </c>
      <c r="F880" s="2">
        <f>SUMIFS(tbl_raw[Return_Flag],tbl_raw[Product_Name],A880)</f>
        <v>0</v>
      </c>
      <c r="G880" s="3" cm="1">
        <f t="array" ref="G880">SUMPRODUCT((tbl_raw[Product_Name]=A880)*(tbl_raw[MRP]-tbl_raw[Selling_Price])*tbl_raw[Units_Sold])</f>
        <v>2430</v>
      </c>
      <c r="H880" s="83">
        <f>AVERAGEIFS(tbl_raw[Discount_Pct],tbl_raw[Product_Name],A880)</f>
        <v>0.18</v>
      </c>
    </row>
    <row r="881" spans="1:8" hidden="1" x14ac:dyDescent="0.25">
      <c r="A881" s="2" t="str">
        <v>Cricket Bat - Model 192</v>
      </c>
      <c r="B881" s="2" t="str">
        <f>_xlfn.XLOOKUP(A881,tbl_raw[Product_Name],tbl_raw[Category])</f>
        <v>Sports</v>
      </c>
      <c r="C881" s="2">
        <f>COUNTIF(tbl_raw[Product_Name],A881)</f>
        <v>1</v>
      </c>
      <c r="D881" s="2">
        <f>SUMIFS(tbl_raw[Units_Sold],tbl_raw[Product_Name],A881)</f>
        <v>5</v>
      </c>
      <c r="E881" s="3">
        <f>SUMIFS(tbl_raw[Net_Profit],tbl_raw[Product_Name],A881)</f>
        <v>2105</v>
      </c>
      <c r="F881" s="2">
        <f>SUMIFS(tbl_raw[Return_Flag],tbl_raw[Product_Name],A881)</f>
        <v>0</v>
      </c>
      <c r="G881" s="3" cm="1">
        <f t="array" ref="G881">SUMPRODUCT((tbl_raw[Product_Name]=A881)*(tbl_raw[MRP]-tbl_raw[Selling_Price])*tbl_raw[Units_Sold])</f>
        <v>1375</v>
      </c>
      <c r="H881" s="83">
        <f>AVERAGEIFS(tbl_raw[Discount_Pct],tbl_raw[Product_Name],A881)</f>
        <v>0.17</v>
      </c>
    </row>
    <row r="882" spans="1:8" hidden="1" x14ac:dyDescent="0.25">
      <c r="A882" s="2" t="str">
        <v>Perfume - Model 528</v>
      </c>
      <c r="B882" s="2" t="str">
        <f>_xlfn.XLOOKUP(A882,tbl_raw[Product_Name],tbl_raw[Category])</f>
        <v>Beauty</v>
      </c>
      <c r="C882" s="2">
        <f>COUNTIF(tbl_raw[Product_Name],A882)</f>
        <v>1</v>
      </c>
      <c r="D882" s="2">
        <f>SUMIFS(tbl_raw[Units_Sold],tbl_raw[Product_Name],A882)</f>
        <v>16</v>
      </c>
      <c r="E882" s="3">
        <f>SUMIFS(tbl_raw[Net_Profit],tbl_raw[Product_Name],A882)</f>
        <v>12512</v>
      </c>
      <c r="F882" s="2">
        <f>SUMIFS(tbl_raw[Return_Flag],tbl_raw[Product_Name],A882)</f>
        <v>0</v>
      </c>
      <c r="G882" s="3" cm="1">
        <f t="array" ref="G882">SUMPRODUCT((tbl_raw[Product_Name]=A882)*(tbl_raw[MRP]-tbl_raw[Selling_Price])*tbl_raw[Units_Sold])</f>
        <v>15488</v>
      </c>
      <c r="H882" s="83">
        <f>AVERAGEIFS(tbl_raw[Discount_Pct],tbl_raw[Product_Name],A882)</f>
        <v>0.22</v>
      </c>
    </row>
    <row r="883" spans="1:8" hidden="1" x14ac:dyDescent="0.25">
      <c r="A883" s="2" t="str">
        <v>Moisturizer - Model 340</v>
      </c>
      <c r="B883" s="2" t="str">
        <f>_xlfn.XLOOKUP(A883,tbl_raw[Product_Name],tbl_raw[Category])</f>
        <v>Beauty</v>
      </c>
      <c r="C883" s="2">
        <f>COUNTIF(tbl_raw[Product_Name],A883)</f>
        <v>1</v>
      </c>
      <c r="D883" s="2">
        <f>SUMIFS(tbl_raw[Units_Sold],tbl_raw[Product_Name],A883)</f>
        <v>1</v>
      </c>
      <c r="E883" s="3">
        <f>SUMIFS(tbl_raw[Net_Profit],tbl_raw[Product_Name],A883)</f>
        <v>65</v>
      </c>
      <c r="F883" s="2">
        <f>SUMIFS(tbl_raw[Return_Flag],tbl_raw[Product_Name],A883)</f>
        <v>0</v>
      </c>
      <c r="G883" s="3" cm="1">
        <f t="array" ref="G883">SUMPRODUCT((tbl_raw[Product_Name]=A883)*(tbl_raw[MRP]-tbl_raw[Selling_Price])*tbl_raw[Units_Sold])</f>
        <v>679</v>
      </c>
      <c r="H883" s="83">
        <f>AVERAGEIFS(tbl_raw[Discount_Pct],tbl_raw[Product_Name],A883)</f>
        <v>0.38</v>
      </c>
    </row>
    <row r="884" spans="1:8" hidden="1" x14ac:dyDescent="0.25">
      <c r="A884" s="2" t="str">
        <v>Bedsheet - Model 571</v>
      </c>
      <c r="B884" s="2" t="str">
        <f>_xlfn.XLOOKUP(A884,tbl_raw[Product_Name],tbl_raw[Category])</f>
        <v>Home &amp; Kitchen</v>
      </c>
      <c r="C884" s="2">
        <f>COUNTIF(tbl_raw[Product_Name],A884)</f>
        <v>1</v>
      </c>
      <c r="D884" s="2">
        <f>SUMIFS(tbl_raw[Units_Sold],tbl_raw[Product_Name],A884)</f>
        <v>18</v>
      </c>
      <c r="E884" s="3">
        <f>SUMIFS(tbl_raw[Net_Profit],tbl_raw[Product_Name],A884)</f>
        <v>11952</v>
      </c>
      <c r="F884" s="2">
        <f>SUMIFS(tbl_raw[Return_Flag],tbl_raw[Product_Name],A884)</f>
        <v>0</v>
      </c>
      <c r="G884" s="3" cm="1">
        <f t="array" ref="G884">SUMPRODUCT((tbl_raw[Product_Name]=A884)*(tbl_raw[MRP]-tbl_raw[Selling_Price])*tbl_raw[Units_Sold])</f>
        <v>57420</v>
      </c>
      <c r="H884" s="83">
        <f>AVERAGEIFS(tbl_raw[Discount_Pct],tbl_raw[Product_Name],A884)</f>
        <v>0.41</v>
      </c>
    </row>
    <row r="885" spans="1:8" hidden="1" x14ac:dyDescent="0.25">
      <c r="A885" s="2" t="str">
        <v>Curtain - Model 850</v>
      </c>
      <c r="B885" s="2" t="str">
        <f>_xlfn.XLOOKUP(A885,tbl_raw[Product_Name],tbl_raw[Category])</f>
        <v>Home &amp; Kitchen</v>
      </c>
      <c r="C885" s="2">
        <f>COUNTIF(tbl_raw[Product_Name],A885)</f>
        <v>1</v>
      </c>
      <c r="D885" s="2">
        <f>SUMIFS(tbl_raw[Units_Sold],tbl_raw[Product_Name],A885)</f>
        <v>14</v>
      </c>
      <c r="E885" s="3">
        <f>SUMIFS(tbl_raw[Net_Profit],tbl_raw[Product_Name],A885)</f>
        <v>1512</v>
      </c>
      <c r="F885" s="2">
        <f>SUMIFS(tbl_raw[Return_Flag],tbl_raw[Product_Name],A885)</f>
        <v>0</v>
      </c>
      <c r="G885" s="3" cm="1">
        <f t="array" ref="G885">SUMPRODUCT((tbl_raw[Product_Name]=A885)*(tbl_raw[MRP]-tbl_raw[Selling_Price])*tbl_raw[Units_Sold])</f>
        <v>13888</v>
      </c>
      <c r="H885" s="83">
        <f>AVERAGEIFS(tbl_raw[Discount_Pct],tbl_raw[Product_Name],A885)</f>
        <v>0.32</v>
      </c>
    </row>
    <row r="886" spans="1:8" hidden="1" x14ac:dyDescent="0.25">
      <c r="A886" s="2" t="str">
        <v>Jeans - Model 178</v>
      </c>
      <c r="B886" s="2" t="str">
        <f>_xlfn.XLOOKUP(A886,tbl_raw[Product_Name],tbl_raw[Category])</f>
        <v>Fashion</v>
      </c>
      <c r="C886" s="2">
        <f>COUNTIF(tbl_raw[Product_Name],A886)</f>
        <v>1</v>
      </c>
      <c r="D886" s="2">
        <f>SUMIFS(tbl_raw[Units_Sold],tbl_raw[Product_Name],A886)</f>
        <v>19</v>
      </c>
      <c r="E886" s="3">
        <f>SUMIFS(tbl_raw[Net_Profit],tbl_raw[Product_Name],A886)</f>
        <v>16131</v>
      </c>
      <c r="F886" s="2">
        <f>SUMIFS(tbl_raw[Return_Flag],tbl_raw[Product_Name],A886)</f>
        <v>1</v>
      </c>
      <c r="G886" s="3" cm="1">
        <f t="array" ref="G886">SUMPRODUCT((tbl_raw[Product_Name]=A886)*(tbl_raw[MRP]-tbl_raw[Selling_Price])*tbl_raw[Units_Sold])</f>
        <v>24130</v>
      </c>
      <c r="H886" s="83">
        <f>AVERAGEIFS(tbl_raw[Discount_Pct],tbl_raw[Product_Name],A886)</f>
        <v>0.19</v>
      </c>
    </row>
    <row r="887" spans="1:8" hidden="1" x14ac:dyDescent="0.25">
      <c r="A887" s="2" t="str">
        <v>Puzzle - Model 554</v>
      </c>
      <c r="B887" s="2" t="str">
        <f>_xlfn.XLOOKUP(A887,tbl_raw[Product_Name],tbl_raw[Category])</f>
        <v>Toys</v>
      </c>
      <c r="C887" s="2">
        <f>COUNTIF(tbl_raw[Product_Name],A887)</f>
        <v>1</v>
      </c>
      <c r="D887" s="2">
        <f>SUMIFS(tbl_raw[Units_Sold],tbl_raw[Product_Name],A887)</f>
        <v>10</v>
      </c>
      <c r="E887" s="3">
        <f>SUMIFS(tbl_raw[Net_Profit],tbl_raw[Product_Name],A887)</f>
        <v>2480</v>
      </c>
      <c r="F887" s="2">
        <f>SUMIFS(tbl_raw[Return_Flag],tbl_raw[Product_Name],A887)</f>
        <v>0</v>
      </c>
      <c r="G887" s="3" cm="1">
        <f t="array" ref="G887">SUMPRODUCT((tbl_raw[Product_Name]=A887)*(tbl_raw[MRP]-tbl_raw[Selling_Price])*tbl_raw[Units_Sold])</f>
        <v>320</v>
      </c>
      <c r="H887" s="83">
        <f>AVERAGEIFS(tbl_raw[Discount_Pct],tbl_raw[Product_Name],A887)</f>
        <v>0.03</v>
      </c>
    </row>
    <row r="888" spans="1:8" hidden="1" x14ac:dyDescent="0.25">
      <c r="A888" s="2" t="str">
        <v>Spices - Model 828</v>
      </c>
      <c r="B888" s="2" t="str">
        <f>_xlfn.XLOOKUP(A888,tbl_raw[Product_Name],tbl_raw[Category])</f>
        <v>Grocery</v>
      </c>
      <c r="C888" s="2">
        <f>COUNTIF(tbl_raw[Product_Name],A888)</f>
        <v>1</v>
      </c>
      <c r="D888" s="2">
        <f>SUMIFS(tbl_raw[Units_Sold],tbl_raw[Product_Name],A888)</f>
        <v>19</v>
      </c>
      <c r="E888" s="3">
        <f>SUMIFS(tbl_raw[Net_Profit],tbl_raw[Product_Name],A888)</f>
        <v>9272</v>
      </c>
      <c r="F888" s="2">
        <f>SUMIFS(tbl_raw[Return_Flag],tbl_raw[Product_Name],A888)</f>
        <v>0</v>
      </c>
      <c r="G888" s="3" cm="1">
        <f t="array" ref="G888">SUMPRODUCT((tbl_raw[Product_Name]=A888)*(tbl_raw[MRP]-tbl_raw[Selling_Price])*tbl_raw[Units_Sold])</f>
        <v>25023</v>
      </c>
      <c r="H888" s="83">
        <f>AVERAGEIFS(tbl_raw[Discount_Pct],tbl_raw[Product_Name],A888)</f>
        <v>0.32</v>
      </c>
    </row>
    <row r="889" spans="1:8" hidden="1" x14ac:dyDescent="0.25">
      <c r="A889" s="2" t="str">
        <v>Perfume - Model 733</v>
      </c>
      <c r="B889" s="2" t="str">
        <f>_xlfn.XLOOKUP(A889,tbl_raw[Product_Name],tbl_raw[Category])</f>
        <v>Beauty</v>
      </c>
      <c r="C889" s="2">
        <f>COUNTIF(tbl_raw[Product_Name],A889)</f>
        <v>1</v>
      </c>
      <c r="D889" s="2">
        <f>SUMIFS(tbl_raw[Units_Sold],tbl_raw[Product_Name],A889)</f>
        <v>8</v>
      </c>
      <c r="E889" s="3">
        <f>SUMIFS(tbl_raw[Net_Profit],tbl_raw[Product_Name],A889)</f>
        <v>-3880</v>
      </c>
      <c r="F889" s="2">
        <f>SUMIFS(tbl_raw[Return_Flag],tbl_raw[Product_Name],A889)</f>
        <v>0</v>
      </c>
      <c r="G889" s="3" cm="1">
        <f t="array" ref="G889">SUMPRODUCT((tbl_raw[Product_Name]=A889)*(tbl_raw[MRP]-tbl_raw[Selling_Price])*tbl_raw[Units_Sold])</f>
        <v>9648</v>
      </c>
      <c r="H889" s="83">
        <f>AVERAGEIFS(tbl_raw[Discount_Pct],tbl_raw[Product_Name],A889)</f>
        <v>0.37</v>
      </c>
    </row>
    <row r="890" spans="1:8" hidden="1" x14ac:dyDescent="0.25">
      <c r="A890" s="2" t="str">
        <v>Remote Car - Model 268</v>
      </c>
      <c r="B890" s="2" t="str">
        <f>_xlfn.XLOOKUP(A890,tbl_raw[Product_Name],tbl_raw[Category])</f>
        <v>Toys</v>
      </c>
      <c r="C890" s="2">
        <f>COUNTIF(tbl_raw[Product_Name],A890)</f>
        <v>1</v>
      </c>
      <c r="D890" s="2">
        <f>SUMIFS(tbl_raw[Units_Sold],tbl_raw[Product_Name],A890)</f>
        <v>12</v>
      </c>
      <c r="E890" s="3">
        <f>SUMIFS(tbl_raw[Net_Profit],tbl_raw[Product_Name],A890)</f>
        <v>29196</v>
      </c>
      <c r="F890" s="2">
        <f>SUMIFS(tbl_raw[Return_Flag],tbl_raw[Product_Name],A890)</f>
        <v>0</v>
      </c>
      <c r="G890" s="3" cm="1">
        <f t="array" ref="G890">SUMPRODUCT((tbl_raw[Product_Name]=A890)*(tbl_raw[MRP]-tbl_raw[Selling_Price])*tbl_raw[Units_Sold])</f>
        <v>5664</v>
      </c>
      <c r="H890" s="83">
        <f>AVERAGEIFS(tbl_raw[Discount_Pct],tbl_raw[Product_Name],A890)</f>
        <v>0.09</v>
      </c>
    </row>
    <row r="891" spans="1:8" hidden="1" x14ac:dyDescent="0.25">
      <c r="A891" s="2" t="str">
        <v>Lamp - Model 209</v>
      </c>
      <c r="B891" s="2" t="str">
        <f>_xlfn.XLOOKUP(A891,tbl_raw[Product_Name],tbl_raw[Category])</f>
        <v>Home &amp; Kitchen</v>
      </c>
      <c r="C891" s="2">
        <f>COUNTIF(tbl_raw[Product_Name],A891)</f>
        <v>1</v>
      </c>
      <c r="D891" s="2">
        <f>SUMIFS(tbl_raw[Units_Sold],tbl_raw[Product_Name],A891)</f>
        <v>7</v>
      </c>
      <c r="E891" s="3">
        <f>SUMIFS(tbl_raw[Net_Profit],tbl_raw[Product_Name],A891)</f>
        <v>4375</v>
      </c>
      <c r="F891" s="2">
        <f>SUMIFS(tbl_raw[Return_Flag],tbl_raw[Product_Name],A891)</f>
        <v>0</v>
      </c>
      <c r="G891" s="3" cm="1">
        <f t="array" ref="G891">SUMPRODUCT((tbl_raw[Product_Name]=A891)*(tbl_raw[MRP]-tbl_raw[Selling_Price])*tbl_raw[Units_Sold])</f>
        <v>11557</v>
      </c>
      <c r="H891" s="83">
        <f>AVERAGEIFS(tbl_raw[Discount_Pct],tbl_raw[Product_Name],A891)</f>
        <v>0.34</v>
      </c>
    </row>
    <row r="892" spans="1:8" hidden="1" x14ac:dyDescent="0.25">
      <c r="A892" s="2" t="str">
        <v>Tablet - Model 909</v>
      </c>
      <c r="B892" s="2" t="str">
        <f>_xlfn.XLOOKUP(A892,tbl_raw[Product_Name],tbl_raw[Category])</f>
        <v>Electronics</v>
      </c>
      <c r="C892" s="2">
        <f>COUNTIF(tbl_raw[Product_Name],A892)</f>
        <v>1</v>
      </c>
      <c r="D892" s="2">
        <f>SUMIFS(tbl_raw[Units_Sold],tbl_raw[Product_Name],A892)</f>
        <v>2</v>
      </c>
      <c r="E892" s="3">
        <f>SUMIFS(tbl_raw[Net_Profit],tbl_raw[Product_Name],A892)</f>
        <v>166</v>
      </c>
      <c r="F892" s="2">
        <f>SUMIFS(tbl_raw[Return_Flag],tbl_raw[Product_Name],A892)</f>
        <v>0</v>
      </c>
      <c r="G892" s="3" cm="1">
        <f t="array" ref="G892">SUMPRODUCT((tbl_raw[Product_Name]=A892)*(tbl_raw[MRP]-tbl_raw[Selling_Price])*tbl_raw[Units_Sold])</f>
        <v>46</v>
      </c>
      <c r="H892" s="83">
        <f>AVERAGEIFS(tbl_raw[Discount_Pct],tbl_raw[Product_Name],A892)</f>
        <v>0.04</v>
      </c>
    </row>
    <row r="893" spans="1:8" hidden="1" x14ac:dyDescent="0.25">
      <c r="A893" s="2" t="str">
        <v>Puzzle - Model 232</v>
      </c>
      <c r="B893" s="2" t="str">
        <f>_xlfn.XLOOKUP(A893,tbl_raw[Product_Name],tbl_raw[Category])</f>
        <v>Toys</v>
      </c>
      <c r="C893" s="2">
        <f>COUNTIF(tbl_raw[Product_Name],A893)</f>
        <v>1</v>
      </c>
      <c r="D893" s="2">
        <f>SUMIFS(tbl_raw[Units_Sold],tbl_raw[Product_Name],A893)</f>
        <v>11</v>
      </c>
      <c r="E893" s="3">
        <f>SUMIFS(tbl_raw[Net_Profit],tbl_raw[Product_Name],A893)</f>
        <v>7062</v>
      </c>
      <c r="F893" s="2">
        <f>SUMIFS(tbl_raw[Return_Flag],tbl_raw[Product_Name],A893)</f>
        <v>0</v>
      </c>
      <c r="G893" s="3" cm="1">
        <f t="array" ref="G893">SUMPRODUCT((tbl_raw[Product_Name]=A893)*(tbl_raw[MRP]-tbl_raw[Selling_Price])*tbl_raw[Units_Sold])</f>
        <v>12254</v>
      </c>
      <c r="H893" s="83">
        <f>AVERAGEIFS(tbl_raw[Discount_Pct],tbl_raw[Product_Name],A893)</f>
        <v>0.33</v>
      </c>
    </row>
    <row r="894" spans="1:8" hidden="1" x14ac:dyDescent="0.25">
      <c r="A894" s="2" t="str">
        <v>Headphones - Model 265</v>
      </c>
      <c r="B894" s="2" t="str">
        <f>_xlfn.XLOOKUP(A894,tbl_raw[Product_Name],tbl_raw[Category])</f>
        <v>Electronics</v>
      </c>
      <c r="C894" s="2">
        <f>COUNTIF(tbl_raw[Product_Name],A894)</f>
        <v>1</v>
      </c>
      <c r="D894" s="2">
        <f>SUMIFS(tbl_raw[Units_Sold],tbl_raw[Product_Name],A894)</f>
        <v>15</v>
      </c>
      <c r="E894" s="3">
        <f>SUMIFS(tbl_raw[Net_Profit],tbl_raw[Product_Name],A894)</f>
        <v>-1140</v>
      </c>
      <c r="F894" s="2">
        <f>SUMIFS(tbl_raw[Return_Flag],tbl_raw[Product_Name],A894)</f>
        <v>1</v>
      </c>
      <c r="G894" s="3" cm="1">
        <f t="array" ref="G894">SUMPRODUCT((tbl_raw[Product_Name]=A894)*(tbl_raw[MRP]-tbl_raw[Selling_Price])*tbl_raw[Units_Sold])</f>
        <v>3420</v>
      </c>
      <c r="H894" s="83">
        <f>AVERAGEIFS(tbl_raw[Discount_Pct],tbl_raw[Product_Name],A894)</f>
        <v>0.28000000000000003</v>
      </c>
    </row>
    <row r="895" spans="1:8" hidden="1" x14ac:dyDescent="0.25">
      <c r="A895" s="2" t="str">
        <v>Children - Model 904</v>
      </c>
      <c r="B895" s="2" t="str">
        <f>_xlfn.XLOOKUP(A895,tbl_raw[Product_Name],tbl_raw[Category])</f>
        <v>Books</v>
      </c>
      <c r="C895" s="2">
        <f>COUNTIF(tbl_raw[Product_Name],A895)</f>
        <v>1</v>
      </c>
      <c r="D895" s="2">
        <f>SUMIFS(tbl_raw[Units_Sold],tbl_raw[Product_Name],A895)</f>
        <v>11</v>
      </c>
      <c r="E895" s="3">
        <f>SUMIFS(tbl_raw[Net_Profit],tbl_raw[Product_Name],A895)</f>
        <v>-638</v>
      </c>
      <c r="F895" s="2">
        <f>SUMIFS(tbl_raw[Return_Flag],tbl_raw[Product_Name],A895)</f>
        <v>0</v>
      </c>
      <c r="G895" s="3" cm="1">
        <f t="array" ref="G895">SUMPRODUCT((tbl_raw[Product_Name]=A895)*(tbl_raw[MRP]-tbl_raw[Selling_Price])*tbl_raw[Units_Sold])</f>
        <v>7601</v>
      </c>
      <c r="H895" s="83">
        <f>AVERAGEIFS(tbl_raw[Discount_Pct],tbl_raw[Product_Name],A895)</f>
        <v>0.28000000000000003</v>
      </c>
    </row>
    <row r="896" spans="1:8" hidden="1" x14ac:dyDescent="0.25">
      <c r="A896" s="2" t="str">
        <v>Lamp - Model 742</v>
      </c>
      <c r="B896" s="2" t="str">
        <f>_xlfn.XLOOKUP(A896,tbl_raw[Product_Name],tbl_raw[Category])</f>
        <v>Home &amp; Kitchen</v>
      </c>
      <c r="C896" s="2">
        <f>COUNTIF(tbl_raw[Product_Name],A896)</f>
        <v>1</v>
      </c>
      <c r="D896" s="2">
        <f>SUMIFS(tbl_raw[Units_Sold],tbl_raw[Product_Name],A896)</f>
        <v>4</v>
      </c>
      <c r="E896" s="3">
        <f>SUMIFS(tbl_raw[Net_Profit],tbl_raw[Product_Name],A896)</f>
        <v>5648</v>
      </c>
      <c r="F896" s="2">
        <f>SUMIFS(tbl_raw[Return_Flag],tbl_raw[Product_Name],A896)</f>
        <v>0</v>
      </c>
      <c r="G896" s="3" cm="1">
        <f t="array" ref="G896">SUMPRODUCT((tbl_raw[Product_Name]=A896)*(tbl_raw[MRP]-tbl_raw[Selling_Price])*tbl_raw[Units_Sold])</f>
        <v>1556</v>
      </c>
      <c r="H896" s="83">
        <f>AVERAGEIFS(tbl_raw[Discount_Pct],tbl_raw[Product_Name],A896)</f>
        <v>0.06</v>
      </c>
    </row>
    <row r="897" spans="1:8" hidden="1" x14ac:dyDescent="0.25">
      <c r="A897" s="2" t="str">
        <v>Mixer - Model 386</v>
      </c>
      <c r="B897" s="2" t="str">
        <f>_xlfn.XLOOKUP(A897,tbl_raw[Product_Name],tbl_raw[Category])</f>
        <v>Home &amp; Kitchen</v>
      </c>
      <c r="C897" s="2">
        <f>COUNTIF(tbl_raw[Product_Name],A897)</f>
        <v>1</v>
      </c>
      <c r="D897" s="2">
        <f>SUMIFS(tbl_raw[Units_Sold],tbl_raw[Product_Name],A897)</f>
        <v>12</v>
      </c>
      <c r="E897" s="3">
        <f>SUMIFS(tbl_raw[Net_Profit],tbl_raw[Product_Name],A897)</f>
        <v>10200</v>
      </c>
      <c r="F897" s="2">
        <f>SUMIFS(tbl_raw[Return_Flag],tbl_raw[Product_Name],A897)</f>
        <v>1</v>
      </c>
      <c r="G897" s="3" cm="1">
        <f t="array" ref="G897">SUMPRODUCT((tbl_raw[Product_Name]=A897)*(tbl_raw[MRP]-tbl_raw[Selling_Price])*tbl_raw[Units_Sold])</f>
        <v>1068</v>
      </c>
      <c r="H897" s="83">
        <f>AVERAGEIFS(tbl_raw[Discount_Pct],tbl_raw[Product_Name],A897)</f>
        <v>0.03</v>
      </c>
    </row>
    <row r="898" spans="1:8" hidden="1" x14ac:dyDescent="0.25">
      <c r="A898" s="2" t="str">
        <v>Mixer - Model 682</v>
      </c>
      <c r="B898" s="2" t="str">
        <f>_xlfn.XLOOKUP(A898,tbl_raw[Product_Name],tbl_raw[Category])</f>
        <v>Home &amp; Kitchen</v>
      </c>
      <c r="C898" s="2">
        <f>COUNTIF(tbl_raw[Product_Name],A898)</f>
        <v>1</v>
      </c>
      <c r="D898" s="2">
        <f>SUMIFS(tbl_raw[Units_Sold],tbl_raw[Product_Name],A898)</f>
        <v>2</v>
      </c>
      <c r="E898" s="3">
        <f>SUMIFS(tbl_raw[Net_Profit],tbl_raw[Product_Name],A898)</f>
        <v>1738</v>
      </c>
      <c r="F898" s="2">
        <f>SUMIFS(tbl_raw[Return_Flag],tbl_raw[Product_Name],A898)</f>
        <v>0</v>
      </c>
      <c r="G898" s="3" cm="1">
        <f t="array" ref="G898">SUMPRODUCT((tbl_raw[Product_Name]=A898)*(tbl_raw[MRP]-tbl_raw[Selling_Price])*tbl_raw[Units_Sold])</f>
        <v>790</v>
      </c>
      <c r="H898" s="83">
        <f>AVERAGEIFS(tbl_raw[Discount_Pct],tbl_raw[Product_Name],A898)</f>
        <v>0.13</v>
      </c>
    </row>
    <row r="899" spans="1:8" hidden="1" x14ac:dyDescent="0.25">
      <c r="A899" s="2" t="str">
        <v>Fiction - Model 798</v>
      </c>
      <c r="B899" s="2" t="str">
        <f>_xlfn.XLOOKUP(A899,tbl_raw[Product_Name],tbl_raw[Category])</f>
        <v>Books</v>
      </c>
      <c r="C899" s="2">
        <f>COUNTIF(tbl_raw[Product_Name],A899)</f>
        <v>1</v>
      </c>
      <c r="D899" s="2">
        <f>SUMIFS(tbl_raw[Units_Sold],tbl_raw[Product_Name],A899)</f>
        <v>17</v>
      </c>
      <c r="E899" s="3">
        <f>SUMIFS(tbl_raw[Net_Profit],tbl_raw[Product_Name],A899)</f>
        <v>-9248</v>
      </c>
      <c r="F899" s="2">
        <f>SUMIFS(tbl_raw[Return_Flag],tbl_raw[Product_Name],A899)</f>
        <v>0</v>
      </c>
      <c r="G899" s="3" cm="1">
        <f t="array" ref="G899">SUMPRODUCT((tbl_raw[Product_Name]=A899)*(tbl_raw[MRP]-tbl_raw[Selling_Price])*tbl_raw[Units_Sold])</f>
        <v>24599</v>
      </c>
      <c r="H899" s="83">
        <f>AVERAGEIFS(tbl_raw[Discount_Pct],tbl_raw[Product_Name],A899)</f>
        <v>0.39</v>
      </c>
    </row>
    <row r="900" spans="1:8" hidden="1" x14ac:dyDescent="0.25">
      <c r="A900" s="2" t="str">
        <v>Mixer - Model 397</v>
      </c>
      <c r="B900" s="2" t="str">
        <f>_xlfn.XLOOKUP(A900,tbl_raw[Product_Name],tbl_raw[Category])</f>
        <v>Home &amp; Kitchen</v>
      </c>
      <c r="C900" s="2">
        <f>COUNTIF(tbl_raw[Product_Name],A900)</f>
        <v>1</v>
      </c>
      <c r="D900" s="2">
        <f>SUMIFS(tbl_raw[Units_Sold],tbl_raw[Product_Name],A900)</f>
        <v>6</v>
      </c>
      <c r="E900" s="3">
        <f>SUMIFS(tbl_raw[Net_Profit],tbl_raw[Product_Name],A900)</f>
        <v>2988</v>
      </c>
      <c r="F900" s="2">
        <f>SUMIFS(tbl_raw[Return_Flag],tbl_raw[Product_Name],A900)</f>
        <v>0</v>
      </c>
      <c r="G900" s="3" cm="1">
        <f t="array" ref="G900">SUMPRODUCT((tbl_raw[Product_Name]=A900)*(tbl_raw[MRP]-tbl_raw[Selling_Price])*tbl_raw[Units_Sold])</f>
        <v>10596</v>
      </c>
      <c r="H900" s="83">
        <f>AVERAGEIFS(tbl_raw[Discount_Pct],tbl_raw[Product_Name],A900)</f>
        <v>0.38</v>
      </c>
    </row>
    <row r="901" spans="1:8" hidden="1" x14ac:dyDescent="0.25">
      <c r="A901" s="2" t="str">
        <v>Atta - Model 187</v>
      </c>
      <c r="B901" s="2" t="str">
        <f>_xlfn.XLOOKUP(A901,tbl_raw[Product_Name],tbl_raw[Category])</f>
        <v>Grocery</v>
      </c>
      <c r="C901" s="2">
        <f>COUNTIF(tbl_raw[Product_Name],A901)</f>
        <v>1</v>
      </c>
      <c r="D901" s="2">
        <f>SUMIFS(tbl_raw[Units_Sold],tbl_raw[Product_Name],A901)</f>
        <v>4</v>
      </c>
      <c r="E901" s="3">
        <f>SUMIFS(tbl_raw[Net_Profit],tbl_raw[Product_Name],A901)</f>
        <v>-2856</v>
      </c>
      <c r="F901" s="2">
        <f>SUMIFS(tbl_raw[Return_Flag],tbl_raw[Product_Name],A901)</f>
        <v>0</v>
      </c>
      <c r="G901" s="3" cm="1">
        <f t="array" ref="G901">SUMPRODUCT((tbl_raw[Product_Name]=A901)*(tbl_raw[MRP]-tbl_raw[Selling_Price])*tbl_raw[Units_Sold])</f>
        <v>12360</v>
      </c>
      <c r="H901" s="83">
        <f>AVERAGEIFS(tbl_raw[Discount_Pct],tbl_raw[Product_Name],A901)</f>
        <v>0.42</v>
      </c>
    </row>
    <row r="902" spans="1:8" hidden="1" x14ac:dyDescent="0.25">
      <c r="A902" s="2" t="str">
        <v>Perfume - Model 217</v>
      </c>
      <c r="B902" s="2" t="str">
        <f>_xlfn.XLOOKUP(A902,tbl_raw[Product_Name],tbl_raw[Category])</f>
        <v>Beauty</v>
      </c>
      <c r="C902" s="2">
        <f>COUNTIF(tbl_raw[Product_Name],A902)</f>
        <v>1</v>
      </c>
      <c r="D902" s="2">
        <f>SUMIFS(tbl_raw[Units_Sold],tbl_raw[Product_Name],A902)</f>
        <v>15</v>
      </c>
      <c r="E902" s="3">
        <f>SUMIFS(tbl_raw[Net_Profit],tbl_raw[Product_Name],A902)</f>
        <v>840</v>
      </c>
      <c r="F902" s="2">
        <f>SUMIFS(tbl_raw[Return_Flag],tbl_raw[Product_Name],A902)</f>
        <v>0</v>
      </c>
      <c r="G902" s="3" cm="1">
        <f t="array" ref="G902">SUMPRODUCT((tbl_raw[Product_Name]=A902)*(tbl_raw[MRP]-tbl_raw[Selling_Price])*tbl_raw[Units_Sold])</f>
        <v>525</v>
      </c>
      <c r="H902" s="83">
        <f>AVERAGEIFS(tbl_raw[Discount_Pct],tbl_raw[Product_Name],A902)</f>
        <v>7.0000000000000007E-2</v>
      </c>
    </row>
    <row r="903" spans="1:8" hidden="1" x14ac:dyDescent="0.25">
      <c r="A903" s="2" t="str">
        <v>Children - Model 584</v>
      </c>
      <c r="B903" s="2" t="str">
        <f>_xlfn.XLOOKUP(A903,tbl_raw[Product_Name],tbl_raw[Category])</f>
        <v>Books</v>
      </c>
      <c r="C903" s="2">
        <f>COUNTIF(tbl_raw[Product_Name],A903)</f>
        <v>1</v>
      </c>
      <c r="D903" s="2">
        <f>SUMIFS(tbl_raw[Units_Sold],tbl_raw[Product_Name],A903)</f>
        <v>2</v>
      </c>
      <c r="E903" s="3">
        <f>SUMIFS(tbl_raw[Net_Profit],tbl_raw[Product_Name],A903)</f>
        <v>1016</v>
      </c>
      <c r="F903" s="2">
        <f>SUMIFS(tbl_raw[Return_Flag],tbl_raw[Product_Name],A903)</f>
        <v>0</v>
      </c>
      <c r="G903" s="3" cm="1">
        <f t="array" ref="G903">SUMPRODUCT((tbl_raw[Product_Name]=A903)*(tbl_raw[MRP]-tbl_raw[Selling_Price])*tbl_raw[Units_Sold])</f>
        <v>36</v>
      </c>
      <c r="H903" s="83">
        <f>AVERAGEIFS(tbl_raw[Discount_Pct],tbl_raw[Product_Name],A903)</f>
        <v>0.01</v>
      </c>
    </row>
    <row r="904" spans="1:8" hidden="1" x14ac:dyDescent="0.25">
      <c r="A904" s="2" t="str">
        <v>Action Figure - Model 405</v>
      </c>
      <c r="B904" s="2" t="str">
        <f>_xlfn.XLOOKUP(A904,tbl_raw[Product_Name],tbl_raw[Category])</f>
        <v>Toys</v>
      </c>
      <c r="C904" s="2">
        <f>COUNTIF(tbl_raw[Product_Name],A904)</f>
        <v>1</v>
      </c>
      <c r="D904" s="2">
        <f>SUMIFS(tbl_raw[Units_Sold],tbl_raw[Product_Name],A904)</f>
        <v>14</v>
      </c>
      <c r="E904" s="3">
        <f>SUMIFS(tbl_raw[Net_Profit],tbl_raw[Product_Name],A904)</f>
        <v>10402</v>
      </c>
      <c r="F904" s="2">
        <f>SUMIFS(tbl_raw[Return_Flag],tbl_raw[Product_Name],A904)</f>
        <v>0</v>
      </c>
      <c r="G904" s="3" cm="1">
        <f t="array" ref="G904">SUMPRODUCT((tbl_raw[Product_Name]=A904)*(tbl_raw[MRP]-tbl_raw[Selling_Price])*tbl_raw[Units_Sold])</f>
        <v>18032</v>
      </c>
      <c r="H904" s="83">
        <f>AVERAGEIFS(tbl_raw[Discount_Pct],tbl_raw[Product_Name],A904)</f>
        <v>0.3</v>
      </c>
    </row>
    <row r="905" spans="1:8" hidden="1" x14ac:dyDescent="0.25">
      <c r="A905" s="2" t="str">
        <v>Lipstick - Model 529</v>
      </c>
      <c r="B905" s="2" t="str">
        <f>_xlfn.XLOOKUP(A905,tbl_raw[Product_Name],tbl_raw[Category])</f>
        <v>Beauty</v>
      </c>
      <c r="C905" s="2">
        <f>COUNTIF(tbl_raw[Product_Name],A905)</f>
        <v>1</v>
      </c>
      <c r="D905" s="2">
        <f>SUMIFS(tbl_raw[Units_Sold],tbl_raw[Product_Name],A905)</f>
        <v>16</v>
      </c>
      <c r="E905" s="3">
        <f>SUMIFS(tbl_raw[Net_Profit],tbl_raw[Product_Name],A905)</f>
        <v>-7696</v>
      </c>
      <c r="F905" s="2">
        <f>SUMIFS(tbl_raw[Return_Flag],tbl_raw[Product_Name],A905)</f>
        <v>0</v>
      </c>
      <c r="G905" s="3" cm="1">
        <f t="array" ref="G905">SUMPRODUCT((tbl_raw[Product_Name]=A905)*(tbl_raw[MRP]-tbl_raw[Selling_Price])*tbl_raw[Units_Sold])</f>
        <v>24512</v>
      </c>
      <c r="H905" s="83">
        <f>AVERAGEIFS(tbl_raw[Discount_Pct],tbl_raw[Product_Name],A905)</f>
        <v>0.35</v>
      </c>
    </row>
    <row r="906" spans="1:8" hidden="1" x14ac:dyDescent="0.25">
      <c r="A906" s="2" t="str">
        <v>Jacket - Model 731</v>
      </c>
      <c r="B906" s="2" t="str">
        <f>_xlfn.XLOOKUP(A906,tbl_raw[Product_Name],tbl_raw[Category])</f>
        <v>Fashion</v>
      </c>
      <c r="C906" s="2">
        <f>COUNTIF(tbl_raw[Product_Name],A906)</f>
        <v>1</v>
      </c>
      <c r="D906" s="2">
        <f>SUMIFS(tbl_raw[Units_Sold],tbl_raw[Product_Name],A906)</f>
        <v>11</v>
      </c>
      <c r="E906" s="3">
        <f>SUMIFS(tbl_raw[Net_Profit],tbl_raw[Product_Name],A906)</f>
        <v>-3300</v>
      </c>
      <c r="F906" s="2">
        <f>SUMIFS(tbl_raw[Return_Flag],tbl_raw[Product_Name],A906)</f>
        <v>0</v>
      </c>
      <c r="G906" s="3" cm="1">
        <f t="array" ref="G906">SUMPRODUCT((tbl_raw[Product_Name]=A906)*(tbl_raw[MRP]-tbl_raw[Selling_Price])*tbl_raw[Units_Sold])</f>
        <v>21901</v>
      </c>
      <c r="H906" s="83">
        <f>AVERAGEIFS(tbl_raw[Discount_Pct],tbl_raw[Product_Name],A906)</f>
        <v>0.37</v>
      </c>
    </row>
    <row r="907" spans="1:8" hidden="1" x14ac:dyDescent="0.25">
      <c r="A907" s="2" t="str">
        <v>Fiction - Model 911</v>
      </c>
      <c r="B907" s="2" t="str">
        <f>_xlfn.XLOOKUP(A907,tbl_raw[Product_Name],tbl_raw[Category])</f>
        <v>Books</v>
      </c>
      <c r="C907" s="2">
        <f>COUNTIF(tbl_raw[Product_Name],A907)</f>
        <v>1</v>
      </c>
      <c r="D907" s="2">
        <f>SUMIFS(tbl_raw[Units_Sold],tbl_raw[Product_Name],A907)</f>
        <v>9</v>
      </c>
      <c r="E907" s="3">
        <f>SUMIFS(tbl_raw[Net_Profit],tbl_raw[Product_Name],A907)</f>
        <v>15570</v>
      </c>
      <c r="F907" s="2">
        <f>SUMIFS(tbl_raw[Return_Flag],tbl_raw[Product_Name],A907)</f>
        <v>1</v>
      </c>
      <c r="G907" s="3" cm="1">
        <f t="array" ref="G907">SUMPRODUCT((tbl_raw[Product_Name]=A907)*(tbl_raw[MRP]-tbl_raw[Selling_Price])*tbl_raw[Units_Sold])</f>
        <v>0</v>
      </c>
      <c r="H907" s="83">
        <f>AVERAGEIFS(tbl_raw[Discount_Pct],tbl_raw[Product_Name],A907)</f>
        <v>0</v>
      </c>
    </row>
    <row r="908" spans="1:8" hidden="1" x14ac:dyDescent="0.25">
      <c r="A908" s="2" t="str">
        <v>Laptop - Model 863</v>
      </c>
      <c r="B908" s="2" t="str">
        <f>_xlfn.XLOOKUP(A908,tbl_raw[Product_Name],tbl_raw[Category])</f>
        <v>Electronics</v>
      </c>
      <c r="C908" s="2">
        <f>COUNTIF(tbl_raw[Product_Name],A908)</f>
        <v>1</v>
      </c>
      <c r="D908" s="2">
        <f>SUMIFS(tbl_raw[Units_Sold],tbl_raw[Product_Name],A908)</f>
        <v>14</v>
      </c>
      <c r="E908" s="3">
        <f>SUMIFS(tbl_raw[Net_Profit],tbl_raw[Product_Name],A908)</f>
        <v>2268</v>
      </c>
      <c r="F908" s="2">
        <f>SUMIFS(tbl_raw[Return_Flag],tbl_raw[Product_Name],A908)</f>
        <v>0</v>
      </c>
      <c r="G908" s="3" cm="1">
        <f t="array" ref="G908">SUMPRODUCT((tbl_raw[Product_Name]=A908)*(tbl_raw[MRP]-tbl_raw[Selling_Price])*tbl_raw[Units_Sold])</f>
        <v>27594</v>
      </c>
      <c r="H908" s="83">
        <f>AVERAGEIFS(tbl_raw[Discount_Pct],tbl_raw[Product_Name],A908)</f>
        <v>0.35</v>
      </c>
    </row>
    <row r="909" spans="1:8" hidden="1" x14ac:dyDescent="0.25">
      <c r="A909" s="2" t="str">
        <v>Textbook - Model 116</v>
      </c>
      <c r="B909" s="2" t="str">
        <f>_xlfn.XLOOKUP(A909,tbl_raw[Product_Name],tbl_raw[Category])</f>
        <v>Books</v>
      </c>
      <c r="C909" s="2">
        <f>COUNTIF(tbl_raw[Product_Name],A909)</f>
        <v>1</v>
      </c>
      <c r="D909" s="2">
        <f>SUMIFS(tbl_raw[Units_Sold],tbl_raw[Product_Name],A909)</f>
        <v>10</v>
      </c>
      <c r="E909" s="3">
        <f>SUMIFS(tbl_raw[Net_Profit],tbl_raw[Product_Name],A909)</f>
        <v>-2700</v>
      </c>
      <c r="F909" s="2">
        <f>SUMIFS(tbl_raw[Return_Flag],tbl_raw[Product_Name],A909)</f>
        <v>0</v>
      </c>
      <c r="G909" s="3" cm="1">
        <f t="array" ref="G909">SUMPRODUCT((tbl_raw[Product_Name]=A909)*(tbl_raw[MRP]-tbl_raw[Selling_Price])*tbl_raw[Units_Sold])</f>
        <v>16050</v>
      </c>
      <c r="H909" s="83">
        <f>AVERAGEIFS(tbl_raw[Discount_Pct],tbl_raw[Product_Name],A909)</f>
        <v>0.39</v>
      </c>
    </row>
    <row r="910" spans="1:8" hidden="1" x14ac:dyDescent="0.25">
      <c r="A910" s="2" t="str">
        <v>Fiction - Model 280</v>
      </c>
      <c r="B910" s="2" t="str">
        <f>_xlfn.XLOOKUP(A910,tbl_raw[Product_Name],tbl_raw[Category])</f>
        <v>Books</v>
      </c>
      <c r="C910" s="2">
        <f>COUNTIF(tbl_raw[Product_Name],A910)</f>
        <v>1</v>
      </c>
      <c r="D910" s="2">
        <f>SUMIFS(tbl_raw[Units_Sold],tbl_raw[Product_Name],A910)</f>
        <v>14</v>
      </c>
      <c r="E910" s="3">
        <f>SUMIFS(tbl_raw[Net_Profit],tbl_raw[Product_Name],A910)</f>
        <v>11424</v>
      </c>
      <c r="F910" s="2">
        <f>SUMIFS(tbl_raw[Return_Flag],tbl_raw[Product_Name],A910)</f>
        <v>0</v>
      </c>
      <c r="G910" s="3" cm="1">
        <f t="array" ref="G910">SUMPRODUCT((tbl_raw[Product_Name]=A910)*(tbl_raw[MRP]-tbl_raw[Selling_Price])*tbl_raw[Units_Sold])</f>
        <v>10892</v>
      </c>
      <c r="H910" s="83">
        <f>AVERAGEIFS(tbl_raw[Discount_Pct],tbl_raw[Product_Name],A910)</f>
        <v>0.25</v>
      </c>
    </row>
    <row r="911" spans="1:8" hidden="1" x14ac:dyDescent="0.25">
      <c r="A911" s="2" t="str">
        <v>Cycle - Model 977</v>
      </c>
      <c r="B911" s="2" t="str">
        <f>_xlfn.XLOOKUP(A911,tbl_raw[Product_Name],tbl_raw[Category])</f>
        <v>Sports</v>
      </c>
      <c r="C911" s="2">
        <f>COUNTIF(tbl_raw[Product_Name],A911)</f>
        <v>1</v>
      </c>
      <c r="D911" s="2">
        <f>SUMIFS(tbl_raw[Units_Sold],tbl_raw[Product_Name],A911)</f>
        <v>3</v>
      </c>
      <c r="E911" s="3">
        <f>SUMIFS(tbl_raw[Net_Profit],tbl_raw[Product_Name],A911)</f>
        <v>5913</v>
      </c>
      <c r="F911" s="2">
        <f>SUMIFS(tbl_raw[Return_Flag],tbl_raw[Product_Name],A911)</f>
        <v>0</v>
      </c>
      <c r="G911" s="3" cm="1">
        <f t="array" ref="G911">SUMPRODUCT((tbl_raw[Product_Name]=A911)*(tbl_raw[MRP]-tbl_raw[Selling_Price])*tbl_raw[Units_Sold])</f>
        <v>972</v>
      </c>
      <c r="H911" s="83">
        <f>AVERAGEIFS(tbl_raw[Discount_Pct],tbl_raw[Product_Name],A911)</f>
        <v>0.05</v>
      </c>
    </row>
    <row r="912" spans="1:8" hidden="1" x14ac:dyDescent="0.25">
      <c r="A912" s="2" t="str">
        <v>Shoes - Model 615</v>
      </c>
      <c r="B912" s="2" t="str">
        <f>_xlfn.XLOOKUP(A912,tbl_raw[Product_Name],tbl_raw[Category])</f>
        <v>Fashion</v>
      </c>
      <c r="C912" s="2">
        <f>COUNTIF(tbl_raw[Product_Name],A912)</f>
        <v>1</v>
      </c>
      <c r="D912" s="2">
        <f>SUMIFS(tbl_raw[Units_Sold],tbl_raw[Product_Name],A912)</f>
        <v>2</v>
      </c>
      <c r="E912" s="3">
        <f>SUMIFS(tbl_raw[Net_Profit],tbl_raw[Product_Name],A912)</f>
        <v>1284</v>
      </c>
      <c r="F912" s="2">
        <f>SUMIFS(tbl_raw[Return_Flag],tbl_raw[Product_Name],A912)</f>
        <v>0</v>
      </c>
      <c r="G912" s="3" cm="1">
        <f t="array" ref="G912">SUMPRODUCT((tbl_raw[Product_Name]=A912)*(tbl_raw[MRP]-tbl_raw[Selling_Price])*tbl_raw[Units_Sold])</f>
        <v>4110</v>
      </c>
      <c r="H912" s="83">
        <f>AVERAGEIFS(tbl_raw[Discount_Pct],tbl_raw[Product_Name],A912)</f>
        <v>0.38</v>
      </c>
    </row>
    <row r="913" spans="1:8" hidden="1" x14ac:dyDescent="0.25">
      <c r="A913" s="2" t="str">
        <v>Children - Model 522</v>
      </c>
      <c r="B913" s="2" t="str">
        <f>_xlfn.XLOOKUP(A913,tbl_raw[Product_Name],tbl_raw[Category])</f>
        <v>Books</v>
      </c>
      <c r="C913" s="2">
        <f>COUNTIF(tbl_raw[Product_Name],A913)</f>
        <v>1</v>
      </c>
      <c r="D913" s="2">
        <f>SUMIFS(tbl_raw[Units_Sold],tbl_raw[Product_Name],A913)</f>
        <v>1</v>
      </c>
      <c r="E913" s="3">
        <f>SUMIFS(tbl_raw[Net_Profit],tbl_raw[Product_Name],A913)</f>
        <v>475</v>
      </c>
      <c r="F913" s="2">
        <f>SUMIFS(tbl_raw[Return_Flag],tbl_raw[Product_Name],A913)</f>
        <v>0</v>
      </c>
      <c r="G913" s="3" cm="1">
        <f t="array" ref="G913">SUMPRODUCT((tbl_raw[Product_Name]=A913)*(tbl_raw[MRP]-tbl_raw[Selling_Price])*tbl_raw[Units_Sold])</f>
        <v>2635</v>
      </c>
      <c r="H913" s="83">
        <f>AVERAGEIFS(tbl_raw[Discount_Pct],tbl_raw[Product_Name],A913)</f>
        <v>0.35</v>
      </c>
    </row>
    <row r="914" spans="1:8" hidden="1" x14ac:dyDescent="0.25">
      <c r="A914" s="2" t="str">
        <v>Sunscreen - Model 500</v>
      </c>
      <c r="B914" s="2" t="str">
        <f>_xlfn.XLOOKUP(A914,tbl_raw[Product_Name],tbl_raw[Category])</f>
        <v>Beauty</v>
      </c>
      <c r="C914" s="2">
        <f>COUNTIF(tbl_raw[Product_Name],A914)</f>
        <v>1</v>
      </c>
      <c r="D914" s="2">
        <f>SUMIFS(tbl_raw[Units_Sold],tbl_raw[Product_Name],A914)</f>
        <v>20</v>
      </c>
      <c r="E914" s="3">
        <f>SUMIFS(tbl_raw[Net_Profit],tbl_raw[Product_Name],A914)</f>
        <v>-7620</v>
      </c>
      <c r="F914" s="2">
        <f>SUMIFS(tbl_raw[Return_Flag],tbl_raw[Product_Name],A914)</f>
        <v>0</v>
      </c>
      <c r="G914" s="3" cm="1">
        <f t="array" ref="G914">SUMPRODUCT((tbl_raw[Product_Name]=A914)*(tbl_raw[MRP]-tbl_raw[Selling_Price])*tbl_raw[Units_Sold])</f>
        <v>38680</v>
      </c>
      <c r="H914" s="83">
        <f>AVERAGEIFS(tbl_raw[Discount_Pct],tbl_raw[Product_Name],A914)</f>
        <v>0.37</v>
      </c>
    </row>
    <row r="915" spans="1:8" hidden="1" x14ac:dyDescent="0.25">
      <c r="A915" s="2" t="str">
        <v>Puzzle - Model 629</v>
      </c>
      <c r="B915" s="2" t="str">
        <f>_xlfn.XLOOKUP(A915,tbl_raw[Product_Name],tbl_raw[Category])</f>
        <v>Toys</v>
      </c>
      <c r="C915" s="2">
        <f>COUNTIF(tbl_raw[Product_Name],A915)</f>
        <v>1</v>
      </c>
      <c r="D915" s="2">
        <f>SUMIFS(tbl_raw[Units_Sold],tbl_raw[Product_Name],A915)</f>
        <v>14</v>
      </c>
      <c r="E915" s="3">
        <f>SUMIFS(tbl_raw[Net_Profit],tbl_raw[Product_Name],A915)</f>
        <v>5936</v>
      </c>
      <c r="F915" s="2">
        <f>SUMIFS(tbl_raw[Return_Flag],tbl_raw[Product_Name],A915)</f>
        <v>0</v>
      </c>
      <c r="G915" s="3" cm="1">
        <f t="array" ref="G915">SUMPRODUCT((tbl_raw[Product_Name]=A915)*(tbl_raw[MRP]-tbl_raw[Selling_Price])*tbl_raw[Units_Sold])</f>
        <v>8974</v>
      </c>
      <c r="H915" s="83">
        <f>AVERAGEIFS(tbl_raw[Discount_Pct],tbl_raw[Product_Name],A915)</f>
        <v>0.32</v>
      </c>
    </row>
    <row r="916" spans="1:8" hidden="1" x14ac:dyDescent="0.25">
      <c r="A916" s="2" t="str">
        <v>Bedsheet - Model 308</v>
      </c>
      <c r="B916" s="2" t="str">
        <f>_xlfn.XLOOKUP(A916,tbl_raw[Product_Name],tbl_raw[Category])</f>
        <v>Home &amp; Kitchen</v>
      </c>
      <c r="C916" s="2">
        <f>COUNTIF(tbl_raw[Product_Name],A916)</f>
        <v>1</v>
      </c>
      <c r="D916" s="2">
        <f>SUMIFS(tbl_raw[Units_Sold],tbl_raw[Product_Name],A916)</f>
        <v>3</v>
      </c>
      <c r="E916" s="3">
        <f>SUMIFS(tbl_raw[Net_Profit],tbl_raw[Product_Name],A916)</f>
        <v>225</v>
      </c>
      <c r="F916" s="2">
        <f>SUMIFS(tbl_raw[Return_Flag],tbl_raw[Product_Name],A916)</f>
        <v>0</v>
      </c>
      <c r="G916" s="3" cm="1">
        <f t="array" ref="G916">SUMPRODUCT((tbl_raw[Product_Name]=A916)*(tbl_raw[MRP]-tbl_raw[Selling_Price])*tbl_raw[Units_Sold])</f>
        <v>12</v>
      </c>
      <c r="H916" s="83">
        <f>AVERAGEIFS(tbl_raw[Discount_Pct],tbl_raw[Product_Name],A916)</f>
        <v>0.01</v>
      </c>
    </row>
    <row r="917" spans="1:8" hidden="1" x14ac:dyDescent="0.25">
      <c r="A917" s="2" t="str">
        <v>Action Figure - Model 860</v>
      </c>
      <c r="B917" s="2" t="str">
        <f>_xlfn.XLOOKUP(A917,tbl_raw[Product_Name],tbl_raw[Category])</f>
        <v>Toys</v>
      </c>
      <c r="C917" s="2">
        <f>COUNTIF(tbl_raw[Product_Name],A917)</f>
        <v>1</v>
      </c>
      <c r="D917" s="2">
        <f>SUMIFS(tbl_raw[Units_Sold],tbl_raw[Product_Name],A917)</f>
        <v>15</v>
      </c>
      <c r="E917" s="3">
        <f>SUMIFS(tbl_raw[Net_Profit],tbl_raw[Product_Name],A917)</f>
        <v>12345</v>
      </c>
      <c r="F917" s="2">
        <f>SUMIFS(tbl_raw[Return_Flag],tbl_raw[Product_Name],A917)</f>
        <v>0</v>
      </c>
      <c r="G917" s="3" cm="1">
        <f t="array" ref="G917">SUMPRODUCT((tbl_raw[Product_Name]=A917)*(tbl_raw[MRP]-tbl_raw[Selling_Price])*tbl_raw[Units_Sold])</f>
        <v>27030</v>
      </c>
      <c r="H917" s="83">
        <f>AVERAGEIFS(tbl_raw[Discount_Pct],tbl_raw[Product_Name],A917)</f>
        <v>0.35</v>
      </c>
    </row>
    <row r="918" spans="1:8" hidden="1" x14ac:dyDescent="0.25">
      <c r="A918" s="2" t="str">
        <v>Puzzle - Model 775</v>
      </c>
      <c r="B918" s="2" t="str">
        <f>_xlfn.XLOOKUP(A918,tbl_raw[Product_Name],tbl_raw[Category])</f>
        <v>Toys</v>
      </c>
      <c r="C918" s="2">
        <f>COUNTIF(tbl_raw[Product_Name],A918)</f>
        <v>1</v>
      </c>
      <c r="D918" s="2">
        <f>SUMIFS(tbl_raw[Units_Sold],tbl_raw[Product_Name],A918)</f>
        <v>9</v>
      </c>
      <c r="E918" s="3">
        <f>SUMIFS(tbl_raw[Net_Profit],tbl_raw[Product_Name],A918)</f>
        <v>2448</v>
      </c>
      <c r="F918" s="2">
        <f>SUMIFS(tbl_raw[Return_Flag],tbl_raw[Product_Name],A918)</f>
        <v>0</v>
      </c>
      <c r="G918" s="3" cm="1">
        <f t="array" ref="G918">SUMPRODUCT((tbl_raw[Product_Name]=A918)*(tbl_raw[MRP]-tbl_raw[Selling_Price])*tbl_raw[Units_Sold])</f>
        <v>459</v>
      </c>
      <c r="H918" s="83">
        <f>AVERAGEIFS(tbl_raw[Discount_Pct],tbl_raw[Product_Name],A918)</f>
        <v>0.06</v>
      </c>
    </row>
    <row r="919" spans="1:8" hidden="1" x14ac:dyDescent="0.25">
      <c r="A919" s="2" t="str">
        <v>Bedsheet - Model 368</v>
      </c>
      <c r="B919" s="2" t="str">
        <f>_xlfn.XLOOKUP(A919,tbl_raw[Product_Name],tbl_raw[Category])</f>
        <v>Home &amp; Kitchen</v>
      </c>
      <c r="C919" s="2">
        <f>COUNTIF(tbl_raw[Product_Name],A919)</f>
        <v>1</v>
      </c>
      <c r="D919" s="2">
        <f>SUMIFS(tbl_raw[Units_Sold],tbl_raw[Product_Name],A919)</f>
        <v>3</v>
      </c>
      <c r="E919" s="3">
        <f>SUMIFS(tbl_raw[Net_Profit],tbl_raw[Product_Name],A919)</f>
        <v>-423</v>
      </c>
      <c r="F919" s="2">
        <f>SUMIFS(tbl_raw[Return_Flag],tbl_raw[Product_Name],A919)</f>
        <v>0</v>
      </c>
      <c r="G919" s="3" cm="1">
        <f t="array" ref="G919">SUMPRODUCT((tbl_raw[Product_Name]=A919)*(tbl_raw[MRP]-tbl_raw[Selling_Price])*tbl_raw[Units_Sold])</f>
        <v>918</v>
      </c>
      <c r="H919" s="83">
        <f>AVERAGEIFS(tbl_raw[Discount_Pct],tbl_raw[Product_Name],A919)</f>
        <v>0.38</v>
      </c>
    </row>
    <row r="920" spans="1:8" hidden="1" x14ac:dyDescent="0.25">
      <c r="A920" s="2" t="str">
        <v>Jeans - Model 803</v>
      </c>
      <c r="B920" s="2" t="str">
        <f>_xlfn.XLOOKUP(A920,tbl_raw[Product_Name],tbl_raw[Category])</f>
        <v>Fashion</v>
      </c>
      <c r="C920" s="2">
        <f>COUNTIF(tbl_raw[Product_Name],A920)</f>
        <v>1</v>
      </c>
      <c r="D920" s="2">
        <f>SUMIFS(tbl_raw[Units_Sold],tbl_raw[Product_Name],A920)</f>
        <v>13</v>
      </c>
      <c r="E920" s="3">
        <f>SUMIFS(tbl_raw[Net_Profit],tbl_raw[Product_Name],A920)</f>
        <v>13416</v>
      </c>
      <c r="F920" s="2">
        <f>SUMIFS(tbl_raw[Return_Flag],tbl_raw[Product_Name],A920)</f>
        <v>0</v>
      </c>
      <c r="G920" s="3" cm="1">
        <f t="array" ref="G920">SUMPRODUCT((tbl_raw[Product_Name]=A920)*(tbl_raw[MRP]-tbl_raw[Selling_Price])*tbl_raw[Units_Sold])</f>
        <v>26923</v>
      </c>
      <c r="H920" s="83">
        <f>AVERAGEIFS(tbl_raw[Discount_Pct],tbl_raw[Product_Name],A920)</f>
        <v>0.28999999999999998</v>
      </c>
    </row>
    <row r="921" spans="1:8" hidden="1" x14ac:dyDescent="0.25">
      <c r="A921" s="2" t="str">
        <v>Mobile - Model 451</v>
      </c>
      <c r="B921" s="2" t="str">
        <f>_xlfn.XLOOKUP(A921,tbl_raw[Product_Name],tbl_raw[Category])</f>
        <v>Electronics</v>
      </c>
      <c r="C921" s="2">
        <f>COUNTIF(tbl_raw[Product_Name],A921)</f>
        <v>1</v>
      </c>
      <c r="D921" s="2">
        <f>SUMIFS(tbl_raw[Units_Sold],tbl_raw[Product_Name],A921)</f>
        <v>16</v>
      </c>
      <c r="E921" s="3">
        <f>SUMIFS(tbl_raw[Net_Profit],tbl_raw[Product_Name],A921)</f>
        <v>40080</v>
      </c>
      <c r="F921" s="2">
        <f>SUMIFS(tbl_raw[Return_Flag],tbl_raw[Product_Name],A921)</f>
        <v>0</v>
      </c>
      <c r="G921" s="3" cm="1">
        <f t="array" ref="G921">SUMPRODUCT((tbl_raw[Product_Name]=A921)*(tbl_raw[MRP]-tbl_raw[Selling_Price])*tbl_raw[Units_Sold])</f>
        <v>34384</v>
      </c>
      <c r="H921" s="83">
        <f>AVERAGEIFS(tbl_raw[Discount_Pct],tbl_raw[Product_Name],A921)</f>
        <v>0.27</v>
      </c>
    </row>
    <row r="922" spans="1:8" hidden="1" x14ac:dyDescent="0.25">
      <c r="A922" s="2" t="str">
        <v>Tablet - Model 624</v>
      </c>
      <c r="B922" s="2" t="str">
        <f>_xlfn.XLOOKUP(A922,tbl_raw[Product_Name],tbl_raw[Category])</f>
        <v>Electronics</v>
      </c>
      <c r="C922" s="2">
        <f>COUNTIF(tbl_raw[Product_Name],A922)</f>
        <v>1</v>
      </c>
      <c r="D922" s="2">
        <f>SUMIFS(tbl_raw[Units_Sold],tbl_raw[Product_Name],A922)</f>
        <v>7</v>
      </c>
      <c r="E922" s="3">
        <f>SUMIFS(tbl_raw[Net_Profit],tbl_raw[Product_Name],A922)</f>
        <v>22554</v>
      </c>
      <c r="F922" s="2">
        <f>SUMIFS(tbl_raw[Return_Flag],tbl_raw[Product_Name],A922)</f>
        <v>1</v>
      </c>
      <c r="G922" s="3" cm="1">
        <f t="array" ref="G922">SUMPRODUCT((tbl_raw[Product_Name]=A922)*(tbl_raw[MRP]-tbl_raw[Selling_Price])*tbl_raw[Units_Sold])</f>
        <v>2436</v>
      </c>
      <c r="H922" s="83">
        <f>AVERAGEIFS(tbl_raw[Discount_Pct],tbl_raw[Product_Name],A922)</f>
        <v>0.05</v>
      </c>
    </row>
    <row r="923" spans="1:8" hidden="1" x14ac:dyDescent="0.25">
      <c r="A923" s="2" t="str">
        <v>Dumbbells - Model 304</v>
      </c>
      <c r="B923" s="2" t="str">
        <f>_xlfn.XLOOKUP(A923,tbl_raw[Product_Name],tbl_raw[Category])</f>
        <v>Sports</v>
      </c>
      <c r="C923" s="2">
        <f>COUNTIF(tbl_raw[Product_Name],A923)</f>
        <v>1</v>
      </c>
      <c r="D923" s="2">
        <f>SUMIFS(tbl_raw[Units_Sold],tbl_raw[Product_Name],A923)</f>
        <v>12</v>
      </c>
      <c r="E923" s="3">
        <f>SUMIFS(tbl_raw[Net_Profit],tbl_raw[Product_Name],A923)</f>
        <v>8244</v>
      </c>
      <c r="F923" s="2">
        <f>SUMIFS(tbl_raw[Return_Flag],tbl_raw[Product_Name],A923)</f>
        <v>0</v>
      </c>
      <c r="G923" s="3" cm="1">
        <f t="array" ref="G923">SUMPRODUCT((tbl_raw[Product_Name]=A923)*(tbl_raw[MRP]-tbl_raw[Selling_Price])*tbl_raw[Units_Sold])</f>
        <v>19920</v>
      </c>
      <c r="H923" s="83">
        <f>AVERAGEIFS(tbl_raw[Discount_Pct],tbl_raw[Product_Name],A923)</f>
        <v>0.28999999999999998</v>
      </c>
    </row>
    <row r="924" spans="1:8" hidden="1" x14ac:dyDescent="0.25">
      <c r="A924" s="2" t="str">
        <v>Pressure Cooker - Model 803</v>
      </c>
      <c r="B924" s="2" t="str">
        <f>_xlfn.XLOOKUP(A924,tbl_raw[Product_Name],tbl_raw[Category])</f>
        <v>Home &amp; Kitchen</v>
      </c>
      <c r="C924" s="2">
        <f>COUNTIF(tbl_raw[Product_Name],A924)</f>
        <v>1</v>
      </c>
      <c r="D924" s="2">
        <f>SUMIFS(tbl_raw[Units_Sold],tbl_raw[Product_Name],A924)</f>
        <v>13</v>
      </c>
      <c r="E924" s="3">
        <f>SUMIFS(tbl_raw[Net_Profit],tbl_raw[Product_Name],A924)</f>
        <v>-260</v>
      </c>
      <c r="F924" s="2">
        <f>SUMIFS(tbl_raw[Return_Flag],tbl_raw[Product_Name],A924)</f>
        <v>0</v>
      </c>
      <c r="G924" s="3" cm="1">
        <f t="array" ref="G924">SUMPRODUCT((tbl_raw[Product_Name]=A924)*(tbl_raw[MRP]-tbl_raw[Selling_Price])*tbl_raw[Units_Sold])</f>
        <v>4693</v>
      </c>
      <c r="H924" s="83">
        <f>AVERAGEIFS(tbl_raw[Discount_Pct],tbl_raw[Product_Name],A924)</f>
        <v>0.36</v>
      </c>
    </row>
    <row r="925" spans="1:8" hidden="1" x14ac:dyDescent="0.25">
      <c r="A925" s="2" t="str">
        <v>Yoga Mat - Model 737</v>
      </c>
      <c r="B925" s="2" t="str">
        <f>_xlfn.XLOOKUP(A925,tbl_raw[Product_Name],tbl_raw[Category])</f>
        <v>Sports</v>
      </c>
      <c r="C925" s="2">
        <f>COUNTIF(tbl_raw[Product_Name],A925)</f>
        <v>1</v>
      </c>
      <c r="D925" s="2">
        <f>SUMIFS(tbl_raw[Units_Sold],tbl_raw[Product_Name],A925)</f>
        <v>20</v>
      </c>
      <c r="E925" s="3">
        <f>SUMIFS(tbl_raw[Net_Profit],tbl_raw[Product_Name],A925)</f>
        <v>21340</v>
      </c>
      <c r="F925" s="2">
        <f>SUMIFS(tbl_raw[Return_Flag],tbl_raw[Product_Name],A925)</f>
        <v>0</v>
      </c>
      <c r="G925" s="3" cm="1">
        <f t="array" ref="G925">SUMPRODUCT((tbl_raw[Product_Name]=A925)*(tbl_raw[MRP]-tbl_raw[Selling_Price])*tbl_raw[Units_Sold])</f>
        <v>5740</v>
      </c>
      <c r="H925" s="83">
        <f>AVERAGEIFS(tbl_raw[Discount_Pct],tbl_raw[Product_Name],A925)</f>
        <v>0.09</v>
      </c>
    </row>
    <row r="926" spans="1:8" hidden="1" x14ac:dyDescent="0.25">
      <c r="A926" s="2" t="str">
        <v>Puzzle - Model 718</v>
      </c>
      <c r="B926" s="2" t="str">
        <f>_xlfn.XLOOKUP(A926,tbl_raw[Product_Name],tbl_raw[Category])</f>
        <v>Toys</v>
      </c>
      <c r="C926" s="2">
        <f>COUNTIF(tbl_raw[Product_Name],A926)</f>
        <v>1</v>
      </c>
      <c r="D926" s="2">
        <f>SUMIFS(tbl_raw[Units_Sold],tbl_raw[Product_Name],A926)</f>
        <v>12</v>
      </c>
      <c r="E926" s="3">
        <f>SUMIFS(tbl_raw[Net_Profit],tbl_raw[Product_Name],A926)</f>
        <v>9468</v>
      </c>
      <c r="F926" s="2">
        <f>SUMIFS(tbl_raw[Return_Flag],tbl_raw[Product_Name],A926)</f>
        <v>0</v>
      </c>
      <c r="G926" s="3" cm="1">
        <f t="array" ref="G926">SUMPRODUCT((tbl_raw[Product_Name]=A926)*(tbl_raw[MRP]-tbl_raw[Selling_Price])*tbl_raw[Units_Sold])</f>
        <v>1980</v>
      </c>
      <c r="H926" s="83">
        <f>AVERAGEIFS(tbl_raw[Discount_Pct],tbl_raw[Product_Name],A926)</f>
        <v>0.05</v>
      </c>
    </row>
    <row r="927" spans="1:8" hidden="1" x14ac:dyDescent="0.25">
      <c r="A927" s="2" t="str">
        <v>Self-Help - Model 898</v>
      </c>
      <c r="B927" s="2" t="str">
        <f>_xlfn.XLOOKUP(A927,tbl_raw[Product_Name],tbl_raw[Category])</f>
        <v>Books</v>
      </c>
      <c r="C927" s="2">
        <f>COUNTIF(tbl_raw[Product_Name],A927)</f>
        <v>1</v>
      </c>
      <c r="D927" s="2">
        <f>SUMIFS(tbl_raw[Units_Sold],tbl_raw[Product_Name],A927)</f>
        <v>4</v>
      </c>
      <c r="E927" s="3">
        <f>SUMIFS(tbl_raw[Net_Profit],tbl_raw[Product_Name],A927)</f>
        <v>-204</v>
      </c>
      <c r="F927" s="2">
        <f>SUMIFS(tbl_raw[Return_Flag],tbl_raw[Product_Name],A927)</f>
        <v>0</v>
      </c>
      <c r="G927" s="3" cm="1">
        <f t="array" ref="G927">SUMPRODUCT((tbl_raw[Product_Name]=A927)*(tbl_raw[MRP]-tbl_raw[Selling_Price])*tbl_raw[Units_Sold])</f>
        <v>340</v>
      </c>
      <c r="H927" s="83">
        <f>AVERAGEIFS(tbl_raw[Discount_Pct],tbl_raw[Product_Name],A927)</f>
        <v>0.31</v>
      </c>
    </row>
    <row r="928" spans="1:8" hidden="1" x14ac:dyDescent="0.25">
      <c r="A928" s="2" t="str">
        <v>Puzzle - Model 716</v>
      </c>
      <c r="B928" s="2" t="str">
        <f>_xlfn.XLOOKUP(A928,tbl_raw[Product_Name],tbl_raw[Category])</f>
        <v>Toys</v>
      </c>
      <c r="C928" s="2">
        <f>COUNTIF(tbl_raw[Product_Name],A928)</f>
        <v>1</v>
      </c>
      <c r="D928" s="2">
        <f>SUMIFS(tbl_raw[Units_Sold],tbl_raw[Product_Name],A928)</f>
        <v>17</v>
      </c>
      <c r="E928" s="3">
        <f>SUMIFS(tbl_raw[Net_Profit],tbl_raw[Product_Name],A928)</f>
        <v>272</v>
      </c>
      <c r="F928" s="2">
        <f>SUMIFS(tbl_raw[Return_Flag],tbl_raw[Product_Name],A928)</f>
        <v>0</v>
      </c>
      <c r="G928" s="3" cm="1">
        <f t="array" ref="G928">SUMPRODUCT((tbl_raw[Product_Name]=A928)*(tbl_raw[MRP]-tbl_raw[Selling_Price])*tbl_raw[Units_Sold])</f>
        <v>8058</v>
      </c>
      <c r="H928" s="83">
        <f>AVERAGEIFS(tbl_raw[Discount_Pct],tbl_raw[Product_Name],A928)</f>
        <v>0.25</v>
      </c>
    </row>
    <row r="929" spans="1:8" hidden="1" x14ac:dyDescent="0.25">
      <c r="A929" s="2" t="str">
        <v>Puzzle - Model 932</v>
      </c>
      <c r="B929" s="2" t="str">
        <f>_xlfn.XLOOKUP(A929,tbl_raw[Product_Name],tbl_raw[Category])</f>
        <v>Toys</v>
      </c>
      <c r="C929" s="2">
        <f>COUNTIF(tbl_raw[Product_Name],A929)</f>
        <v>1</v>
      </c>
      <c r="D929" s="2">
        <f>SUMIFS(tbl_raw[Units_Sold],tbl_raw[Product_Name],A929)</f>
        <v>7</v>
      </c>
      <c r="E929" s="3">
        <f>SUMIFS(tbl_raw[Net_Profit],tbl_raw[Product_Name],A929)</f>
        <v>-462</v>
      </c>
      <c r="F929" s="2">
        <f>SUMIFS(tbl_raw[Return_Flag],tbl_raw[Product_Name],A929)</f>
        <v>0</v>
      </c>
      <c r="G929" s="3" cm="1">
        <f t="array" ref="G929">SUMPRODUCT((tbl_raw[Product_Name]=A929)*(tbl_raw[MRP]-tbl_raw[Selling_Price])*tbl_raw[Units_Sold])</f>
        <v>4382</v>
      </c>
      <c r="H929" s="83">
        <f>AVERAGEIFS(tbl_raw[Discount_Pct],tbl_raw[Product_Name],A929)</f>
        <v>0.36</v>
      </c>
    </row>
    <row r="930" spans="1:8" hidden="1" x14ac:dyDescent="0.25">
      <c r="A930" s="2" t="str">
        <v>Board Game - Model 690</v>
      </c>
      <c r="B930" s="2" t="str">
        <f>_xlfn.XLOOKUP(A930,tbl_raw[Product_Name],tbl_raw[Category])</f>
        <v>Toys</v>
      </c>
      <c r="C930" s="2">
        <f>COUNTIF(tbl_raw[Product_Name],A930)</f>
        <v>1</v>
      </c>
      <c r="D930" s="2">
        <f>SUMIFS(tbl_raw[Units_Sold],tbl_raw[Product_Name],A930)</f>
        <v>10</v>
      </c>
      <c r="E930" s="3">
        <f>SUMIFS(tbl_raw[Net_Profit],tbl_raw[Product_Name],A930)</f>
        <v>-150</v>
      </c>
      <c r="F930" s="2">
        <f>SUMIFS(tbl_raw[Return_Flag],tbl_raw[Product_Name],A930)</f>
        <v>0</v>
      </c>
      <c r="G930" s="3" cm="1">
        <f t="array" ref="G930">SUMPRODUCT((tbl_raw[Product_Name]=A930)*(tbl_raw[MRP]-tbl_raw[Selling_Price])*tbl_raw[Units_Sold])</f>
        <v>1190</v>
      </c>
      <c r="H930" s="83">
        <f>AVERAGEIFS(tbl_raw[Discount_Pct],tbl_raw[Product_Name],A930)</f>
        <v>0.35</v>
      </c>
    </row>
    <row r="931" spans="1:8" hidden="1" x14ac:dyDescent="0.25">
      <c r="A931" s="2" t="str">
        <v>Headphones - Model 760</v>
      </c>
      <c r="B931" s="2" t="str">
        <f>_xlfn.XLOOKUP(A931,tbl_raw[Product_Name],tbl_raw[Category])</f>
        <v>Electronics</v>
      </c>
      <c r="C931" s="2">
        <f>COUNTIF(tbl_raw[Product_Name],A931)</f>
        <v>1</v>
      </c>
      <c r="D931" s="2">
        <f>SUMIFS(tbl_raw[Units_Sold],tbl_raw[Product_Name],A931)</f>
        <v>3</v>
      </c>
      <c r="E931" s="3">
        <f>SUMIFS(tbl_raw[Net_Profit],tbl_raw[Product_Name],A931)</f>
        <v>759</v>
      </c>
      <c r="F931" s="2">
        <f>SUMIFS(tbl_raw[Return_Flag],tbl_raw[Product_Name],A931)</f>
        <v>0</v>
      </c>
      <c r="G931" s="3" cm="1">
        <f t="array" ref="G931">SUMPRODUCT((tbl_raw[Product_Name]=A931)*(tbl_raw[MRP]-tbl_raw[Selling_Price])*tbl_raw[Units_Sold])</f>
        <v>4290</v>
      </c>
      <c r="H931" s="83">
        <f>AVERAGEIFS(tbl_raw[Discount_Pct],tbl_raw[Product_Name],A931)</f>
        <v>0.37</v>
      </c>
    </row>
    <row r="932" spans="1:8" hidden="1" x14ac:dyDescent="0.25">
      <c r="A932" s="2" t="str">
        <v>Children - Model 727</v>
      </c>
      <c r="B932" s="2" t="str">
        <f>_xlfn.XLOOKUP(A932,tbl_raw[Product_Name],tbl_raw[Category])</f>
        <v>Books</v>
      </c>
      <c r="C932" s="2">
        <f>COUNTIF(tbl_raw[Product_Name],A932)</f>
        <v>1</v>
      </c>
      <c r="D932" s="2">
        <f>SUMIFS(tbl_raw[Units_Sold],tbl_raw[Product_Name],A932)</f>
        <v>13</v>
      </c>
      <c r="E932" s="3">
        <f>SUMIFS(tbl_raw[Net_Profit],tbl_raw[Product_Name],A932)</f>
        <v>-2054</v>
      </c>
      <c r="F932" s="2">
        <f>SUMIFS(tbl_raw[Return_Flag],tbl_raw[Product_Name],A932)</f>
        <v>0</v>
      </c>
      <c r="G932" s="3" cm="1">
        <f t="array" ref="G932">SUMPRODUCT((tbl_raw[Product_Name]=A932)*(tbl_raw[MRP]-tbl_raw[Selling_Price])*tbl_raw[Units_Sold])</f>
        <v>14456</v>
      </c>
      <c r="H932" s="83">
        <f>AVERAGEIFS(tbl_raw[Discount_Pct],tbl_raw[Product_Name],A932)</f>
        <v>0.44</v>
      </c>
    </row>
    <row r="933" spans="1:8" hidden="1" x14ac:dyDescent="0.25">
      <c r="A933" s="2" t="str">
        <v>Moisturizer - Model 945</v>
      </c>
      <c r="B933" s="2" t="str">
        <f>_xlfn.XLOOKUP(A933,tbl_raw[Product_Name],tbl_raw[Category])</f>
        <v>Beauty</v>
      </c>
      <c r="C933" s="2">
        <f>COUNTIF(tbl_raw[Product_Name],A933)</f>
        <v>1</v>
      </c>
      <c r="D933" s="2">
        <f>SUMIFS(tbl_raw[Units_Sold],tbl_raw[Product_Name],A933)</f>
        <v>5</v>
      </c>
      <c r="E933" s="3">
        <f>SUMIFS(tbl_raw[Net_Profit],tbl_raw[Product_Name],A933)</f>
        <v>595</v>
      </c>
      <c r="F933" s="2">
        <f>SUMIFS(tbl_raw[Return_Flag],tbl_raw[Product_Name],A933)</f>
        <v>1</v>
      </c>
      <c r="G933" s="3" cm="1">
        <f t="array" ref="G933">SUMPRODUCT((tbl_raw[Product_Name]=A933)*(tbl_raw[MRP]-tbl_raw[Selling_Price])*tbl_raw[Units_Sold])</f>
        <v>765</v>
      </c>
      <c r="H933" s="83">
        <f>AVERAGEIFS(tbl_raw[Discount_Pct],tbl_raw[Product_Name],A933)</f>
        <v>0.15</v>
      </c>
    </row>
    <row r="934" spans="1:8" hidden="1" x14ac:dyDescent="0.25">
      <c r="A934" s="2" t="str">
        <v>Mobile - Model 365</v>
      </c>
      <c r="B934" s="2" t="str">
        <f>_xlfn.XLOOKUP(A934,tbl_raw[Product_Name],tbl_raw[Category])</f>
        <v>Electronics</v>
      </c>
      <c r="C934" s="2">
        <f>COUNTIF(tbl_raw[Product_Name],A934)</f>
        <v>1</v>
      </c>
      <c r="D934" s="2">
        <f>SUMIFS(tbl_raw[Units_Sold],tbl_raw[Product_Name],A934)</f>
        <v>4</v>
      </c>
      <c r="E934" s="3">
        <f>SUMIFS(tbl_raw[Net_Profit],tbl_raw[Product_Name],A934)</f>
        <v>312</v>
      </c>
      <c r="F934" s="2">
        <f>SUMIFS(tbl_raw[Return_Flag],tbl_raw[Product_Name],A934)</f>
        <v>0</v>
      </c>
      <c r="G934" s="3" cm="1">
        <f t="array" ref="G934">SUMPRODUCT((tbl_raw[Product_Name]=A934)*(tbl_raw[MRP]-tbl_raw[Selling_Price])*tbl_raw[Units_Sold])</f>
        <v>320</v>
      </c>
      <c r="H934" s="83">
        <f>AVERAGEIFS(tbl_raw[Discount_Pct],tbl_raw[Product_Name],A934)</f>
        <v>0.14000000000000001</v>
      </c>
    </row>
    <row r="935" spans="1:8" hidden="1" x14ac:dyDescent="0.25">
      <c r="A935" s="2" t="str">
        <v>Atta - Model 229</v>
      </c>
      <c r="B935" s="2" t="str">
        <f>_xlfn.XLOOKUP(A935,tbl_raw[Product_Name],tbl_raw[Category])</f>
        <v>Grocery</v>
      </c>
      <c r="C935" s="2">
        <f>COUNTIF(tbl_raw[Product_Name],A935)</f>
        <v>1</v>
      </c>
      <c r="D935" s="2">
        <f>SUMIFS(tbl_raw[Units_Sold],tbl_raw[Product_Name],A935)</f>
        <v>5</v>
      </c>
      <c r="E935" s="3">
        <f>SUMIFS(tbl_raw[Net_Profit],tbl_raw[Product_Name],A935)</f>
        <v>-4655</v>
      </c>
      <c r="F935" s="2">
        <f>SUMIFS(tbl_raw[Return_Flag],tbl_raw[Product_Name],A935)</f>
        <v>0</v>
      </c>
      <c r="G935" s="3" cm="1">
        <f t="array" ref="G935">SUMPRODUCT((tbl_raw[Product_Name]=A935)*(tbl_raw[MRP]-tbl_raw[Selling_Price])*tbl_raw[Units_Sold])</f>
        <v>12150</v>
      </c>
      <c r="H935" s="83">
        <f>AVERAGEIFS(tbl_raw[Discount_Pct],tbl_raw[Product_Name],A935)</f>
        <v>0.4</v>
      </c>
    </row>
    <row r="936" spans="1:8" hidden="1" x14ac:dyDescent="0.25">
      <c r="A936" s="2" t="str">
        <v>Pulses - Model 387</v>
      </c>
      <c r="B936" s="2" t="str">
        <f>_xlfn.XLOOKUP(A936,tbl_raw[Product_Name],tbl_raw[Category])</f>
        <v>Grocery</v>
      </c>
      <c r="C936" s="2">
        <f>COUNTIF(tbl_raw[Product_Name],A936)</f>
        <v>1</v>
      </c>
      <c r="D936" s="2">
        <f>SUMIFS(tbl_raw[Units_Sold],tbl_raw[Product_Name],A936)</f>
        <v>16</v>
      </c>
      <c r="E936" s="3">
        <f>SUMIFS(tbl_raw[Net_Profit],tbl_raw[Product_Name],A936)</f>
        <v>11136</v>
      </c>
      <c r="F936" s="2">
        <f>SUMIFS(tbl_raw[Return_Flag],tbl_raw[Product_Name],A936)</f>
        <v>0</v>
      </c>
      <c r="G936" s="3" cm="1">
        <f t="array" ref="G936">SUMPRODUCT((tbl_raw[Product_Name]=A936)*(tbl_raw[MRP]-tbl_raw[Selling_Price])*tbl_raw[Units_Sold])</f>
        <v>3760</v>
      </c>
      <c r="H936" s="83">
        <f>AVERAGEIFS(tbl_raw[Discount_Pct],tbl_raw[Product_Name],A936)</f>
        <v>0.12</v>
      </c>
    </row>
    <row r="937" spans="1:8" hidden="1" x14ac:dyDescent="0.25">
      <c r="A937" s="2" t="str">
        <v>Moisturizer - Model 176</v>
      </c>
      <c r="B937" s="2" t="str">
        <f>_xlfn.XLOOKUP(A937,tbl_raw[Product_Name],tbl_raw[Category])</f>
        <v>Beauty</v>
      </c>
      <c r="C937" s="2">
        <f>COUNTIF(tbl_raw[Product_Name],A937)</f>
        <v>1</v>
      </c>
      <c r="D937" s="2">
        <f>SUMIFS(tbl_raw[Units_Sold],tbl_raw[Product_Name],A937)</f>
        <v>2</v>
      </c>
      <c r="E937" s="3">
        <f>SUMIFS(tbl_raw[Net_Profit],tbl_raw[Product_Name],A937)</f>
        <v>330</v>
      </c>
      <c r="F937" s="2">
        <f>SUMIFS(tbl_raw[Return_Flag],tbl_raw[Product_Name],A937)</f>
        <v>0</v>
      </c>
      <c r="G937" s="3" cm="1">
        <f t="array" ref="G937">SUMPRODUCT((tbl_raw[Product_Name]=A937)*(tbl_raw[MRP]-tbl_raw[Selling_Price])*tbl_raw[Units_Sold])</f>
        <v>1114</v>
      </c>
      <c r="H937" s="83">
        <f>AVERAGEIFS(tbl_raw[Discount_Pct],tbl_raw[Product_Name],A937)</f>
        <v>0.3</v>
      </c>
    </row>
    <row r="938" spans="1:8" hidden="1" x14ac:dyDescent="0.25">
      <c r="A938" s="2" t="str">
        <v>Textbook - Model 825</v>
      </c>
      <c r="B938" s="2" t="str">
        <f>_xlfn.XLOOKUP(A938,tbl_raw[Product_Name],tbl_raw[Category])</f>
        <v>Books</v>
      </c>
      <c r="C938" s="2">
        <f>COUNTIF(tbl_raw[Product_Name],A938)</f>
        <v>1</v>
      </c>
      <c r="D938" s="2">
        <f>SUMIFS(tbl_raw[Units_Sold],tbl_raw[Product_Name],A938)</f>
        <v>5</v>
      </c>
      <c r="E938" s="3">
        <f>SUMIFS(tbl_raw[Net_Profit],tbl_raw[Product_Name],A938)</f>
        <v>16345</v>
      </c>
      <c r="F938" s="2">
        <f>SUMIFS(tbl_raw[Return_Flag],tbl_raw[Product_Name],A938)</f>
        <v>0</v>
      </c>
      <c r="G938" s="3" cm="1">
        <f t="array" ref="G938">SUMPRODUCT((tbl_raw[Product_Name]=A938)*(tbl_raw[MRP]-tbl_raw[Selling_Price])*tbl_raw[Units_Sold])</f>
        <v>1705</v>
      </c>
      <c r="H938" s="83">
        <f>AVERAGEIFS(tbl_raw[Discount_Pct],tbl_raw[Product_Name],A938)</f>
        <v>0.05</v>
      </c>
    </row>
    <row r="939" spans="1:8" hidden="1" x14ac:dyDescent="0.25">
      <c r="A939" s="2" t="str">
        <v>Board Game - Model 170</v>
      </c>
      <c r="B939" s="2" t="str">
        <f>_xlfn.XLOOKUP(A939,tbl_raw[Product_Name],tbl_raw[Category])</f>
        <v>Toys</v>
      </c>
      <c r="C939" s="2">
        <f>COUNTIF(tbl_raw[Product_Name],A939)</f>
        <v>1</v>
      </c>
      <c r="D939" s="2">
        <f>SUMIFS(tbl_raw[Units_Sold],tbl_raw[Product_Name],A939)</f>
        <v>14</v>
      </c>
      <c r="E939" s="3">
        <f>SUMIFS(tbl_raw[Net_Profit],tbl_raw[Product_Name],A939)</f>
        <v>1456</v>
      </c>
      <c r="F939" s="2">
        <f>SUMIFS(tbl_raw[Return_Flag],tbl_raw[Product_Name],A939)</f>
        <v>0</v>
      </c>
      <c r="G939" s="3" cm="1">
        <f t="array" ref="G939">SUMPRODUCT((tbl_raw[Product_Name]=A939)*(tbl_raw[MRP]-tbl_raw[Selling_Price])*tbl_raw[Units_Sold])</f>
        <v>2898</v>
      </c>
      <c r="H939" s="83">
        <f>AVERAGEIFS(tbl_raw[Discount_Pct],tbl_raw[Product_Name],A939)</f>
        <v>0.14000000000000001</v>
      </c>
    </row>
    <row r="940" spans="1:8" hidden="1" x14ac:dyDescent="0.25">
      <c r="A940" s="2" t="str">
        <v>Smartwatch - Model 291</v>
      </c>
      <c r="B940" s="2" t="str">
        <f>_xlfn.XLOOKUP(A940,tbl_raw[Product_Name],tbl_raw[Category])</f>
        <v>Electronics</v>
      </c>
      <c r="C940" s="2">
        <f>COUNTIF(tbl_raw[Product_Name],A940)</f>
        <v>1</v>
      </c>
      <c r="D940" s="2">
        <f>SUMIFS(tbl_raw[Units_Sold],tbl_raw[Product_Name],A940)</f>
        <v>1</v>
      </c>
      <c r="E940" s="3">
        <f>SUMIFS(tbl_raw[Net_Profit],tbl_raw[Product_Name],A940)</f>
        <v>879</v>
      </c>
      <c r="F940" s="2">
        <f>SUMIFS(tbl_raw[Return_Flag],tbl_raw[Product_Name],A940)</f>
        <v>0</v>
      </c>
      <c r="G940" s="3" cm="1">
        <f t="array" ref="G940">SUMPRODUCT((tbl_raw[Product_Name]=A940)*(tbl_raw[MRP]-tbl_raw[Selling_Price])*tbl_raw[Units_Sold])</f>
        <v>940</v>
      </c>
      <c r="H940" s="83">
        <f>AVERAGEIFS(tbl_raw[Discount_Pct],tbl_raw[Product_Name],A940)</f>
        <v>0.24</v>
      </c>
    </row>
    <row r="941" spans="1:8" hidden="1" x14ac:dyDescent="0.25">
      <c r="A941" s="2" t="str">
        <v>Doll - Model 441</v>
      </c>
      <c r="B941" s="2" t="str">
        <f>_xlfn.XLOOKUP(A941,tbl_raw[Product_Name],tbl_raw[Category])</f>
        <v>Toys</v>
      </c>
      <c r="C941" s="2">
        <f>COUNTIF(tbl_raw[Product_Name],A941)</f>
        <v>1</v>
      </c>
      <c r="D941" s="2">
        <f>SUMIFS(tbl_raw[Units_Sold],tbl_raw[Product_Name],A941)</f>
        <v>15</v>
      </c>
      <c r="E941" s="3">
        <f>SUMIFS(tbl_raw[Net_Profit],tbl_raw[Product_Name],A941)</f>
        <v>9525</v>
      </c>
      <c r="F941" s="2">
        <f>SUMIFS(tbl_raw[Return_Flag],tbl_raw[Product_Name],A941)</f>
        <v>0</v>
      </c>
      <c r="G941" s="3" cm="1">
        <f t="array" ref="G941">SUMPRODUCT((tbl_raw[Product_Name]=A941)*(tbl_raw[MRP]-tbl_raw[Selling_Price])*tbl_raw[Units_Sold])</f>
        <v>1395</v>
      </c>
      <c r="H941" s="83">
        <f>AVERAGEIFS(tbl_raw[Discount_Pct],tbl_raw[Product_Name],A941)</f>
        <v>0.04</v>
      </c>
    </row>
    <row r="942" spans="1:8" hidden="1" x14ac:dyDescent="0.25">
      <c r="A942" s="2" t="str">
        <v>Cycle - Model 722</v>
      </c>
      <c r="B942" s="2" t="str">
        <f>_xlfn.XLOOKUP(A942,tbl_raw[Product_Name],tbl_raw[Category])</f>
        <v>Sports</v>
      </c>
      <c r="C942" s="2">
        <f>COUNTIF(tbl_raw[Product_Name],A942)</f>
        <v>1</v>
      </c>
      <c r="D942" s="2">
        <f>SUMIFS(tbl_raw[Units_Sold],tbl_raw[Product_Name],A942)</f>
        <v>17</v>
      </c>
      <c r="E942" s="3">
        <f>SUMIFS(tbl_raw[Net_Profit],tbl_raw[Product_Name],A942)</f>
        <v>935</v>
      </c>
      <c r="F942" s="2">
        <f>SUMIFS(tbl_raw[Return_Flag],tbl_raw[Product_Name],A942)</f>
        <v>0</v>
      </c>
      <c r="G942" s="3" cm="1">
        <f t="array" ref="G942">SUMPRODUCT((tbl_raw[Product_Name]=A942)*(tbl_raw[MRP]-tbl_raw[Selling_Price])*tbl_raw[Units_Sold])</f>
        <v>18870</v>
      </c>
      <c r="H942" s="83">
        <f>AVERAGEIFS(tbl_raw[Discount_Pct],tbl_raw[Product_Name],A942)</f>
        <v>0.31</v>
      </c>
    </row>
    <row r="943" spans="1:8" hidden="1" x14ac:dyDescent="0.25">
      <c r="A943" s="2" t="str">
        <v>Moisturizer - Model 644</v>
      </c>
      <c r="B943" s="2" t="str">
        <f>_xlfn.XLOOKUP(A943,tbl_raw[Product_Name],tbl_raw[Category])</f>
        <v>Beauty</v>
      </c>
      <c r="C943" s="2">
        <f>COUNTIF(tbl_raw[Product_Name],A943)</f>
        <v>1</v>
      </c>
      <c r="D943" s="2">
        <f>SUMIFS(tbl_raw[Units_Sold],tbl_raw[Product_Name],A943)</f>
        <v>9</v>
      </c>
      <c r="E943" s="3">
        <f>SUMIFS(tbl_raw[Net_Profit],tbl_raw[Product_Name],A943)</f>
        <v>432</v>
      </c>
      <c r="F943" s="2">
        <f>SUMIFS(tbl_raw[Return_Flag],tbl_raw[Product_Name],A943)</f>
        <v>1</v>
      </c>
      <c r="G943" s="3" cm="1">
        <f t="array" ref="G943">SUMPRODUCT((tbl_raw[Product_Name]=A943)*(tbl_raw[MRP]-tbl_raw[Selling_Price])*tbl_raw[Units_Sold])</f>
        <v>4950</v>
      </c>
      <c r="H943" s="83">
        <f>AVERAGEIFS(tbl_raw[Discount_Pct],tbl_raw[Product_Name],A943)</f>
        <v>0.28000000000000003</v>
      </c>
    </row>
    <row r="944" spans="1:8" hidden="1" x14ac:dyDescent="0.25">
      <c r="A944" s="2" t="str">
        <v>Oil - Model 275</v>
      </c>
      <c r="B944" s="2" t="str">
        <f>_xlfn.XLOOKUP(A944,tbl_raw[Product_Name],tbl_raw[Category])</f>
        <v>Grocery</v>
      </c>
      <c r="C944" s="2">
        <f>COUNTIF(tbl_raw[Product_Name],A944)</f>
        <v>1</v>
      </c>
      <c r="D944" s="2">
        <f>SUMIFS(tbl_raw[Units_Sold],tbl_raw[Product_Name],A944)</f>
        <v>12</v>
      </c>
      <c r="E944" s="3">
        <f>SUMIFS(tbl_raw[Net_Profit],tbl_raw[Product_Name],A944)</f>
        <v>10752</v>
      </c>
      <c r="F944" s="2">
        <f>SUMIFS(tbl_raw[Return_Flag],tbl_raw[Product_Name],A944)</f>
        <v>1</v>
      </c>
      <c r="G944" s="3" cm="1">
        <f t="array" ref="G944">SUMPRODUCT((tbl_raw[Product_Name]=A944)*(tbl_raw[MRP]-tbl_raw[Selling_Price])*tbl_raw[Units_Sold])</f>
        <v>19848</v>
      </c>
      <c r="H944" s="83">
        <f>AVERAGEIFS(tbl_raw[Discount_Pct],tbl_raw[Product_Name],A944)</f>
        <v>0.32</v>
      </c>
    </row>
    <row r="945" spans="1:8" hidden="1" x14ac:dyDescent="0.25">
      <c r="A945" s="2" t="str">
        <v>Cricket Bat - Model 274</v>
      </c>
      <c r="B945" s="2" t="str">
        <f>_xlfn.XLOOKUP(A945,tbl_raw[Product_Name],tbl_raw[Category])</f>
        <v>Sports</v>
      </c>
      <c r="C945" s="2">
        <f>COUNTIF(tbl_raw[Product_Name],A945)</f>
        <v>1</v>
      </c>
      <c r="D945" s="2">
        <f>SUMIFS(tbl_raw[Units_Sold],tbl_raw[Product_Name],A945)</f>
        <v>3</v>
      </c>
      <c r="E945" s="3">
        <f>SUMIFS(tbl_raw[Net_Profit],tbl_raw[Product_Name],A945)</f>
        <v>786</v>
      </c>
      <c r="F945" s="2">
        <f>SUMIFS(tbl_raw[Return_Flag],tbl_raw[Product_Name],A945)</f>
        <v>0</v>
      </c>
      <c r="G945" s="3" cm="1">
        <f t="array" ref="G945">SUMPRODUCT((tbl_raw[Product_Name]=A945)*(tbl_raw[MRP]-tbl_raw[Selling_Price])*tbl_raw[Units_Sold])</f>
        <v>675</v>
      </c>
      <c r="H945" s="83">
        <f>AVERAGEIFS(tbl_raw[Discount_Pct],tbl_raw[Product_Name],A945)</f>
        <v>0.15</v>
      </c>
    </row>
    <row r="946" spans="1:8" hidden="1" x14ac:dyDescent="0.25">
      <c r="A946" s="2" t="str">
        <v>Mixer - Model 708</v>
      </c>
      <c r="B946" s="2" t="str">
        <f>_xlfn.XLOOKUP(A946,tbl_raw[Product_Name],tbl_raw[Category])</f>
        <v>Home &amp; Kitchen</v>
      </c>
      <c r="C946" s="2">
        <f>COUNTIF(tbl_raw[Product_Name],A946)</f>
        <v>1</v>
      </c>
      <c r="D946" s="2">
        <f>SUMIFS(tbl_raw[Units_Sold],tbl_raw[Product_Name],A946)</f>
        <v>16</v>
      </c>
      <c r="E946" s="3">
        <f>SUMIFS(tbl_raw[Net_Profit],tbl_raw[Product_Name],A946)</f>
        <v>21552</v>
      </c>
      <c r="F946" s="2">
        <f>SUMIFS(tbl_raw[Return_Flag],tbl_raw[Product_Name],A946)</f>
        <v>0</v>
      </c>
      <c r="G946" s="3" cm="1">
        <f t="array" ref="G946">SUMPRODUCT((tbl_raw[Product_Name]=A946)*(tbl_raw[MRP]-tbl_raw[Selling_Price])*tbl_raw[Units_Sold])</f>
        <v>16720</v>
      </c>
      <c r="H946" s="83">
        <f>AVERAGEIFS(tbl_raw[Discount_Pct],tbl_raw[Product_Name],A946)</f>
        <v>0.22</v>
      </c>
    </row>
    <row r="947" spans="1:8" hidden="1" x14ac:dyDescent="0.25">
      <c r="A947" s="2" t="str">
        <v>Pressure Cooker - Model 893</v>
      </c>
      <c r="B947" s="2" t="str">
        <f>_xlfn.XLOOKUP(A947,tbl_raw[Product_Name],tbl_raw[Category])</f>
        <v>Home &amp; Kitchen</v>
      </c>
      <c r="C947" s="2">
        <f>COUNTIF(tbl_raw[Product_Name],A947)</f>
        <v>1</v>
      </c>
      <c r="D947" s="2">
        <f>SUMIFS(tbl_raw[Units_Sold],tbl_raw[Product_Name],A947)</f>
        <v>4</v>
      </c>
      <c r="E947" s="3">
        <f>SUMIFS(tbl_raw[Net_Profit],tbl_raw[Product_Name],A947)</f>
        <v>592</v>
      </c>
      <c r="F947" s="2">
        <f>SUMIFS(tbl_raw[Return_Flag],tbl_raw[Product_Name],A947)</f>
        <v>0</v>
      </c>
      <c r="G947" s="3" cm="1">
        <f t="array" ref="G947">SUMPRODUCT((tbl_raw[Product_Name]=A947)*(tbl_raw[MRP]-tbl_raw[Selling_Price])*tbl_raw[Units_Sold])</f>
        <v>3400</v>
      </c>
      <c r="H947" s="83">
        <f>AVERAGEIFS(tbl_raw[Discount_Pct],tbl_raw[Product_Name],A947)</f>
        <v>0.33</v>
      </c>
    </row>
    <row r="948" spans="1:8" hidden="1" x14ac:dyDescent="0.25">
      <c r="A948" s="2" t="str">
        <v>Headphones - Model 408</v>
      </c>
      <c r="B948" s="2" t="str">
        <f>_xlfn.XLOOKUP(A948,tbl_raw[Product_Name],tbl_raw[Category])</f>
        <v>Electronics</v>
      </c>
      <c r="C948" s="2">
        <f>COUNTIF(tbl_raw[Product_Name],A948)</f>
        <v>1</v>
      </c>
      <c r="D948" s="2">
        <f>SUMIFS(tbl_raw[Units_Sold],tbl_raw[Product_Name],A948)</f>
        <v>17</v>
      </c>
      <c r="E948" s="3">
        <f>SUMIFS(tbl_raw[Net_Profit],tbl_raw[Product_Name],A948)</f>
        <v>-13243</v>
      </c>
      <c r="F948" s="2">
        <f>SUMIFS(tbl_raw[Return_Flag],tbl_raw[Product_Name],A948)</f>
        <v>0</v>
      </c>
      <c r="G948" s="3" cm="1">
        <f t="array" ref="G948">SUMPRODUCT((tbl_raw[Product_Name]=A948)*(tbl_raw[MRP]-tbl_raw[Selling_Price])*tbl_raw[Units_Sold])</f>
        <v>41378</v>
      </c>
      <c r="H948" s="83">
        <f>AVERAGEIFS(tbl_raw[Discount_Pct],tbl_raw[Product_Name],A948)</f>
        <v>0.39</v>
      </c>
    </row>
    <row r="949" spans="1:8" hidden="1" x14ac:dyDescent="0.25">
      <c r="A949" s="2" t="str">
        <v>Curtain - Model 976</v>
      </c>
      <c r="B949" s="2" t="str">
        <f>_xlfn.XLOOKUP(A949,tbl_raw[Product_Name],tbl_raw[Category])</f>
        <v>Home &amp; Kitchen</v>
      </c>
      <c r="C949" s="2">
        <f>COUNTIF(tbl_raw[Product_Name],A949)</f>
        <v>1</v>
      </c>
      <c r="D949" s="2">
        <f>SUMIFS(tbl_raw[Units_Sold],tbl_raw[Product_Name],A949)</f>
        <v>5</v>
      </c>
      <c r="E949" s="3">
        <f>SUMIFS(tbl_raw[Net_Profit],tbl_raw[Product_Name],A949)</f>
        <v>5120</v>
      </c>
      <c r="F949" s="2">
        <f>SUMIFS(tbl_raw[Return_Flag],tbl_raw[Product_Name],A949)</f>
        <v>0</v>
      </c>
      <c r="G949" s="3" cm="1">
        <f t="array" ref="G949">SUMPRODUCT((tbl_raw[Product_Name]=A949)*(tbl_raw[MRP]-tbl_raw[Selling_Price])*tbl_raw[Units_Sold])</f>
        <v>150</v>
      </c>
      <c r="H949" s="83">
        <f>AVERAGEIFS(tbl_raw[Discount_Pct],tbl_raw[Product_Name],A949)</f>
        <v>0.01</v>
      </c>
    </row>
    <row r="950" spans="1:8" hidden="1" x14ac:dyDescent="0.25">
      <c r="A950" s="2" t="str">
        <v>Saree - Model 998</v>
      </c>
      <c r="B950" s="2" t="str">
        <f>_xlfn.XLOOKUP(A950,tbl_raw[Product_Name],tbl_raw[Category])</f>
        <v>Fashion</v>
      </c>
      <c r="C950" s="2">
        <f>COUNTIF(tbl_raw[Product_Name],A950)</f>
        <v>1</v>
      </c>
      <c r="D950" s="2">
        <f>SUMIFS(tbl_raw[Units_Sold],tbl_raw[Product_Name],A950)</f>
        <v>15</v>
      </c>
      <c r="E950" s="3">
        <f>SUMIFS(tbl_raw[Net_Profit],tbl_raw[Product_Name],A950)</f>
        <v>15135</v>
      </c>
      <c r="F950" s="2">
        <f>SUMIFS(tbl_raw[Return_Flag],tbl_raw[Product_Name],A950)</f>
        <v>0</v>
      </c>
      <c r="G950" s="3" cm="1">
        <f t="array" ref="G950">SUMPRODUCT((tbl_raw[Product_Name]=A950)*(tbl_raw[MRP]-tbl_raw[Selling_Price])*tbl_raw[Units_Sold])</f>
        <v>46215</v>
      </c>
      <c r="H950" s="83">
        <f>AVERAGEIFS(tbl_raw[Discount_Pct],tbl_raw[Product_Name],A950)</f>
        <v>0.39</v>
      </c>
    </row>
    <row r="951" spans="1:8" hidden="1" x14ac:dyDescent="0.25">
      <c r="A951" s="2" t="str">
        <v>Cricket Bat - Model 142</v>
      </c>
      <c r="B951" s="2" t="str">
        <f>_xlfn.XLOOKUP(A951,tbl_raw[Product_Name],tbl_raw[Category])</f>
        <v>Sports</v>
      </c>
      <c r="C951" s="2">
        <f>COUNTIF(tbl_raw[Product_Name],A951)</f>
        <v>1</v>
      </c>
      <c r="D951" s="2">
        <f>SUMIFS(tbl_raw[Units_Sold],tbl_raw[Product_Name],A951)</f>
        <v>17</v>
      </c>
      <c r="E951" s="3">
        <f>SUMIFS(tbl_raw[Net_Profit],tbl_raw[Product_Name],A951)</f>
        <v>14535</v>
      </c>
      <c r="F951" s="2">
        <f>SUMIFS(tbl_raw[Return_Flag],tbl_raw[Product_Name],A951)</f>
        <v>1</v>
      </c>
      <c r="G951" s="3" cm="1">
        <f t="array" ref="G951">SUMPRODUCT((tbl_raw[Product_Name]=A951)*(tbl_raw[MRP]-tbl_raw[Selling_Price])*tbl_raw[Units_Sold])</f>
        <v>36652</v>
      </c>
      <c r="H951" s="83">
        <f>AVERAGEIFS(tbl_raw[Discount_Pct],tbl_raw[Product_Name],A951)</f>
        <v>0.38</v>
      </c>
    </row>
    <row r="952" spans="1:8" hidden="1" x14ac:dyDescent="0.25">
      <c r="A952" s="2" t="str">
        <v>Smartwatch - Model 801</v>
      </c>
      <c r="B952" s="2" t="str">
        <f>_xlfn.XLOOKUP(A952,tbl_raw[Product_Name],tbl_raw[Category])</f>
        <v>Electronics</v>
      </c>
      <c r="C952" s="2">
        <f>COUNTIF(tbl_raw[Product_Name],A952)</f>
        <v>1</v>
      </c>
      <c r="D952" s="2">
        <f>SUMIFS(tbl_raw[Units_Sold],tbl_raw[Product_Name],A952)</f>
        <v>15</v>
      </c>
      <c r="E952" s="3">
        <f>SUMIFS(tbl_raw[Net_Profit],tbl_raw[Product_Name],A952)</f>
        <v>19665</v>
      </c>
      <c r="F952" s="2">
        <f>SUMIFS(tbl_raw[Return_Flag],tbl_raw[Product_Name],A952)</f>
        <v>0</v>
      </c>
      <c r="G952" s="3" cm="1">
        <f t="array" ref="G952">SUMPRODUCT((tbl_raw[Product_Name]=A952)*(tbl_raw[MRP]-tbl_raw[Selling_Price])*tbl_raw[Units_Sold])</f>
        <v>19845</v>
      </c>
      <c r="H952" s="83">
        <f>AVERAGEIFS(tbl_raw[Discount_Pct],tbl_raw[Product_Name],A952)</f>
        <v>0.24</v>
      </c>
    </row>
    <row r="953" spans="1:8" hidden="1" x14ac:dyDescent="0.25">
      <c r="A953" s="2" t="str">
        <v>Atta - Model 322</v>
      </c>
      <c r="B953" s="2" t="str">
        <f>_xlfn.XLOOKUP(A953,tbl_raw[Product_Name],tbl_raw[Category])</f>
        <v>Grocery</v>
      </c>
      <c r="C953" s="2">
        <f>COUNTIF(tbl_raw[Product_Name],A953)</f>
        <v>1</v>
      </c>
      <c r="D953" s="2">
        <f>SUMIFS(tbl_raw[Units_Sold],tbl_raw[Product_Name],A953)</f>
        <v>19</v>
      </c>
      <c r="E953" s="3">
        <f>SUMIFS(tbl_raw[Net_Profit],tbl_raw[Product_Name],A953)</f>
        <v>6783</v>
      </c>
      <c r="F953" s="2">
        <f>SUMIFS(tbl_raw[Return_Flag],tbl_raw[Product_Name],A953)</f>
        <v>0</v>
      </c>
      <c r="G953" s="3" cm="1">
        <f t="array" ref="G953">SUMPRODUCT((tbl_raw[Product_Name]=A953)*(tbl_raw[MRP]-tbl_raw[Selling_Price])*tbl_raw[Units_Sold])</f>
        <v>4864</v>
      </c>
      <c r="H953" s="83">
        <f>AVERAGEIFS(tbl_raw[Discount_Pct],tbl_raw[Product_Name],A953)</f>
        <v>0.22</v>
      </c>
    </row>
    <row r="954" spans="1:8" hidden="1" x14ac:dyDescent="0.25">
      <c r="A954" s="2" t="str">
        <v>Mixer - Model 830</v>
      </c>
      <c r="B954" s="2" t="str">
        <f>_xlfn.XLOOKUP(A954,tbl_raw[Product_Name],tbl_raw[Category])</f>
        <v>Home &amp; Kitchen</v>
      </c>
      <c r="C954" s="2">
        <f>COUNTIF(tbl_raw[Product_Name],A954)</f>
        <v>1</v>
      </c>
      <c r="D954" s="2">
        <f>SUMIFS(tbl_raw[Units_Sold],tbl_raw[Product_Name],A954)</f>
        <v>5</v>
      </c>
      <c r="E954" s="3">
        <f>SUMIFS(tbl_raw[Net_Profit],tbl_raw[Product_Name],A954)</f>
        <v>11950</v>
      </c>
      <c r="F954" s="2">
        <f>SUMIFS(tbl_raw[Return_Flag],tbl_raw[Product_Name],A954)</f>
        <v>0</v>
      </c>
      <c r="G954" s="3" cm="1">
        <f t="array" ref="G954">SUMPRODUCT((tbl_raw[Product_Name]=A954)*(tbl_raw[MRP]-tbl_raw[Selling_Price])*tbl_raw[Units_Sold])</f>
        <v>3585</v>
      </c>
      <c r="H954" s="83">
        <f>AVERAGEIFS(tbl_raw[Discount_Pct],tbl_raw[Product_Name],A954)</f>
        <v>0.09</v>
      </c>
    </row>
    <row r="955" spans="1:8" hidden="1" x14ac:dyDescent="0.25">
      <c r="A955" s="2" t="str">
        <v>Remote Car - Model 508</v>
      </c>
      <c r="B955" s="2" t="str">
        <f>_xlfn.XLOOKUP(A955,tbl_raw[Product_Name],tbl_raw[Category])</f>
        <v>Toys</v>
      </c>
      <c r="C955" s="2">
        <f>COUNTIF(tbl_raw[Product_Name],A955)</f>
        <v>1</v>
      </c>
      <c r="D955" s="2">
        <f>SUMIFS(tbl_raw[Units_Sold],tbl_raw[Product_Name],A955)</f>
        <v>9</v>
      </c>
      <c r="E955" s="3">
        <f>SUMIFS(tbl_raw[Net_Profit],tbl_raw[Product_Name],A955)</f>
        <v>17028</v>
      </c>
      <c r="F955" s="2">
        <f>SUMIFS(tbl_raw[Return_Flag],tbl_raw[Product_Name],A955)</f>
        <v>0</v>
      </c>
      <c r="G955" s="3" cm="1">
        <f t="array" ref="G955">SUMPRODUCT((tbl_raw[Product_Name]=A955)*(tbl_raw[MRP]-tbl_raw[Selling_Price])*tbl_raw[Units_Sold])</f>
        <v>17928</v>
      </c>
      <c r="H955" s="83">
        <f>AVERAGEIFS(tbl_raw[Discount_Pct],tbl_raw[Product_Name],A955)</f>
        <v>0.27</v>
      </c>
    </row>
    <row r="956" spans="1:8" hidden="1" x14ac:dyDescent="0.25">
      <c r="A956" s="2" t="str">
        <v>Curtain - Model 667</v>
      </c>
      <c r="B956" s="2" t="str">
        <f>_xlfn.XLOOKUP(A956,tbl_raw[Product_Name],tbl_raw[Category])</f>
        <v>Home &amp; Kitchen</v>
      </c>
      <c r="C956" s="2">
        <f>COUNTIF(tbl_raw[Product_Name],A956)</f>
        <v>1</v>
      </c>
      <c r="D956" s="2">
        <f>SUMIFS(tbl_raw[Units_Sold],tbl_raw[Product_Name],A956)</f>
        <v>10</v>
      </c>
      <c r="E956" s="3">
        <f>SUMIFS(tbl_raw[Net_Profit],tbl_raw[Product_Name],A956)</f>
        <v>2770</v>
      </c>
      <c r="F956" s="2">
        <f>SUMIFS(tbl_raw[Return_Flag],tbl_raw[Product_Name],A956)</f>
        <v>0</v>
      </c>
      <c r="G956" s="3" cm="1">
        <f t="array" ref="G956">SUMPRODUCT((tbl_raw[Product_Name]=A956)*(tbl_raw[MRP]-tbl_raw[Selling_Price])*tbl_raw[Units_Sold])</f>
        <v>3350</v>
      </c>
      <c r="H956" s="83">
        <f>AVERAGEIFS(tbl_raw[Discount_Pct],tbl_raw[Product_Name],A956)</f>
        <v>0.13</v>
      </c>
    </row>
    <row r="957" spans="1:8" hidden="1" x14ac:dyDescent="0.25">
      <c r="A957" s="2" t="str">
        <v>Lamp - Model 552</v>
      </c>
      <c r="B957" s="2" t="str">
        <f>_xlfn.XLOOKUP(A957,tbl_raw[Product_Name],tbl_raw[Category])</f>
        <v>Home &amp; Kitchen</v>
      </c>
      <c r="C957" s="2">
        <f>COUNTIF(tbl_raw[Product_Name],A957)</f>
        <v>1</v>
      </c>
      <c r="D957" s="2">
        <f>SUMIFS(tbl_raw[Units_Sold],tbl_raw[Product_Name],A957)</f>
        <v>17</v>
      </c>
      <c r="E957" s="3">
        <f>SUMIFS(tbl_raw[Net_Profit],tbl_raw[Product_Name],A957)</f>
        <v>13192</v>
      </c>
      <c r="F957" s="2">
        <f>SUMIFS(tbl_raw[Return_Flag],tbl_raw[Product_Name],A957)</f>
        <v>0</v>
      </c>
      <c r="G957" s="3" cm="1">
        <f t="array" ref="G957">SUMPRODUCT((tbl_raw[Product_Name]=A957)*(tbl_raw[MRP]-tbl_raw[Selling_Price])*tbl_raw[Units_Sold])</f>
        <v>40749</v>
      </c>
      <c r="H957" s="83">
        <f>AVERAGEIFS(tbl_raw[Discount_Pct],tbl_raw[Product_Name],A957)</f>
        <v>0.32</v>
      </c>
    </row>
    <row r="958" spans="1:8" hidden="1" x14ac:dyDescent="0.25">
      <c r="A958" s="2" t="str">
        <v>Action Figure - Model 873</v>
      </c>
      <c r="B958" s="2" t="str">
        <f>_xlfn.XLOOKUP(A958,tbl_raw[Product_Name],tbl_raw[Category])</f>
        <v>Toys</v>
      </c>
      <c r="C958" s="2">
        <f>COUNTIF(tbl_raw[Product_Name],A958)</f>
        <v>1</v>
      </c>
      <c r="D958" s="2">
        <f>SUMIFS(tbl_raw[Units_Sold],tbl_raw[Product_Name],A958)</f>
        <v>20</v>
      </c>
      <c r="E958" s="3">
        <f>SUMIFS(tbl_raw[Net_Profit],tbl_raw[Product_Name],A958)</f>
        <v>5100</v>
      </c>
      <c r="F958" s="2">
        <f>SUMIFS(tbl_raw[Return_Flag],tbl_raw[Product_Name],A958)</f>
        <v>0</v>
      </c>
      <c r="G958" s="3" cm="1">
        <f t="array" ref="G958">SUMPRODUCT((tbl_raw[Product_Name]=A958)*(tbl_raw[MRP]-tbl_raw[Selling_Price])*tbl_raw[Units_Sold])</f>
        <v>50920</v>
      </c>
      <c r="H958" s="83">
        <f>AVERAGEIFS(tbl_raw[Discount_Pct],tbl_raw[Product_Name],A958)</f>
        <v>0.35</v>
      </c>
    </row>
    <row r="959" spans="1:8" hidden="1" x14ac:dyDescent="0.25">
      <c r="A959" s="2" t="str">
        <v>Board Game - Model 512</v>
      </c>
      <c r="B959" s="2" t="str">
        <f>_xlfn.XLOOKUP(A959,tbl_raw[Product_Name],tbl_raw[Category])</f>
        <v>Toys</v>
      </c>
      <c r="C959" s="2">
        <f>COUNTIF(tbl_raw[Product_Name],A959)</f>
        <v>1</v>
      </c>
      <c r="D959" s="2">
        <f>SUMIFS(tbl_raw[Units_Sold],tbl_raw[Product_Name],A959)</f>
        <v>15</v>
      </c>
      <c r="E959" s="3">
        <f>SUMIFS(tbl_raw[Net_Profit],tbl_raw[Product_Name],A959)</f>
        <v>4200</v>
      </c>
      <c r="F959" s="2">
        <f>SUMIFS(tbl_raw[Return_Flag],tbl_raw[Product_Name],A959)</f>
        <v>0</v>
      </c>
      <c r="G959" s="3" cm="1">
        <f t="array" ref="G959">SUMPRODUCT((tbl_raw[Product_Name]=A959)*(tbl_raw[MRP]-tbl_raw[Selling_Price])*tbl_raw[Units_Sold])</f>
        <v>38010</v>
      </c>
      <c r="H959" s="83">
        <f>AVERAGEIFS(tbl_raw[Discount_Pct],tbl_raw[Product_Name],A959)</f>
        <v>0.39</v>
      </c>
    </row>
    <row r="960" spans="1:8" hidden="1" x14ac:dyDescent="0.25">
      <c r="A960" s="2" t="str">
        <v>Saree - Model 679</v>
      </c>
      <c r="B960" s="2" t="str">
        <f>_xlfn.XLOOKUP(A960,tbl_raw[Product_Name],tbl_raw[Category])</f>
        <v>Fashion</v>
      </c>
      <c r="C960" s="2">
        <f>COUNTIF(tbl_raw[Product_Name],A960)</f>
        <v>1</v>
      </c>
      <c r="D960" s="2">
        <f>SUMIFS(tbl_raw[Units_Sold],tbl_raw[Product_Name],A960)</f>
        <v>11</v>
      </c>
      <c r="E960" s="3">
        <f>SUMIFS(tbl_raw[Net_Profit],tbl_raw[Product_Name],A960)</f>
        <v>25201</v>
      </c>
      <c r="F960" s="2">
        <f>SUMIFS(tbl_raw[Return_Flag],tbl_raw[Product_Name],A960)</f>
        <v>0</v>
      </c>
      <c r="G960" s="3" cm="1">
        <f t="array" ref="G960">SUMPRODUCT((tbl_raw[Product_Name]=A960)*(tbl_raw[MRP]-tbl_raw[Selling_Price])*tbl_raw[Units_Sold])</f>
        <v>3817</v>
      </c>
      <c r="H960" s="83">
        <f>AVERAGEIFS(tbl_raw[Discount_Pct],tbl_raw[Product_Name],A960)</f>
        <v>0.05</v>
      </c>
    </row>
    <row r="961" spans="1:8" hidden="1" x14ac:dyDescent="0.25">
      <c r="A961" s="2" t="str">
        <v>Oil - Model 328</v>
      </c>
      <c r="B961" s="2" t="str">
        <f>_xlfn.XLOOKUP(A961,tbl_raw[Product_Name],tbl_raw[Category])</f>
        <v>Grocery</v>
      </c>
      <c r="C961" s="2">
        <f>COUNTIF(tbl_raw[Product_Name],A961)</f>
        <v>1</v>
      </c>
      <c r="D961" s="2">
        <f>SUMIFS(tbl_raw[Units_Sold],tbl_raw[Product_Name],A961)</f>
        <v>10</v>
      </c>
      <c r="E961" s="3">
        <f>SUMIFS(tbl_raw[Net_Profit],tbl_raw[Product_Name],A961)</f>
        <v>-3950</v>
      </c>
      <c r="F961" s="2">
        <f>SUMIFS(tbl_raw[Return_Flag],tbl_raw[Product_Name],A961)</f>
        <v>0</v>
      </c>
      <c r="G961" s="3" cm="1">
        <f t="array" ref="G961">SUMPRODUCT((tbl_raw[Product_Name]=A961)*(tbl_raw[MRP]-tbl_raw[Selling_Price])*tbl_raw[Units_Sold])</f>
        <v>16320</v>
      </c>
      <c r="H961" s="83">
        <f>AVERAGEIFS(tbl_raw[Discount_Pct],tbl_raw[Product_Name],A961)</f>
        <v>0.32</v>
      </c>
    </row>
    <row r="962" spans="1:8" hidden="1" x14ac:dyDescent="0.25">
      <c r="A962" s="2" t="str">
        <v>Jacket - Model 199</v>
      </c>
      <c r="B962" s="2" t="str">
        <f>_xlfn.XLOOKUP(A962,tbl_raw[Product_Name],tbl_raw[Category])</f>
        <v>Fashion</v>
      </c>
      <c r="C962" s="2">
        <f>COUNTIF(tbl_raw[Product_Name],A962)</f>
        <v>1</v>
      </c>
      <c r="D962" s="2">
        <f>SUMIFS(tbl_raw[Units_Sold],tbl_raw[Product_Name],A962)</f>
        <v>7</v>
      </c>
      <c r="E962" s="3">
        <f>SUMIFS(tbl_raw[Net_Profit],tbl_raw[Product_Name],A962)</f>
        <v>2289</v>
      </c>
      <c r="F962" s="2">
        <f>SUMIFS(tbl_raw[Return_Flag],tbl_raw[Product_Name],A962)</f>
        <v>0</v>
      </c>
      <c r="G962" s="3" cm="1">
        <f t="array" ref="G962">SUMPRODUCT((tbl_raw[Product_Name]=A962)*(tbl_raw[MRP]-tbl_raw[Selling_Price])*tbl_raw[Units_Sold])</f>
        <v>70</v>
      </c>
      <c r="H962" s="83">
        <f>AVERAGEIFS(tbl_raw[Discount_Pct],tbl_raw[Product_Name],A962)</f>
        <v>0.01</v>
      </c>
    </row>
    <row r="963" spans="1:8" hidden="1" x14ac:dyDescent="0.25">
      <c r="A963" s="2" t="str">
        <v>Sunscreen - Model 366</v>
      </c>
      <c r="B963" s="2" t="str">
        <f>_xlfn.XLOOKUP(A963,tbl_raw[Product_Name],tbl_raw[Category])</f>
        <v>Beauty</v>
      </c>
      <c r="C963" s="2">
        <f>COUNTIF(tbl_raw[Product_Name],A963)</f>
        <v>1</v>
      </c>
      <c r="D963" s="2">
        <f>SUMIFS(tbl_raw[Units_Sold],tbl_raw[Product_Name],A963)</f>
        <v>15</v>
      </c>
      <c r="E963" s="3">
        <f>SUMIFS(tbl_raw[Net_Profit],tbl_raw[Product_Name],A963)</f>
        <v>15585</v>
      </c>
      <c r="F963" s="2">
        <f>SUMIFS(tbl_raw[Return_Flag],tbl_raw[Product_Name],A963)</f>
        <v>1</v>
      </c>
      <c r="G963" s="3" cm="1">
        <f t="array" ref="G963">SUMPRODUCT((tbl_raw[Product_Name]=A963)*(tbl_raw[MRP]-tbl_raw[Selling_Price])*tbl_raw[Units_Sold])</f>
        <v>28995</v>
      </c>
      <c r="H963" s="83">
        <f>AVERAGEIFS(tbl_raw[Discount_Pct],tbl_raw[Product_Name],A963)</f>
        <v>0.28000000000000003</v>
      </c>
    </row>
    <row r="964" spans="1:8" hidden="1" x14ac:dyDescent="0.25">
      <c r="A964" s="2" t="str">
        <v>Perfume - Model 591</v>
      </c>
      <c r="B964" s="2" t="str">
        <f>_xlfn.XLOOKUP(A964,tbl_raw[Product_Name],tbl_raw[Category])</f>
        <v>Beauty</v>
      </c>
      <c r="C964" s="2">
        <f>COUNTIF(tbl_raw[Product_Name],A964)</f>
        <v>1</v>
      </c>
      <c r="D964" s="2">
        <f>SUMIFS(tbl_raw[Units_Sold],tbl_raw[Product_Name],A964)</f>
        <v>10</v>
      </c>
      <c r="E964" s="3">
        <f>SUMIFS(tbl_raw[Net_Profit],tbl_raw[Product_Name],A964)</f>
        <v>-1440</v>
      </c>
      <c r="F964" s="2">
        <f>SUMIFS(tbl_raw[Return_Flag],tbl_raw[Product_Name],A964)</f>
        <v>1</v>
      </c>
      <c r="G964" s="3" cm="1">
        <f t="array" ref="G964">SUMPRODUCT((tbl_raw[Product_Name]=A964)*(tbl_raw[MRP]-tbl_raw[Selling_Price])*tbl_raw[Units_Sold])</f>
        <v>23250</v>
      </c>
      <c r="H964" s="83">
        <f>AVERAGEIFS(tbl_raw[Discount_Pct],tbl_raw[Product_Name],A964)</f>
        <v>0.43</v>
      </c>
    </row>
    <row r="965" spans="1:8" hidden="1" x14ac:dyDescent="0.25">
      <c r="A965" s="2" t="str">
        <v>Board Game - Model 128</v>
      </c>
      <c r="B965" s="2" t="str">
        <f>_xlfn.XLOOKUP(A965,tbl_raw[Product_Name],tbl_raw[Category])</f>
        <v>Toys</v>
      </c>
      <c r="C965" s="2">
        <f>COUNTIF(tbl_raw[Product_Name],A965)</f>
        <v>1</v>
      </c>
      <c r="D965" s="2">
        <f>SUMIFS(tbl_raw[Units_Sold],tbl_raw[Product_Name],A965)</f>
        <v>15</v>
      </c>
      <c r="E965" s="3">
        <f>SUMIFS(tbl_raw[Net_Profit],tbl_raw[Product_Name],A965)</f>
        <v>3165</v>
      </c>
      <c r="F965" s="2">
        <f>SUMIFS(tbl_raw[Return_Flag],tbl_raw[Product_Name],A965)</f>
        <v>0</v>
      </c>
      <c r="G965" s="3" cm="1">
        <f t="array" ref="G965">SUMPRODUCT((tbl_raw[Product_Name]=A965)*(tbl_raw[MRP]-tbl_raw[Selling_Price])*tbl_raw[Units_Sold])</f>
        <v>3075</v>
      </c>
      <c r="H965" s="83">
        <f>AVERAGEIFS(tbl_raw[Discount_Pct],tbl_raw[Product_Name],A965)</f>
        <v>0.18</v>
      </c>
    </row>
    <row r="966" spans="1:8" hidden="1" x14ac:dyDescent="0.25">
      <c r="A966" s="2" t="str">
        <v>Pulses - Model 383</v>
      </c>
      <c r="B966" s="2" t="str">
        <f>_xlfn.XLOOKUP(A966,tbl_raw[Product_Name],tbl_raw[Category])</f>
        <v>Grocery</v>
      </c>
      <c r="C966" s="2">
        <f>COUNTIF(tbl_raw[Product_Name],A966)</f>
        <v>1</v>
      </c>
      <c r="D966" s="2">
        <f>SUMIFS(tbl_raw[Units_Sold],tbl_raw[Product_Name],A966)</f>
        <v>6</v>
      </c>
      <c r="E966" s="3">
        <f>SUMIFS(tbl_raw[Net_Profit],tbl_raw[Product_Name],A966)</f>
        <v>114</v>
      </c>
      <c r="F966" s="2">
        <f>SUMIFS(tbl_raw[Return_Flag],tbl_raw[Product_Name],A966)</f>
        <v>0</v>
      </c>
      <c r="G966" s="3" cm="1">
        <f t="array" ref="G966">SUMPRODUCT((tbl_raw[Product_Name]=A966)*(tbl_raw[MRP]-tbl_raw[Selling_Price])*tbl_raw[Units_Sold])</f>
        <v>6996</v>
      </c>
      <c r="H966" s="83">
        <f>AVERAGEIFS(tbl_raw[Discount_Pct],tbl_raw[Product_Name],A966)</f>
        <v>0.39</v>
      </c>
    </row>
    <row r="967" spans="1:8" hidden="1" x14ac:dyDescent="0.25">
      <c r="A967" s="2" t="str">
        <v>Comic - Model 447</v>
      </c>
      <c r="B967" s="2" t="str">
        <f>_xlfn.XLOOKUP(A967,tbl_raw[Product_Name],tbl_raw[Category])</f>
        <v>Books</v>
      </c>
      <c r="C967" s="2">
        <f>COUNTIF(tbl_raw[Product_Name],A967)</f>
        <v>1</v>
      </c>
      <c r="D967" s="2">
        <f>SUMIFS(tbl_raw[Units_Sold],tbl_raw[Product_Name],A967)</f>
        <v>5</v>
      </c>
      <c r="E967" s="3">
        <f>SUMIFS(tbl_raw[Net_Profit],tbl_raw[Product_Name],A967)</f>
        <v>1380</v>
      </c>
      <c r="F967" s="2">
        <f>SUMIFS(tbl_raw[Return_Flag],tbl_raw[Product_Name],A967)</f>
        <v>0</v>
      </c>
      <c r="G967" s="3" cm="1">
        <f t="array" ref="G967">SUMPRODUCT((tbl_raw[Product_Name]=A967)*(tbl_raw[MRP]-tbl_raw[Selling_Price])*tbl_raw[Units_Sold])</f>
        <v>4030</v>
      </c>
      <c r="H967" s="83">
        <f>AVERAGEIFS(tbl_raw[Discount_Pct],tbl_raw[Product_Name],A967)</f>
        <v>0.34</v>
      </c>
    </row>
    <row r="968" spans="1:8" hidden="1" x14ac:dyDescent="0.25">
      <c r="A968" s="2" t="str">
        <v>Cricket Bat - Model 814</v>
      </c>
      <c r="B968" s="2" t="str">
        <f>_xlfn.XLOOKUP(A968,tbl_raw[Product_Name],tbl_raw[Category])</f>
        <v>Sports</v>
      </c>
      <c r="C968" s="2">
        <f>COUNTIF(tbl_raw[Product_Name],A968)</f>
        <v>1</v>
      </c>
      <c r="D968" s="2">
        <f>SUMIFS(tbl_raw[Units_Sold],tbl_raw[Product_Name],A968)</f>
        <v>19</v>
      </c>
      <c r="E968" s="3">
        <f>SUMIFS(tbl_raw[Net_Profit],tbl_raw[Product_Name],A968)</f>
        <v>30818</v>
      </c>
      <c r="F968" s="2">
        <f>SUMIFS(tbl_raw[Return_Flag],tbl_raw[Product_Name],A968)</f>
        <v>0</v>
      </c>
      <c r="G968" s="3" cm="1">
        <f t="array" ref="G968">SUMPRODUCT((tbl_raw[Product_Name]=A968)*(tbl_raw[MRP]-tbl_raw[Selling_Price])*tbl_raw[Units_Sold])</f>
        <v>23256</v>
      </c>
      <c r="H968" s="83">
        <f>AVERAGEIFS(tbl_raw[Discount_Pct],tbl_raw[Product_Name],A968)</f>
        <v>0.16</v>
      </c>
    </row>
    <row r="969" spans="1:8" hidden="1" x14ac:dyDescent="0.25">
      <c r="A969" s="2" t="str">
        <v>Action Figure - Model 163</v>
      </c>
      <c r="B969" s="2" t="str">
        <f>_xlfn.XLOOKUP(A969,tbl_raw[Product_Name],tbl_raw[Category])</f>
        <v>Toys</v>
      </c>
      <c r="C969" s="2">
        <f>COUNTIF(tbl_raw[Product_Name],A969)</f>
        <v>1</v>
      </c>
      <c r="D969" s="2">
        <f>SUMIFS(tbl_raw[Units_Sold],tbl_raw[Product_Name],A969)</f>
        <v>9</v>
      </c>
      <c r="E969" s="3">
        <f>SUMIFS(tbl_raw[Net_Profit],tbl_raw[Product_Name],A969)</f>
        <v>612</v>
      </c>
      <c r="F969" s="2">
        <f>SUMIFS(tbl_raw[Return_Flag],tbl_raw[Product_Name],A969)</f>
        <v>0</v>
      </c>
      <c r="G969" s="3" cm="1">
        <f t="array" ref="G969">SUMPRODUCT((tbl_raw[Product_Name]=A969)*(tbl_raw[MRP]-tbl_raw[Selling_Price])*tbl_raw[Units_Sold])</f>
        <v>3735</v>
      </c>
      <c r="H969" s="83">
        <f>AVERAGEIFS(tbl_raw[Discount_Pct],tbl_raw[Product_Name],A969)</f>
        <v>0.38</v>
      </c>
    </row>
    <row r="970" spans="1:8" hidden="1" x14ac:dyDescent="0.25">
      <c r="A970" s="2" t="str">
        <v>Shoes - Model 486</v>
      </c>
      <c r="B970" s="2" t="str">
        <f>_xlfn.XLOOKUP(A970,tbl_raw[Product_Name],tbl_raw[Category])</f>
        <v>Fashion</v>
      </c>
      <c r="C970" s="2">
        <f>COUNTIF(tbl_raw[Product_Name],A970)</f>
        <v>1</v>
      </c>
      <c r="D970" s="2">
        <f>SUMIFS(tbl_raw[Units_Sold],tbl_raw[Product_Name],A970)</f>
        <v>19</v>
      </c>
      <c r="E970" s="3">
        <f>SUMIFS(tbl_raw[Net_Profit],tbl_raw[Product_Name],A970)</f>
        <v>26657</v>
      </c>
      <c r="F970" s="2">
        <f>SUMIFS(tbl_raw[Return_Flag],tbl_raw[Product_Name],A970)</f>
        <v>0</v>
      </c>
      <c r="G970" s="3" cm="1">
        <f t="array" ref="G970">SUMPRODUCT((tbl_raw[Product_Name]=A970)*(tbl_raw[MRP]-tbl_raw[Selling_Price])*tbl_raw[Units_Sold])</f>
        <v>7771</v>
      </c>
      <c r="H970" s="83">
        <f>AVERAGEIFS(tbl_raw[Discount_Pct],tbl_raw[Product_Name],A970)</f>
        <v>0.09</v>
      </c>
    </row>
    <row r="971" spans="1:8" hidden="1" x14ac:dyDescent="0.25">
      <c r="A971" s="2" t="str">
        <v>Moisturizer - Model 696</v>
      </c>
      <c r="B971" s="2" t="str">
        <f>_xlfn.XLOOKUP(A971,tbl_raw[Product_Name],tbl_raw[Category])</f>
        <v>Beauty</v>
      </c>
      <c r="C971" s="2">
        <f>COUNTIF(tbl_raw[Product_Name],A971)</f>
        <v>1</v>
      </c>
      <c r="D971" s="2">
        <f>SUMIFS(tbl_raw[Units_Sold],tbl_raw[Product_Name],A971)</f>
        <v>4</v>
      </c>
      <c r="E971" s="3">
        <f>SUMIFS(tbl_raw[Net_Profit],tbl_raw[Product_Name],A971)</f>
        <v>-856</v>
      </c>
      <c r="F971" s="2">
        <f>SUMIFS(tbl_raw[Return_Flag],tbl_raw[Product_Name],A971)</f>
        <v>0</v>
      </c>
      <c r="G971" s="3" cm="1">
        <f t="array" ref="G971">SUMPRODUCT((tbl_raw[Product_Name]=A971)*(tbl_raw[MRP]-tbl_raw[Selling_Price])*tbl_raw[Units_Sold])</f>
        <v>2576</v>
      </c>
      <c r="H971" s="83">
        <f>AVERAGEIFS(tbl_raw[Discount_Pct],tbl_raw[Product_Name],A971)</f>
        <v>0.36</v>
      </c>
    </row>
    <row r="972" spans="1:8" hidden="1" x14ac:dyDescent="0.25">
      <c r="A972" s="2" t="str">
        <v>Oil - Model 952</v>
      </c>
      <c r="B972" s="2" t="str">
        <f>_xlfn.XLOOKUP(A972,tbl_raw[Product_Name],tbl_raw[Category])</f>
        <v>Grocery</v>
      </c>
      <c r="C972" s="2">
        <f>COUNTIF(tbl_raw[Product_Name],A972)</f>
        <v>1</v>
      </c>
      <c r="D972" s="2">
        <f>SUMIFS(tbl_raw[Units_Sold],tbl_raw[Product_Name],A972)</f>
        <v>19</v>
      </c>
      <c r="E972" s="3">
        <f>SUMIFS(tbl_raw[Net_Profit],tbl_raw[Product_Name],A972)</f>
        <v>27873</v>
      </c>
      <c r="F972" s="2">
        <f>SUMIFS(tbl_raw[Return_Flag],tbl_raw[Product_Name],A972)</f>
        <v>0</v>
      </c>
      <c r="G972" s="3" cm="1">
        <f t="array" ref="G972">SUMPRODUCT((tbl_raw[Product_Name]=A972)*(tbl_raw[MRP]-tbl_raw[Selling_Price])*tbl_raw[Units_Sold])</f>
        <v>29089</v>
      </c>
      <c r="H972" s="83">
        <f>AVERAGEIFS(tbl_raw[Discount_Pct],tbl_raw[Product_Name],A972)</f>
        <v>0.23</v>
      </c>
    </row>
    <row r="973" spans="1:8" hidden="1" x14ac:dyDescent="0.25">
      <c r="A973" s="2" t="str">
        <v>Jacket - Model 180</v>
      </c>
      <c r="B973" s="2" t="str">
        <f>_xlfn.XLOOKUP(A973,tbl_raw[Product_Name],tbl_raw[Category])</f>
        <v>Fashion</v>
      </c>
      <c r="C973" s="2">
        <f>COUNTIF(tbl_raw[Product_Name],A973)</f>
        <v>1</v>
      </c>
      <c r="D973" s="2">
        <f>SUMIFS(tbl_raw[Units_Sold],tbl_raw[Product_Name],A973)</f>
        <v>17</v>
      </c>
      <c r="E973" s="3">
        <f>SUMIFS(tbl_raw[Net_Profit],tbl_raw[Product_Name],A973)</f>
        <v>18122</v>
      </c>
      <c r="F973" s="2">
        <f>SUMIFS(tbl_raw[Return_Flag],tbl_raw[Product_Name],A973)</f>
        <v>1</v>
      </c>
      <c r="G973" s="3" cm="1">
        <f t="array" ref="G973">SUMPRODUCT((tbl_raw[Product_Name]=A973)*(tbl_raw[MRP]-tbl_raw[Selling_Price])*tbl_raw[Units_Sold])</f>
        <v>2142</v>
      </c>
      <c r="H973" s="83">
        <f>AVERAGEIFS(tbl_raw[Discount_Pct],tbl_raw[Product_Name],A973)</f>
        <v>0.05</v>
      </c>
    </row>
    <row r="974" spans="1:8" hidden="1" x14ac:dyDescent="0.25">
      <c r="A974" s="2" t="str">
        <v>Dumbbells - Model 820</v>
      </c>
      <c r="B974" s="2" t="str">
        <f>_xlfn.XLOOKUP(A974,tbl_raw[Product_Name],tbl_raw[Category])</f>
        <v>Sports</v>
      </c>
      <c r="C974" s="2">
        <f>COUNTIF(tbl_raw[Product_Name],A974)</f>
        <v>1</v>
      </c>
      <c r="D974" s="2">
        <f>SUMIFS(tbl_raw[Units_Sold],tbl_raw[Product_Name],A974)</f>
        <v>3</v>
      </c>
      <c r="E974" s="3">
        <f>SUMIFS(tbl_raw[Net_Profit],tbl_raw[Product_Name],A974)</f>
        <v>8691</v>
      </c>
      <c r="F974" s="2">
        <f>SUMIFS(tbl_raw[Return_Flag],tbl_raw[Product_Name],A974)</f>
        <v>0</v>
      </c>
      <c r="G974" s="3" cm="1">
        <f t="array" ref="G974">SUMPRODUCT((tbl_raw[Product_Name]=A974)*(tbl_raw[MRP]-tbl_raw[Selling_Price])*tbl_raw[Units_Sold])</f>
        <v>1470</v>
      </c>
      <c r="H974" s="83">
        <f>AVERAGEIFS(tbl_raw[Discount_Pct],tbl_raw[Product_Name],A974)</f>
        <v>7.0000000000000007E-2</v>
      </c>
    </row>
    <row r="975" spans="1:8" hidden="1" x14ac:dyDescent="0.25">
      <c r="A975" s="2" t="str">
        <v>Doll - Model 158</v>
      </c>
      <c r="B975" s="2" t="str">
        <f>_xlfn.XLOOKUP(A975,tbl_raw[Product_Name],tbl_raw[Category])</f>
        <v>Toys</v>
      </c>
      <c r="C975" s="2">
        <f>COUNTIF(tbl_raw[Product_Name],A975)</f>
        <v>1</v>
      </c>
      <c r="D975" s="2">
        <f>SUMIFS(tbl_raw[Units_Sold],tbl_raw[Product_Name],A975)</f>
        <v>4</v>
      </c>
      <c r="E975" s="3">
        <f>SUMIFS(tbl_raw[Net_Profit],tbl_raw[Product_Name],A975)</f>
        <v>-3636</v>
      </c>
      <c r="F975" s="2">
        <f>SUMIFS(tbl_raw[Return_Flag],tbl_raw[Product_Name],A975)</f>
        <v>0</v>
      </c>
      <c r="G975" s="3" cm="1">
        <f t="array" ref="G975">SUMPRODUCT((tbl_raw[Product_Name]=A975)*(tbl_raw[MRP]-tbl_raw[Selling_Price])*tbl_raw[Units_Sold])</f>
        <v>7972</v>
      </c>
      <c r="H975" s="83">
        <f>AVERAGEIFS(tbl_raw[Discount_Pct],tbl_raw[Product_Name],A975)</f>
        <v>0.42</v>
      </c>
    </row>
    <row r="976" spans="1:8" hidden="1" x14ac:dyDescent="0.25">
      <c r="A976" s="2" t="str">
        <v>Laptop - Model 309</v>
      </c>
      <c r="B976" s="2" t="str">
        <f>_xlfn.XLOOKUP(A976,tbl_raw[Product_Name],tbl_raw[Category])</f>
        <v>Electronics</v>
      </c>
      <c r="C976" s="2">
        <f>COUNTIF(tbl_raw[Product_Name],A976)</f>
        <v>1</v>
      </c>
      <c r="D976" s="2">
        <f>SUMIFS(tbl_raw[Units_Sold],tbl_raw[Product_Name],A976)</f>
        <v>11</v>
      </c>
      <c r="E976" s="3">
        <f>SUMIFS(tbl_raw[Net_Profit],tbl_raw[Product_Name],A976)</f>
        <v>-1320</v>
      </c>
      <c r="F976" s="2">
        <f>SUMIFS(tbl_raw[Return_Flag],tbl_raw[Product_Name],A976)</f>
        <v>0</v>
      </c>
      <c r="G976" s="3" cm="1">
        <f t="array" ref="G976">SUMPRODUCT((tbl_raw[Product_Name]=A976)*(tbl_raw[MRP]-tbl_raw[Selling_Price])*tbl_raw[Units_Sold])</f>
        <v>24453</v>
      </c>
      <c r="H976" s="83">
        <f>AVERAGEIFS(tbl_raw[Discount_Pct],tbl_raw[Product_Name],A976)</f>
        <v>0.3</v>
      </c>
    </row>
    <row r="977" spans="1:8" hidden="1" x14ac:dyDescent="0.25">
      <c r="A977" s="2" t="str">
        <v>Headphones - Model 172</v>
      </c>
      <c r="B977" s="2" t="str">
        <f>_xlfn.XLOOKUP(A977,tbl_raw[Product_Name],tbl_raw[Category])</f>
        <v>Electronics</v>
      </c>
      <c r="C977" s="2">
        <f>COUNTIF(tbl_raw[Product_Name],A977)</f>
        <v>1</v>
      </c>
      <c r="D977" s="2">
        <f>SUMIFS(tbl_raw[Units_Sold],tbl_raw[Product_Name],A977)</f>
        <v>20</v>
      </c>
      <c r="E977" s="3">
        <f>SUMIFS(tbl_raw[Net_Profit],tbl_raw[Product_Name],A977)</f>
        <v>-17640</v>
      </c>
      <c r="F977" s="2">
        <f>SUMIFS(tbl_raw[Return_Flag],tbl_raw[Product_Name],A977)</f>
        <v>0</v>
      </c>
      <c r="G977" s="3" cm="1">
        <f t="array" ref="G977">SUMPRODUCT((tbl_raw[Product_Name]=A977)*(tbl_raw[MRP]-tbl_raw[Selling_Price])*tbl_raw[Units_Sold])</f>
        <v>50120</v>
      </c>
      <c r="H977" s="83">
        <f>AVERAGEIFS(tbl_raw[Discount_Pct],tbl_raw[Product_Name],A977)</f>
        <v>0.42</v>
      </c>
    </row>
    <row r="978" spans="1:8" hidden="1" x14ac:dyDescent="0.25">
      <c r="A978" s="2" t="str">
        <v>Action Figure - Model 665</v>
      </c>
      <c r="B978" s="2" t="str">
        <f>_xlfn.XLOOKUP(A978,tbl_raw[Product_Name],tbl_raw[Category])</f>
        <v>Toys</v>
      </c>
      <c r="C978" s="2">
        <f>COUNTIF(tbl_raw[Product_Name],A978)</f>
        <v>1</v>
      </c>
      <c r="D978" s="2">
        <f>SUMIFS(tbl_raw[Units_Sold],tbl_raw[Product_Name],A978)</f>
        <v>2</v>
      </c>
      <c r="E978" s="3">
        <f>SUMIFS(tbl_raw[Net_Profit],tbl_raw[Product_Name],A978)</f>
        <v>2218</v>
      </c>
      <c r="F978" s="2">
        <f>SUMIFS(tbl_raw[Return_Flag],tbl_raw[Product_Name],A978)</f>
        <v>0</v>
      </c>
      <c r="G978" s="3" cm="1">
        <f t="array" ref="G978">SUMPRODUCT((tbl_raw[Product_Name]=A978)*(tbl_raw[MRP]-tbl_raw[Selling_Price])*tbl_raw[Units_Sold])</f>
        <v>1094</v>
      </c>
      <c r="H978" s="83">
        <f>AVERAGEIFS(tbl_raw[Discount_Pct],tbl_raw[Product_Name],A978)</f>
        <v>0.17</v>
      </c>
    </row>
    <row r="979" spans="1:8" hidden="1" x14ac:dyDescent="0.25">
      <c r="A979" s="2" t="str">
        <v>Self-Help - Model 451</v>
      </c>
      <c r="B979" s="2" t="str">
        <f>_xlfn.XLOOKUP(A979,tbl_raw[Product_Name],tbl_raw[Category])</f>
        <v>Books</v>
      </c>
      <c r="C979" s="2">
        <f>COUNTIF(tbl_raw[Product_Name],A979)</f>
        <v>1</v>
      </c>
      <c r="D979" s="2">
        <f>SUMIFS(tbl_raw[Units_Sold],tbl_raw[Product_Name],A979)</f>
        <v>2</v>
      </c>
      <c r="E979" s="3">
        <f>SUMIFS(tbl_raw[Net_Profit],tbl_raw[Product_Name],A979)</f>
        <v>2108</v>
      </c>
      <c r="F979" s="2">
        <f>SUMIFS(tbl_raw[Return_Flag],tbl_raw[Product_Name],A979)</f>
        <v>0</v>
      </c>
      <c r="G979" s="3" cm="1">
        <f t="array" ref="G979">SUMPRODUCT((tbl_raw[Product_Name]=A979)*(tbl_raw[MRP]-tbl_raw[Selling_Price])*tbl_raw[Units_Sold])</f>
        <v>164</v>
      </c>
      <c r="H979" s="83">
        <f>AVERAGEIFS(tbl_raw[Discount_Pct],tbl_raw[Product_Name],A979)</f>
        <v>0.04</v>
      </c>
    </row>
    <row r="980" spans="1:8" hidden="1" x14ac:dyDescent="0.25">
      <c r="A980" s="2" t="str">
        <v>Moisturizer - Model 178</v>
      </c>
      <c r="B980" s="2" t="str">
        <f>_xlfn.XLOOKUP(A980,tbl_raw[Product_Name],tbl_raw[Category])</f>
        <v>Beauty</v>
      </c>
      <c r="C980" s="2">
        <f>COUNTIF(tbl_raw[Product_Name],A980)</f>
        <v>1</v>
      </c>
      <c r="D980" s="2">
        <f>SUMIFS(tbl_raw[Units_Sold],tbl_raw[Product_Name],A980)</f>
        <v>5</v>
      </c>
      <c r="E980" s="3">
        <f>SUMIFS(tbl_raw[Net_Profit],tbl_raw[Product_Name],A980)</f>
        <v>5915</v>
      </c>
      <c r="F980" s="2">
        <f>SUMIFS(tbl_raw[Return_Flag],tbl_raw[Product_Name],A980)</f>
        <v>0</v>
      </c>
      <c r="G980" s="3" cm="1">
        <f t="array" ref="G980">SUMPRODUCT((tbl_raw[Product_Name]=A980)*(tbl_raw[MRP]-tbl_raw[Selling_Price])*tbl_raw[Units_Sold])</f>
        <v>2355</v>
      </c>
      <c r="H980" s="83">
        <f>AVERAGEIFS(tbl_raw[Discount_Pct],tbl_raw[Product_Name],A980)</f>
        <v>0.13</v>
      </c>
    </row>
    <row r="981" spans="1:8" hidden="1" x14ac:dyDescent="0.25">
      <c r="A981" s="2" t="str">
        <v>Kurta - Model 178</v>
      </c>
      <c r="B981" s="2" t="str">
        <f>_xlfn.XLOOKUP(A981,tbl_raw[Product_Name],tbl_raw[Category])</f>
        <v>Fashion</v>
      </c>
      <c r="C981" s="2">
        <f>COUNTIF(tbl_raw[Product_Name],A981)</f>
        <v>1</v>
      </c>
      <c r="D981" s="2">
        <f>SUMIFS(tbl_raw[Units_Sold],tbl_raw[Product_Name],A981)</f>
        <v>18</v>
      </c>
      <c r="E981" s="3">
        <f>SUMIFS(tbl_raw[Net_Profit],tbl_raw[Product_Name],A981)</f>
        <v>-3132</v>
      </c>
      <c r="F981" s="2">
        <f>SUMIFS(tbl_raw[Return_Flag],tbl_raw[Product_Name],A981)</f>
        <v>0</v>
      </c>
      <c r="G981" s="3" cm="1">
        <f t="array" ref="G981">SUMPRODUCT((tbl_raw[Product_Name]=A981)*(tbl_raw[MRP]-tbl_raw[Selling_Price])*tbl_raw[Units_Sold])</f>
        <v>10404</v>
      </c>
      <c r="H981" s="83">
        <f>AVERAGEIFS(tbl_raw[Discount_Pct],tbl_raw[Product_Name],A981)</f>
        <v>0.32</v>
      </c>
    </row>
    <row r="982" spans="1:8" hidden="1" x14ac:dyDescent="0.25">
      <c r="A982" s="2" t="str">
        <v>Cricket Bat - Model 639</v>
      </c>
      <c r="B982" s="2" t="str">
        <f>_xlfn.XLOOKUP(A982,tbl_raw[Product_Name],tbl_raw[Category])</f>
        <v>Sports</v>
      </c>
      <c r="C982" s="2">
        <f>COUNTIF(tbl_raw[Product_Name],A982)</f>
        <v>1</v>
      </c>
      <c r="D982" s="2">
        <f>SUMIFS(tbl_raw[Units_Sold],tbl_raw[Product_Name],A982)</f>
        <v>11</v>
      </c>
      <c r="E982" s="3">
        <f>SUMIFS(tbl_raw[Net_Profit],tbl_raw[Product_Name],A982)</f>
        <v>19976</v>
      </c>
      <c r="F982" s="2">
        <f>SUMIFS(tbl_raw[Return_Flag],tbl_raw[Product_Name],A982)</f>
        <v>0</v>
      </c>
      <c r="G982" s="3" cm="1">
        <f t="array" ref="G982">SUMPRODUCT((tbl_raw[Product_Name]=A982)*(tbl_raw[MRP]-tbl_raw[Selling_Price])*tbl_raw[Units_Sold])</f>
        <v>14278</v>
      </c>
      <c r="H982" s="83">
        <f>AVERAGEIFS(tbl_raw[Discount_Pct],tbl_raw[Product_Name],A982)</f>
        <v>0.23</v>
      </c>
    </row>
    <row r="983" spans="1:8" hidden="1" x14ac:dyDescent="0.25">
      <c r="A983" s="2" t="str">
        <v>Lipstick - Model 859</v>
      </c>
      <c r="B983" s="2" t="str">
        <f>_xlfn.XLOOKUP(A983,tbl_raw[Product_Name],tbl_raw[Category])</f>
        <v>Beauty</v>
      </c>
      <c r="C983" s="2">
        <f>COUNTIF(tbl_raw[Product_Name],A983)</f>
        <v>1</v>
      </c>
      <c r="D983" s="2">
        <f>SUMIFS(tbl_raw[Units_Sold],tbl_raw[Product_Name],A983)</f>
        <v>7</v>
      </c>
      <c r="E983" s="3">
        <f>SUMIFS(tbl_raw[Net_Profit],tbl_raw[Product_Name],A983)</f>
        <v>-294</v>
      </c>
      <c r="F983" s="2">
        <f>SUMIFS(tbl_raw[Return_Flag],tbl_raw[Product_Name],A983)</f>
        <v>1</v>
      </c>
      <c r="G983" s="3" cm="1">
        <f t="array" ref="G983">SUMPRODUCT((tbl_raw[Product_Name]=A983)*(tbl_raw[MRP]-tbl_raw[Selling_Price])*tbl_raw[Units_Sold])</f>
        <v>2674</v>
      </c>
      <c r="H983" s="83">
        <f>AVERAGEIFS(tbl_raw[Discount_Pct],tbl_raw[Product_Name],A983)</f>
        <v>0.33</v>
      </c>
    </row>
    <row r="984" spans="1:8" hidden="1" x14ac:dyDescent="0.25">
      <c r="A984" s="2" t="str">
        <v>Smartwatch - Model 956</v>
      </c>
      <c r="B984" s="2" t="str">
        <f>_xlfn.XLOOKUP(A984,tbl_raw[Product_Name],tbl_raw[Category])</f>
        <v>Electronics</v>
      </c>
      <c r="C984" s="2">
        <f>COUNTIF(tbl_raw[Product_Name],A984)</f>
        <v>1</v>
      </c>
      <c r="D984" s="2">
        <f>SUMIFS(tbl_raw[Units_Sold],tbl_raw[Product_Name],A984)</f>
        <v>9</v>
      </c>
      <c r="E984" s="3">
        <f>SUMIFS(tbl_raw[Net_Profit],tbl_raw[Product_Name],A984)</f>
        <v>2601</v>
      </c>
      <c r="F984" s="2">
        <f>SUMIFS(tbl_raw[Return_Flag],tbl_raw[Product_Name],A984)</f>
        <v>0</v>
      </c>
      <c r="G984" s="3" cm="1">
        <f t="array" ref="G984">SUMPRODUCT((tbl_raw[Product_Name]=A984)*(tbl_raw[MRP]-tbl_raw[Selling_Price])*tbl_raw[Units_Sold])</f>
        <v>3627</v>
      </c>
      <c r="H984" s="83">
        <f>AVERAGEIFS(tbl_raw[Discount_Pct],tbl_raw[Product_Name],A984)</f>
        <v>0.17</v>
      </c>
    </row>
    <row r="985" spans="1:8" hidden="1" x14ac:dyDescent="0.25">
      <c r="A985" s="2" t="str">
        <v>Remote Car - Model 554</v>
      </c>
      <c r="B985" s="2" t="str">
        <f>_xlfn.XLOOKUP(A985,tbl_raw[Product_Name],tbl_raw[Category])</f>
        <v>Toys</v>
      </c>
      <c r="C985" s="2">
        <f>COUNTIF(tbl_raw[Product_Name],A985)</f>
        <v>1</v>
      </c>
      <c r="D985" s="2">
        <f>SUMIFS(tbl_raw[Units_Sold],tbl_raw[Product_Name],A985)</f>
        <v>8</v>
      </c>
      <c r="E985" s="3">
        <f>SUMIFS(tbl_raw[Net_Profit],tbl_raw[Product_Name],A985)</f>
        <v>5032</v>
      </c>
      <c r="F985" s="2">
        <f>SUMIFS(tbl_raw[Return_Flag],tbl_raw[Product_Name],A985)</f>
        <v>1</v>
      </c>
      <c r="G985" s="3" cm="1">
        <f t="array" ref="G985">SUMPRODUCT((tbl_raw[Product_Name]=A985)*(tbl_raw[MRP]-tbl_raw[Selling_Price])*tbl_raw[Units_Sold])</f>
        <v>1152</v>
      </c>
      <c r="H985" s="83">
        <f>AVERAGEIFS(tbl_raw[Discount_Pct],tbl_raw[Product_Name],A985)</f>
        <v>0.08</v>
      </c>
    </row>
    <row r="986" spans="1:8" hidden="1" x14ac:dyDescent="0.25">
      <c r="A986" s="2" t="str">
        <v>Textbook - Model 929</v>
      </c>
      <c r="B986" s="2" t="str">
        <f>_xlfn.XLOOKUP(A986,tbl_raw[Product_Name],tbl_raw[Category])</f>
        <v>Books</v>
      </c>
      <c r="C986" s="2">
        <f>COUNTIF(tbl_raw[Product_Name],A986)</f>
        <v>1</v>
      </c>
      <c r="D986" s="2">
        <f>SUMIFS(tbl_raw[Units_Sold],tbl_raw[Product_Name],A986)</f>
        <v>7</v>
      </c>
      <c r="E986" s="3">
        <f>SUMIFS(tbl_raw[Net_Profit],tbl_raw[Product_Name],A986)</f>
        <v>6167</v>
      </c>
      <c r="F986" s="2">
        <f>SUMIFS(tbl_raw[Return_Flag],tbl_raw[Product_Name],A986)</f>
        <v>0</v>
      </c>
      <c r="G986" s="3" cm="1">
        <f t="array" ref="G986">SUMPRODUCT((tbl_raw[Product_Name]=A986)*(tbl_raw[MRP]-tbl_raw[Selling_Price])*tbl_raw[Units_Sold])</f>
        <v>6412</v>
      </c>
      <c r="H986" s="83">
        <f>AVERAGEIFS(tbl_raw[Discount_Pct],tbl_raw[Product_Name],A986)</f>
        <v>0.15</v>
      </c>
    </row>
    <row r="987" spans="1:8" hidden="1" x14ac:dyDescent="0.25">
      <c r="A987" s="2" t="str">
        <v>Jacket - Model 497</v>
      </c>
      <c r="B987" s="2" t="str">
        <f>_xlfn.XLOOKUP(A987,tbl_raw[Product_Name],tbl_raw[Category])</f>
        <v>Fashion</v>
      </c>
      <c r="C987" s="2">
        <f>COUNTIF(tbl_raw[Product_Name],A987)</f>
        <v>1</v>
      </c>
      <c r="D987" s="2">
        <f>SUMIFS(tbl_raw[Units_Sold],tbl_raw[Product_Name],A987)</f>
        <v>18</v>
      </c>
      <c r="E987" s="3">
        <f>SUMIFS(tbl_raw[Net_Profit],tbl_raw[Product_Name],A987)</f>
        <v>7740</v>
      </c>
      <c r="F987" s="2">
        <f>SUMIFS(tbl_raw[Return_Flag],tbl_raw[Product_Name],A987)</f>
        <v>0</v>
      </c>
      <c r="G987" s="3" cm="1">
        <f t="array" ref="G987">SUMPRODUCT((tbl_raw[Product_Name]=A987)*(tbl_raw[MRP]-tbl_raw[Selling_Price])*tbl_raw[Units_Sold])</f>
        <v>17856</v>
      </c>
      <c r="H987" s="83">
        <f>AVERAGEIFS(tbl_raw[Discount_Pct],tbl_raw[Product_Name],A987)</f>
        <v>0.26</v>
      </c>
    </row>
    <row r="988" spans="1:8" hidden="1" x14ac:dyDescent="0.25">
      <c r="A988" s="2" t="str">
        <v>Headphones - Model 918</v>
      </c>
      <c r="B988" s="2" t="str">
        <f>_xlfn.XLOOKUP(A988,tbl_raw[Product_Name],tbl_raw[Category])</f>
        <v>Electronics</v>
      </c>
      <c r="C988" s="2">
        <f>COUNTIF(tbl_raw[Product_Name],A988)</f>
        <v>1</v>
      </c>
      <c r="D988" s="2">
        <f>SUMIFS(tbl_raw[Units_Sold],tbl_raw[Product_Name],A988)</f>
        <v>3</v>
      </c>
      <c r="E988" s="3">
        <f>SUMIFS(tbl_raw[Net_Profit],tbl_raw[Product_Name],A988)</f>
        <v>3162</v>
      </c>
      <c r="F988" s="2">
        <f>SUMIFS(tbl_raw[Return_Flag],tbl_raw[Product_Name],A988)</f>
        <v>0</v>
      </c>
      <c r="G988" s="3" cm="1">
        <f t="array" ref="G988">SUMPRODUCT((tbl_raw[Product_Name]=A988)*(tbl_raw[MRP]-tbl_raw[Selling_Price])*tbl_raw[Units_Sold])</f>
        <v>8391</v>
      </c>
      <c r="H988" s="83">
        <f>AVERAGEIFS(tbl_raw[Discount_Pct],tbl_raw[Product_Name],A988)</f>
        <v>0.35</v>
      </c>
    </row>
    <row r="989" spans="1:8" hidden="1" x14ac:dyDescent="0.25">
      <c r="A989" s="2" t="str">
        <v>Mobile - Model 414</v>
      </c>
      <c r="B989" s="2" t="str">
        <f>_xlfn.XLOOKUP(A989,tbl_raw[Product_Name],tbl_raw[Category])</f>
        <v>Electronics</v>
      </c>
      <c r="C989" s="2">
        <f>COUNTIF(tbl_raw[Product_Name],A989)</f>
        <v>1</v>
      </c>
      <c r="D989" s="2">
        <f>SUMIFS(tbl_raw[Units_Sold],tbl_raw[Product_Name],A989)</f>
        <v>11</v>
      </c>
      <c r="E989" s="3">
        <f>SUMIFS(tbl_raw[Net_Profit],tbl_raw[Product_Name],A989)</f>
        <v>4422</v>
      </c>
      <c r="F989" s="2">
        <f>SUMIFS(tbl_raw[Return_Flag],tbl_raw[Product_Name],A989)</f>
        <v>0</v>
      </c>
      <c r="G989" s="3" cm="1">
        <f t="array" ref="G989">SUMPRODUCT((tbl_raw[Product_Name]=A989)*(tbl_raw[MRP]-tbl_raw[Selling_Price])*tbl_raw[Units_Sold])</f>
        <v>28094</v>
      </c>
      <c r="H989" s="83">
        <f>AVERAGEIFS(tbl_raw[Discount_Pct],tbl_raw[Product_Name],A989)</f>
        <v>0.38</v>
      </c>
    </row>
    <row r="990" spans="1:8" hidden="1" x14ac:dyDescent="0.25">
      <c r="A990" s="2" t="str">
        <v>Perfume - Model 159</v>
      </c>
      <c r="B990" s="2" t="str">
        <f>_xlfn.XLOOKUP(A990,tbl_raw[Product_Name],tbl_raw[Category])</f>
        <v>Beauty</v>
      </c>
      <c r="C990" s="2">
        <f>COUNTIF(tbl_raw[Product_Name],A990)</f>
        <v>1</v>
      </c>
      <c r="D990" s="2">
        <f>SUMIFS(tbl_raw[Units_Sold],tbl_raw[Product_Name],A990)</f>
        <v>3</v>
      </c>
      <c r="E990" s="3">
        <f>SUMIFS(tbl_raw[Net_Profit],tbl_raw[Product_Name],A990)</f>
        <v>1437</v>
      </c>
      <c r="F990" s="2">
        <f>SUMIFS(tbl_raw[Return_Flag],tbl_raw[Product_Name],A990)</f>
        <v>0</v>
      </c>
      <c r="G990" s="3" cm="1">
        <f t="array" ref="G990">SUMPRODUCT((tbl_raw[Product_Name]=A990)*(tbl_raw[MRP]-tbl_raw[Selling_Price])*tbl_raw[Units_Sold])</f>
        <v>1908</v>
      </c>
      <c r="H990" s="83">
        <f>AVERAGEIFS(tbl_raw[Discount_Pct],tbl_raw[Product_Name],A990)</f>
        <v>0.27</v>
      </c>
    </row>
    <row r="991" spans="1:8" hidden="1" x14ac:dyDescent="0.25">
      <c r="A991" s="2" t="str">
        <v>Oil - Model 332</v>
      </c>
      <c r="B991" s="2" t="str">
        <f>_xlfn.XLOOKUP(A991,tbl_raw[Product_Name],tbl_raw[Category])</f>
        <v>Grocery</v>
      </c>
      <c r="C991" s="2">
        <f>COUNTIF(tbl_raw[Product_Name],A991)</f>
        <v>1</v>
      </c>
      <c r="D991" s="2">
        <f>SUMIFS(tbl_raw[Units_Sold],tbl_raw[Product_Name],A991)</f>
        <v>5</v>
      </c>
      <c r="E991" s="3">
        <f>SUMIFS(tbl_raw[Net_Profit],tbl_raw[Product_Name],A991)</f>
        <v>7005</v>
      </c>
      <c r="F991" s="2">
        <f>SUMIFS(tbl_raw[Return_Flag],tbl_raw[Product_Name],A991)</f>
        <v>0</v>
      </c>
      <c r="G991" s="3" cm="1">
        <f t="array" ref="G991">SUMPRODUCT((tbl_raw[Product_Name]=A991)*(tbl_raw[MRP]-tbl_raw[Selling_Price])*tbl_raw[Units_Sold])</f>
        <v>10495</v>
      </c>
      <c r="H991" s="83">
        <f>AVERAGEIFS(tbl_raw[Discount_Pct],tbl_raw[Product_Name],A991)</f>
        <v>0.3</v>
      </c>
    </row>
    <row r="992" spans="1:8" hidden="1" x14ac:dyDescent="0.25">
      <c r="A992" s="2" t="str">
        <v>Tablet - Model 834</v>
      </c>
      <c r="B992" s="2" t="str">
        <f>_xlfn.XLOOKUP(A992,tbl_raw[Product_Name],tbl_raw[Category])</f>
        <v>Electronics</v>
      </c>
      <c r="C992" s="2">
        <f>COUNTIF(tbl_raw[Product_Name],A992)</f>
        <v>1</v>
      </c>
      <c r="D992" s="2">
        <f>SUMIFS(tbl_raw[Units_Sold],tbl_raw[Product_Name],A992)</f>
        <v>2</v>
      </c>
      <c r="E992" s="3">
        <f>SUMIFS(tbl_raw[Net_Profit],tbl_raw[Product_Name],A992)</f>
        <v>-2980</v>
      </c>
      <c r="F992" s="2">
        <f>SUMIFS(tbl_raw[Return_Flag],tbl_raw[Product_Name],A992)</f>
        <v>0</v>
      </c>
      <c r="G992" s="3" cm="1">
        <f t="array" ref="G992">SUMPRODUCT((tbl_raw[Product_Name]=A992)*(tbl_raw[MRP]-tbl_raw[Selling_Price])*tbl_raw[Units_Sold])</f>
        <v>6860</v>
      </c>
      <c r="H992" s="83">
        <f>AVERAGEIFS(tbl_raw[Discount_Pct],tbl_raw[Product_Name],A992)</f>
        <v>0.45</v>
      </c>
    </row>
    <row r="993" spans="1:8" hidden="1" x14ac:dyDescent="0.25">
      <c r="A993" s="2" t="str">
        <v>Kurta - Model 619</v>
      </c>
      <c r="B993" s="2" t="str">
        <f>_xlfn.XLOOKUP(A993,tbl_raw[Product_Name],tbl_raw[Category])</f>
        <v>Fashion</v>
      </c>
      <c r="C993" s="2">
        <f>COUNTIF(tbl_raw[Product_Name],A993)</f>
        <v>1</v>
      </c>
      <c r="D993" s="2">
        <f>SUMIFS(tbl_raw[Units_Sold],tbl_raw[Product_Name],A993)</f>
        <v>4</v>
      </c>
      <c r="E993" s="3">
        <f>SUMIFS(tbl_raw[Net_Profit],tbl_raw[Product_Name],A993)</f>
        <v>5952</v>
      </c>
      <c r="F993" s="2">
        <f>SUMIFS(tbl_raw[Return_Flag],tbl_raw[Product_Name],A993)</f>
        <v>0</v>
      </c>
      <c r="G993" s="3" cm="1">
        <f t="array" ref="G993">SUMPRODUCT((tbl_raw[Product_Name]=A993)*(tbl_raw[MRP]-tbl_raw[Selling_Price])*tbl_raw[Units_Sold])</f>
        <v>1840</v>
      </c>
      <c r="H993" s="83">
        <f>AVERAGEIFS(tbl_raw[Discount_Pct],tbl_raw[Product_Name],A993)</f>
        <v>0.11</v>
      </c>
    </row>
    <row r="994" spans="1:8" hidden="1" x14ac:dyDescent="0.25">
      <c r="A994" s="2" t="str">
        <v>Headphones - Model 721</v>
      </c>
      <c r="B994" s="2" t="str">
        <f>_xlfn.XLOOKUP(A994,tbl_raw[Product_Name],tbl_raw[Category])</f>
        <v>Electronics</v>
      </c>
      <c r="C994" s="2">
        <f>COUNTIF(tbl_raw[Product_Name],A994)</f>
        <v>1</v>
      </c>
      <c r="D994" s="2">
        <f>SUMIFS(tbl_raw[Units_Sold],tbl_raw[Product_Name],A994)</f>
        <v>11</v>
      </c>
      <c r="E994" s="3">
        <f>SUMIFS(tbl_raw[Net_Profit],tbl_raw[Product_Name],A994)</f>
        <v>4037</v>
      </c>
      <c r="F994" s="2">
        <f>SUMIFS(tbl_raw[Return_Flag],tbl_raw[Product_Name],A994)</f>
        <v>0</v>
      </c>
      <c r="G994" s="3" cm="1">
        <f t="array" ref="G994">SUMPRODUCT((tbl_raw[Product_Name]=A994)*(tbl_raw[MRP]-tbl_raw[Selling_Price])*tbl_raw[Units_Sold])</f>
        <v>34342</v>
      </c>
      <c r="H994" s="83">
        <f>AVERAGEIFS(tbl_raw[Discount_Pct],tbl_raw[Product_Name],A994)</f>
        <v>0.4</v>
      </c>
    </row>
    <row r="995" spans="1:8" hidden="1" x14ac:dyDescent="0.25">
      <c r="A995" s="2" t="str">
        <v>Lamp - Model 126</v>
      </c>
      <c r="B995" s="2" t="str">
        <f>_xlfn.XLOOKUP(A995,tbl_raw[Product_Name],tbl_raw[Category])</f>
        <v>Home &amp; Kitchen</v>
      </c>
      <c r="C995" s="2">
        <f>COUNTIF(tbl_raw[Product_Name],A995)</f>
        <v>1</v>
      </c>
      <c r="D995" s="2">
        <f>SUMIFS(tbl_raw[Units_Sold],tbl_raw[Product_Name],A995)</f>
        <v>20</v>
      </c>
      <c r="E995" s="3">
        <f>SUMIFS(tbl_raw[Net_Profit],tbl_raw[Product_Name],A995)</f>
        <v>4940</v>
      </c>
      <c r="F995" s="2">
        <f>SUMIFS(tbl_raw[Return_Flag],tbl_raw[Product_Name],A995)</f>
        <v>0</v>
      </c>
      <c r="G995" s="3" cm="1">
        <f t="array" ref="G995">SUMPRODUCT((tbl_raw[Product_Name]=A995)*(tbl_raw[MRP]-tbl_raw[Selling_Price])*tbl_raw[Units_Sold])</f>
        <v>5180</v>
      </c>
      <c r="H995" s="83">
        <f>AVERAGEIFS(tbl_raw[Discount_Pct],tbl_raw[Product_Name],A995)</f>
        <v>0.14000000000000001</v>
      </c>
    </row>
    <row r="996" spans="1:8" hidden="1" x14ac:dyDescent="0.25">
      <c r="A996" s="2" t="str">
        <v>Laptop - Model 490</v>
      </c>
      <c r="B996" s="2" t="str">
        <f>_xlfn.XLOOKUP(A996,tbl_raw[Product_Name],tbl_raw[Category])</f>
        <v>Electronics</v>
      </c>
      <c r="C996" s="2">
        <f>COUNTIF(tbl_raw[Product_Name],A996)</f>
        <v>1</v>
      </c>
      <c r="D996" s="2">
        <f>SUMIFS(tbl_raw[Units_Sold],tbl_raw[Product_Name],A996)</f>
        <v>3</v>
      </c>
      <c r="E996" s="3">
        <f>SUMIFS(tbl_raw[Net_Profit],tbl_raw[Product_Name],A996)</f>
        <v>-1644</v>
      </c>
      <c r="F996" s="2">
        <f>SUMIFS(tbl_raw[Return_Flag],tbl_raw[Product_Name],A996)</f>
        <v>0</v>
      </c>
      <c r="G996" s="3" cm="1">
        <f t="array" ref="G996">SUMPRODUCT((tbl_raw[Product_Name]=A996)*(tbl_raw[MRP]-tbl_raw[Selling_Price])*tbl_raw[Units_Sold])</f>
        <v>10365</v>
      </c>
      <c r="H996" s="83">
        <f>AVERAGEIFS(tbl_raw[Discount_Pct],tbl_raw[Product_Name],A996)</f>
        <v>0.45</v>
      </c>
    </row>
    <row r="997" spans="1:8" hidden="1" x14ac:dyDescent="0.25">
      <c r="A997" s="2" t="str">
        <v>Tablet - Model 583</v>
      </c>
      <c r="B997" s="2" t="str">
        <f>_xlfn.XLOOKUP(A997,tbl_raw[Product_Name],tbl_raw[Category])</f>
        <v>Electronics</v>
      </c>
      <c r="C997" s="2">
        <f>COUNTIF(tbl_raw[Product_Name],A997)</f>
        <v>1</v>
      </c>
      <c r="D997" s="2">
        <f>SUMIFS(tbl_raw[Units_Sold],tbl_raw[Product_Name],A997)</f>
        <v>17</v>
      </c>
      <c r="E997" s="3">
        <f>SUMIFS(tbl_raw[Net_Profit],tbl_raw[Product_Name],A997)</f>
        <v>10336</v>
      </c>
      <c r="F997" s="2">
        <f>SUMIFS(tbl_raw[Return_Flag],tbl_raw[Product_Name],A997)</f>
        <v>0</v>
      </c>
      <c r="G997" s="3" cm="1">
        <f t="array" ref="G997">SUMPRODUCT((tbl_raw[Product_Name]=A997)*(tbl_raw[MRP]-tbl_raw[Selling_Price])*tbl_raw[Units_Sold])</f>
        <v>7429</v>
      </c>
      <c r="H997" s="83">
        <f>AVERAGEIFS(tbl_raw[Discount_Pct],tbl_raw[Product_Name],A997)</f>
        <v>0.12</v>
      </c>
    </row>
    <row r="998" spans="1:8" hidden="1" x14ac:dyDescent="0.25">
      <c r="A998" s="2" t="str">
        <v>Rice - Model 866</v>
      </c>
      <c r="B998" s="2" t="str">
        <f>_xlfn.XLOOKUP(A998,tbl_raw[Product_Name],tbl_raw[Category])</f>
        <v>Grocery</v>
      </c>
      <c r="C998" s="2">
        <f>COUNTIF(tbl_raw[Product_Name],A998)</f>
        <v>1</v>
      </c>
      <c r="D998" s="2">
        <f>SUMIFS(tbl_raw[Units_Sold],tbl_raw[Product_Name],A998)</f>
        <v>8</v>
      </c>
      <c r="E998" s="3">
        <f>SUMIFS(tbl_raw[Net_Profit],tbl_raw[Product_Name],A998)</f>
        <v>440</v>
      </c>
      <c r="F998" s="2">
        <f>SUMIFS(tbl_raw[Return_Flag],tbl_raw[Product_Name],A998)</f>
        <v>0</v>
      </c>
      <c r="G998" s="3" cm="1">
        <f t="array" ref="G998">SUMPRODUCT((tbl_raw[Product_Name]=A998)*(tbl_raw[MRP]-tbl_raw[Selling_Price])*tbl_raw[Units_Sold])</f>
        <v>12632</v>
      </c>
      <c r="H998" s="83">
        <f>AVERAGEIFS(tbl_raw[Discount_Pct],tbl_raw[Product_Name],A998)</f>
        <v>0.43</v>
      </c>
    </row>
    <row r="999" spans="1:8" hidden="1" x14ac:dyDescent="0.25">
      <c r="A999" s="2" t="str">
        <v>Perfume - Model 905</v>
      </c>
      <c r="B999" s="2" t="str">
        <f>_xlfn.XLOOKUP(A999,tbl_raw[Product_Name],tbl_raw[Category])</f>
        <v>Beauty</v>
      </c>
      <c r="C999" s="2">
        <f>COUNTIF(tbl_raw[Product_Name],A999)</f>
        <v>2</v>
      </c>
      <c r="D999" s="2">
        <f>SUMIFS(tbl_raw[Units_Sold],tbl_raw[Product_Name],A999)</f>
        <v>22</v>
      </c>
      <c r="E999" s="3">
        <f>SUMIFS(tbl_raw[Net_Profit],tbl_raw[Product_Name],A999)</f>
        <v>15376</v>
      </c>
      <c r="F999" s="2">
        <f>SUMIFS(tbl_raw[Return_Flag],tbl_raw[Product_Name],A999)</f>
        <v>0</v>
      </c>
      <c r="G999" s="3" cm="1">
        <f t="array" ref="G999">SUMPRODUCT((tbl_raw[Product_Name]=A999)*(tbl_raw[MRP]-tbl_raw[Selling_Price])*tbl_raw[Units_Sold])</f>
        <v>17824</v>
      </c>
      <c r="H999" s="83">
        <f>AVERAGEIFS(tbl_raw[Discount_Pct],tbl_raw[Product_Name],A999)</f>
        <v>0.22999999999999998</v>
      </c>
    </row>
    <row r="1000" spans="1:8" hidden="1" x14ac:dyDescent="0.25">
      <c r="A1000" s="2" t="str">
        <v>Yoga Mat - Model 421</v>
      </c>
      <c r="B1000" s="2" t="str">
        <f>_xlfn.XLOOKUP(A1000,tbl_raw[Product_Name],tbl_raw[Category])</f>
        <v>Sports</v>
      </c>
      <c r="C1000" s="2">
        <f>COUNTIF(tbl_raw[Product_Name],A1000)</f>
        <v>1</v>
      </c>
      <c r="D1000" s="2">
        <f>SUMIFS(tbl_raw[Units_Sold],tbl_raw[Product_Name],A1000)</f>
        <v>3</v>
      </c>
      <c r="E1000" s="3">
        <f>SUMIFS(tbl_raw[Net_Profit],tbl_raw[Product_Name],A1000)</f>
        <v>2919</v>
      </c>
      <c r="F1000" s="2">
        <f>SUMIFS(tbl_raw[Return_Flag],tbl_raw[Product_Name],A1000)</f>
        <v>0</v>
      </c>
      <c r="G1000" s="3" cm="1">
        <f t="array" ref="G1000">SUMPRODUCT((tbl_raw[Product_Name]=A1000)*(tbl_raw[MRP]-tbl_raw[Selling_Price])*tbl_raw[Units_Sold])</f>
        <v>2337</v>
      </c>
      <c r="H1000" s="83">
        <f>AVERAGEIFS(tbl_raw[Discount_Pct],tbl_raw[Product_Name],A1000)</f>
        <v>0.23</v>
      </c>
    </row>
    <row r="1001" spans="1:8" hidden="1" x14ac:dyDescent="0.25">
      <c r="A1001" s="2" t="str">
        <v>Shoes - Model 369</v>
      </c>
      <c r="B1001" s="2" t="str">
        <f>_xlfn.XLOOKUP(A1001,tbl_raw[Product_Name],tbl_raw[Category])</f>
        <v>Fashion</v>
      </c>
      <c r="C1001" s="2">
        <f>COUNTIF(tbl_raw[Product_Name],A1001)</f>
        <v>1</v>
      </c>
      <c r="D1001" s="2">
        <f>SUMIFS(tbl_raw[Units_Sold],tbl_raw[Product_Name],A1001)</f>
        <v>16</v>
      </c>
      <c r="E1001" s="3">
        <f>SUMIFS(tbl_raw[Net_Profit],tbl_raw[Product_Name],A1001)</f>
        <v>49120</v>
      </c>
      <c r="F1001" s="2">
        <f>SUMIFS(tbl_raw[Return_Flag],tbl_raw[Product_Name],A1001)</f>
        <v>0</v>
      </c>
      <c r="G1001" s="3" cm="1">
        <f t="array" ref="G1001">SUMPRODUCT((tbl_raw[Product_Name]=A1001)*(tbl_raw[MRP]-tbl_raw[Selling_Price])*tbl_raw[Units_Sold])</f>
        <v>5760</v>
      </c>
      <c r="H1001" s="83">
        <f>AVERAGEIFS(tbl_raw[Discount_Pct],tbl_raw[Product_Name],A1001)</f>
        <v>0.06</v>
      </c>
    </row>
    <row r="1002" spans="1:8" hidden="1" x14ac:dyDescent="0.25">
      <c r="A1002" s="2" t="str">
        <v>Puzzle - Model 230</v>
      </c>
      <c r="B1002" s="2" t="str">
        <f>_xlfn.XLOOKUP(A1002,tbl_raw[Product_Name],tbl_raw[Category])</f>
        <v>Toys</v>
      </c>
      <c r="C1002" s="2">
        <f>COUNTIF(tbl_raw[Product_Name],A1002)</f>
        <v>1</v>
      </c>
      <c r="D1002" s="2">
        <f>SUMIFS(tbl_raw[Units_Sold],tbl_raw[Product_Name],A1002)</f>
        <v>18</v>
      </c>
      <c r="E1002" s="3">
        <f>SUMIFS(tbl_raw[Net_Profit],tbl_raw[Product_Name],A1002)</f>
        <v>10422</v>
      </c>
      <c r="F1002" s="2">
        <f>SUMIFS(tbl_raw[Return_Flag],tbl_raw[Product_Name],A1002)</f>
        <v>0</v>
      </c>
      <c r="G1002" s="3" cm="1">
        <f t="array" ref="G1002">SUMPRODUCT((tbl_raw[Product_Name]=A1002)*(tbl_raw[MRP]-tbl_raw[Selling_Price])*tbl_raw[Units_Sold])</f>
        <v>4878</v>
      </c>
      <c r="H1002" s="83">
        <f>AVERAGEIFS(tbl_raw[Discount_Pct],tbl_raw[Product_Name],A1002)</f>
        <v>0.13</v>
      </c>
    </row>
    <row r="1003" spans="1:8" hidden="1" x14ac:dyDescent="0.25">
      <c r="A1003" s="2" t="str">
        <v>Saree - Model 559</v>
      </c>
      <c r="B1003" s="2" t="str">
        <f>_xlfn.XLOOKUP(A1003,tbl_raw[Product_Name],tbl_raw[Category])</f>
        <v>Fashion</v>
      </c>
      <c r="C1003" s="2">
        <f>COUNTIF(tbl_raw[Product_Name],A1003)</f>
        <v>1</v>
      </c>
      <c r="D1003" s="2">
        <f>SUMIFS(tbl_raw[Units_Sold],tbl_raw[Product_Name],A1003)</f>
        <v>15</v>
      </c>
      <c r="E1003" s="3">
        <f>SUMIFS(tbl_raw[Net_Profit],tbl_raw[Product_Name],A1003)</f>
        <v>10065</v>
      </c>
      <c r="F1003" s="2">
        <f>SUMIFS(tbl_raw[Return_Flag],tbl_raw[Product_Name],A1003)</f>
        <v>0</v>
      </c>
      <c r="G1003" s="3" cm="1">
        <f t="array" ref="G1003">SUMPRODUCT((tbl_raw[Product_Name]=A1003)*(tbl_raw[MRP]-tbl_raw[Selling_Price])*tbl_raw[Units_Sold])</f>
        <v>17925</v>
      </c>
      <c r="H1003" s="83">
        <f>AVERAGEIFS(tbl_raw[Discount_Pct],tbl_raw[Product_Name],A1003)</f>
        <v>0.2</v>
      </c>
    </row>
    <row r="1004" spans="1:8" hidden="1" x14ac:dyDescent="0.25">
      <c r="A1004" s="2" t="str">
        <v>Mixer - Model 707</v>
      </c>
      <c r="B1004" s="2" t="str">
        <f>_xlfn.XLOOKUP(A1004,tbl_raw[Product_Name],tbl_raw[Category])</f>
        <v>Home &amp; Kitchen</v>
      </c>
      <c r="C1004" s="2">
        <f>COUNTIF(tbl_raw[Product_Name],A1004)</f>
        <v>1</v>
      </c>
      <c r="D1004" s="2">
        <f>SUMIFS(tbl_raw[Units_Sold],tbl_raw[Product_Name],A1004)</f>
        <v>12</v>
      </c>
      <c r="E1004" s="3">
        <f>SUMIFS(tbl_raw[Net_Profit],tbl_raw[Product_Name],A1004)</f>
        <v>18168</v>
      </c>
      <c r="F1004" s="2">
        <f>SUMIFS(tbl_raw[Return_Flag],tbl_raw[Product_Name],A1004)</f>
        <v>1</v>
      </c>
      <c r="G1004" s="3" cm="1">
        <f t="array" ref="G1004">SUMPRODUCT((tbl_raw[Product_Name]=A1004)*(tbl_raw[MRP]-tbl_raw[Selling_Price])*tbl_raw[Units_Sold])</f>
        <v>13092</v>
      </c>
      <c r="H1004" s="83">
        <f>AVERAGEIFS(tbl_raw[Discount_Pct],tbl_raw[Product_Name],A1004)</f>
        <v>0.2</v>
      </c>
    </row>
    <row r="1005" spans="1:8" hidden="1" x14ac:dyDescent="0.25">
      <c r="A1005" s="2" t="str">
        <v>Rice - Model 149</v>
      </c>
      <c r="B1005" s="2" t="str">
        <f>_xlfn.XLOOKUP(A1005,tbl_raw[Product_Name],tbl_raw[Category])</f>
        <v>Grocery</v>
      </c>
      <c r="C1005" s="2">
        <f>COUNTIF(tbl_raw[Product_Name],A1005)</f>
        <v>1</v>
      </c>
      <c r="D1005" s="2">
        <f>SUMIFS(tbl_raw[Units_Sold],tbl_raw[Product_Name],A1005)</f>
        <v>17</v>
      </c>
      <c r="E1005" s="3">
        <f>SUMIFS(tbl_raw[Net_Profit],tbl_raw[Product_Name],A1005)</f>
        <v>3859</v>
      </c>
      <c r="F1005" s="2">
        <f>SUMIFS(tbl_raw[Return_Flag],tbl_raw[Product_Name],A1005)</f>
        <v>1</v>
      </c>
      <c r="G1005" s="3" cm="1">
        <f t="array" ref="G1005">SUMPRODUCT((tbl_raw[Product_Name]=A1005)*(tbl_raw[MRP]-tbl_raw[Selling_Price])*tbl_raw[Units_Sold])</f>
        <v>31824</v>
      </c>
      <c r="H1005" s="83">
        <f>AVERAGEIFS(tbl_raw[Discount_Pct],tbl_raw[Product_Name],A1005)</f>
        <v>0.26</v>
      </c>
    </row>
    <row r="1006" spans="1:8" hidden="1" x14ac:dyDescent="0.25">
      <c r="A1006" s="2" t="str">
        <v>Perfume - Model 631</v>
      </c>
      <c r="B1006" s="2" t="str">
        <f>_xlfn.XLOOKUP(A1006,tbl_raw[Product_Name],tbl_raw[Category])</f>
        <v>Beauty</v>
      </c>
      <c r="C1006" s="2">
        <f>COUNTIF(tbl_raw[Product_Name],A1006)</f>
        <v>1</v>
      </c>
      <c r="D1006" s="2">
        <f>SUMIFS(tbl_raw[Units_Sold],tbl_raw[Product_Name],A1006)</f>
        <v>19</v>
      </c>
      <c r="E1006" s="3">
        <f>SUMIFS(tbl_raw[Net_Profit],tbl_raw[Product_Name],A1006)</f>
        <v>44346</v>
      </c>
      <c r="F1006" s="2">
        <f>SUMIFS(tbl_raw[Return_Flag],tbl_raw[Product_Name],A1006)</f>
        <v>0</v>
      </c>
      <c r="G1006" s="3" cm="1">
        <f t="array" ref="G1006">SUMPRODUCT((tbl_raw[Product_Name]=A1006)*(tbl_raw[MRP]-tbl_raw[Selling_Price])*tbl_raw[Units_Sold])</f>
        <v>18791</v>
      </c>
      <c r="H1006" s="83">
        <f>AVERAGEIFS(tbl_raw[Discount_Pct],tbl_raw[Product_Name],A1006)</f>
        <v>0.14000000000000001</v>
      </c>
    </row>
    <row r="1007" spans="1:8" hidden="1" x14ac:dyDescent="0.25">
      <c r="A1007" s="2" t="str">
        <v>Cycle - Model 871</v>
      </c>
      <c r="B1007" s="2" t="str">
        <f>_xlfn.XLOOKUP(A1007,tbl_raw[Product_Name],tbl_raw[Category])</f>
        <v>Sports</v>
      </c>
      <c r="C1007" s="2">
        <f>COUNTIF(tbl_raw[Product_Name],A1007)</f>
        <v>1</v>
      </c>
      <c r="D1007" s="2">
        <f>SUMIFS(tbl_raw[Units_Sold],tbl_raw[Product_Name],A1007)</f>
        <v>8</v>
      </c>
      <c r="E1007" s="3">
        <f>SUMIFS(tbl_raw[Net_Profit],tbl_raw[Product_Name],A1007)</f>
        <v>18944</v>
      </c>
      <c r="F1007" s="2">
        <f>SUMIFS(tbl_raw[Return_Flag],tbl_raw[Product_Name],A1007)</f>
        <v>0</v>
      </c>
      <c r="G1007" s="3" cm="1">
        <f t="array" ref="G1007">SUMPRODUCT((tbl_raw[Product_Name]=A1007)*(tbl_raw[MRP]-tbl_raw[Selling_Price])*tbl_raw[Units_Sold])</f>
        <v>2592</v>
      </c>
      <c r="H1007" s="83">
        <f>AVERAGEIFS(tbl_raw[Discount_Pct],tbl_raw[Product_Name],A1007)</f>
        <v>0.06</v>
      </c>
    </row>
    <row r="1008" spans="1:8" hidden="1" x14ac:dyDescent="0.25">
      <c r="A1008" s="2" t="str">
        <v>Moisturizer - Model 600</v>
      </c>
      <c r="B1008" s="2" t="str">
        <f>_xlfn.XLOOKUP(A1008,tbl_raw[Product_Name],tbl_raw[Category])</f>
        <v>Beauty</v>
      </c>
      <c r="C1008" s="2">
        <f>COUNTIF(tbl_raw[Product_Name],A1008)</f>
        <v>1</v>
      </c>
      <c r="D1008" s="2">
        <f>SUMIFS(tbl_raw[Units_Sold],tbl_raw[Product_Name],A1008)</f>
        <v>12</v>
      </c>
      <c r="E1008" s="3">
        <f>SUMIFS(tbl_raw[Net_Profit],tbl_raw[Product_Name],A1008)</f>
        <v>-2100</v>
      </c>
      <c r="F1008" s="2">
        <f>SUMIFS(tbl_raw[Return_Flag],tbl_raw[Product_Name],A1008)</f>
        <v>0</v>
      </c>
      <c r="G1008" s="3" cm="1">
        <f t="array" ref="G1008">SUMPRODUCT((tbl_raw[Product_Name]=A1008)*(tbl_raw[MRP]-tbl_raw[Selling_Price])*tbl_raw[Units_Sold])</f>
        <v>8988</v>
      </c>
      <c r="H1008" s="83">
        <f>AVERAGEIFS(tbl_raw[Discount_Pct],tbl_raw[Product_Name],A1008)</f>
        <v>0.42</v>
      </c>
    </row>
    <row r="1009" spans="1:8" hidden="1" x14ac:dyDescent="0.25">
      <c r="A1009" s="2" t="str">
        <v>Shoes - Model 542</v>
      </c>
      <c r="B1009" s="2" t="str">
        <f>_xlfn.XLOOKUP(A1009,tbl_raw[Product_Name],tbl_raw[Category])</f>
        <v>Fashion</v>
      </c>
      <c r="C1009" s="2">
        <f>COUNTIF(tbl_raw[Product_Name],A1009)</f>
        <v>1</v>
      </c>
      <c r="D1009" s="2">
        <f>SUMIFS(tbl_raw[Units_Sold],tbl_raw[Product_Name],A1009)</f>
        <v>9</v>
      </c>
      <c r="E1009" s="3">
        <f>SUMIFS(tbl_raw[Net_Profit],tbl_raw[Product_Name],A1009)</f>
        <v>2322</v>
      </c>
      <c r="F1009" s="2">
        <f>SUMIFS(tbl_raw[Return_Flag],tbl_raw[Product_Name],A1009)</f>
        <v>0</v>
      </c>
      <c r="G1009" s="3" cm="1">
        <f t="array" ref="G1009">SUMPRODUCT((tbl_raw[Product_Name]=A1009)*(tbl_raw[MRP]-tbl_raw[Selling_Price])*tbl_raw[Units_Sold])</f>
        <v>477</v>
      </c>
      <c r="H1009" s="83">
        <f>AVERAGEIFS(tbl_raw[Discount_Pct],tbl_raw[Product_Name],A1009)</f>
        <v>0.06</v>
      </c>
    </row>
    <row r="1010" spans="1:8" hidden="1" x14ac:dyDescent="0.25">
      <c r="A1010" s="2" t="str">
        <v>Saree - Model 260</v>
      </c>
      <c r="B1010" s="2" t="str">
        <f>_xlfn.XLOOKUP(A1010,tbl_raw[Product_Name],tbl_raw[Category])</f>
        <v>Fashion</v>
      </c>
      <c r="C1010" s="2">
        <f>COUNTIF(tbl_raw[Product_Name],A1010)</f>
        <v>1</v>
      </c>
      <c r="D1010" s="2">
        <f>SUMIFS(tbl_raw[Units_Sold],tbl_raw[Product_Name],A1010)</f>
        <v>11</v>
      </c>
      <c r="E1010" s="3">
        <f>SUMIFS(tbl_raw[Net_Profit],tbl_raw[Product_Name],A1010)</f>
        <v>2024</v>
      </c>
      <c r="F1010" s="2">
        <f>SUMIFS(tbl_raw[Return_Flag],tbl_raw[Product_Name],A1010)</f>
        <v>0</v>
      </c>
      <c r="G1010" s="3" cm="1">
        <f t="array" ref="G1010">SUMPRODUCT((tbl_raw[Product_Name]=A1010)*(tbl_raw[MRP]-tbl_raw[Selling_Price])*tbl_raw[Units_Sold])</f>
        <v>7249</v>
      </c>
      <c r="H1010" s="83">
        <f>AVERAGEIFS(tbl_raw[Discount_Pct],tbl_raw[Product_Name],A1010)</f>
        <v>0.28000000000000003</v>
      </c>
    </row>
    <row r="1011" spans="1:8" hidden="1" x14ac:dyDescent="0.25">
      <c r="A1011" s="2" t="str">
        <v>Self-Help - Model 961</v>
      </c>
      <c r="B1011" s="2" t="str">
        <f>_xlfn.XLOOKUP(A1011,tbl_raw[Product_Name],tbl_raw[Category])</f>
        <v>Books</v>
      </c>
      <c r="C1011" s="2">
        <f>COUNTIF(tbl_raw[Product_Name],A1011)</f>
        <v>1</v>
      </c>
      <c r="D1011" s="2">
        <f>SUMIFS(tbl_raw[Units_Sold],tbl_raw[Product_Name],A1011)</f>
        <v>2</v>
      </c>
      <c r="E1011" s="3">
        <f>SUMIFS(tbl_raw[Net_Profit],tbl_raw[Product_Name],A1011)</f>
        <v>3322</v>
      </c>
      <c r="F1011" s="2">
        <f>SUMIFS(tbl_raw[Return_Flag],tbl_raw[Product_Name],A1011)</f>
        <v>0</v>
      </c>
      <c r="G1011" s="3" cm="1">
        <f t="array" ref="G1011">SUMPRODUCT((tbl_raw[Product_Name]=A1011)*(tbl_raw[MRP]-tbl_raw[Selling_Price])*tbl_raw[Units_Sold])</f>
        <v>4258</v>
      </c>
      <c r="H1011" s="83">
        <f>AVERAGEIFS(tbl_raw[Discount_Pct],tbl_raw[Product_Name],A1011)</f>
        <v>0.28000000000000003</v>
      </c>
    </row>
    <row r="1012" spans="1:8" hidden="1" x14ac:dyDescent="0.25">
      <c r="A1012" s="2" t="str">
        <v>Curtain - Model 389</v>
      </c>
      <c r="B1012" s="2" t="str">
        <f>_xlfn.XLOOKUP(A1012,tbl_raw[Product_Name],tbl_raw[Category])</f>
        <v>Home &amp; Kitchen</v>
      </c>
      <c r="C1012" s="2">
        <f>COUNTIF(tbl_raw[Product_Name],A1012)</f>
        <v>1</v>
      </c>
      <c r="D1012" s="2">
        <f>SUMIFS(tbl_raw[Units_Sold],tbl_raw[Product_Name],A1012)</f>
        <v>7</v>
      </c>
      <c r="E1012" s="3">
        <f>SUMIFS(tbl_raw[Net_Profit],tbl_raw[Product_Name],A1012)</f>
        <v>12712</v>
      </c>
      <c r="F1012" s="2">
        <f>SUMIFS(tbl_raw[Return_Flag],tbl_raw[Product_Name],A1012)</f>
        <v>0</v>
      </c>
      <c r="G1012" s="3" cm="1">
        <f t="array" ref="G1012">SUMPRODUCT((tbl_raw[Product_Name]=A1012)*(tbl_raw[MRP]-tbl_raw[Selling_Price])*tbl_raw[Units_Sold])</f>
        <v>1442</v>
      </c>
      <c r="H1012" s="83">
        <f>AVERAGEIFS(tbl_raw[Discount_Pct],tbl_raw[Product_Name],A1012)</f>
        <v>0.04</v>
      </c>
    </row>
    <row r="1013" spans="1:8" hidden="1" x14ac:dyDescent="0.25">
      <c r="A1013" s="2" t="str">
        <v>Serum - Model 139</v>
      </c>
      <c r="B1013" s="2" t="str">
        <f>_xlfn.XLOOKUP(A1013,tbl_raw[Product_Name],tbl_raw[Category])</f>
        <v>Beauty</v>
      </c>
      <c r="C1013" s="2">
        <f>COUNTIF(tbl_raw[Product_Name],A1013)</f>
        <v>1</v>
      </c>
      <c r="D1013" s="2">
        <f>SUMIFS(tbl_raw[Units_Sold],tbl_raw[Product_Name],A1013)</f>
        <v>9</v>
      </c>
      <c r="E1013" s="3">
        <f>SUMIFS(tbl_raw[Net_Profit],tbl_raw[Product_Name],A1013)</f>
        <v>9927</v>
      </c>
      <c r="F1013" s="2">
        <f>SUMIFS(tbl_raw[Return_Flag],tbl_raw[Product_Name],A1013)</f>
        <v>0</v>
      </c>
      <c r="G1013" s="3" cm="1">
        <f t="array" ref="G1013">SUMPRODUCT((tbl_raw[Product_Name]=A1013)*(tbl_raw[MRP]-tbl_raw[Selling_Price])*tbl_raw[Units_Sold])</f>
        <v>12564</v>
      </c>
      <c r="H1013" s="83">
        <f>AVERAGEIFS(tbl_raw[Discount_Pct],tbl_raw[Product_Name],A1013)</f>
        <v>0.28000000000000003</v>
      </c>
    </row>
    <row r="1014" spans="1:8" hidden="1" x14ac:dyDescent="0.25">
      <c r="A1014" s="2" t="str">
        <v>Lipstick - Model 784</v>
      </c>
      <c r="B1014" s="2" t="str">
        <f>_xlfn.XLOOKUP(A1014,tbl_raw[Product_Name],tbl_raw[Category])</f>
        <v>Beauty</v>
      </c>
      <c r="C1014" s="2">
        <f>COUNTIF(tbl_raw[Product_Name],A1014)</f>
        <v>1</v>
      </c>
      <c r="D1014" s="2">
        <f>SUMIFS(tbl_raw[Units_Sold],tbl_raw[Product_Name],A1014)</f>
        <v>16</v>
      </c>
      <c r="E1014" s="3">
        <f>SUMIFS(tbl_raw[Net_Profit],tbl_raw[Product_Name],A1014)</f>
        <v>28640</v>
      </c>
      <c r="F1014" s="2">
        <f>SUMIFS(tbl_raw[Return_Flag],tbl_raw[Product_Name],A1014)</f>
        <v>0</v>
      </c>
      <c r="G1014" s="3" cm="1">
        <f t="array" ref="G1014">SUMPRODUCT((tbl_raw[Product_Name]=A1014)*(tbl_raw[MRP]-tbl_raw[Selling_Price])*tbl_raw[Units_Sold])</f>
        <v>18480</v>
      </c>
      <c r="H1014" s="83">
        <f>AVERAGEIFS(tbl_raw[Discount_Pct],tbl_raw[Product_Name],A1014)</f>
        <v>0.18</v>
      </c>
    </row>
    <row r="1015" spans="1:8" hidden="1" x14ac:dyDescent="0.25">
      <c r="A1015" s="2" t="str">
        <v>Rice - Model 353</v>
      </c>
      <c r="B1015" s="2" t="str">
        <f>_xlfn.XLOOKUP(A1015,tbl_raw[Product_Name],tbl_raw[Category])</f>
        <v>Grocery</v>
      </c>
      <c r="C1015" s="2">
        <f>COUNTIF(tbl_raw[Product_Name],A1015)</f>
        <v>1</v>
      </c>
      <c r="D1015" s="2">
        <f>SUMIFS(tbl_raw[Units_Sold],tbl_raw[Product_Name],A1015)</f>
        <v>4</v>
      </c>
      <c r="E1015" s="3">
        <f>SUMIFS(tbl_raw[Net_Profit],tbl_raw[Product_Name],A1015)</f>
        <v>-716</v>
      </c>
      <c r="F1015" s="2">
        <f>SUMIFS(tbl_raw[Return_Flag],tbl_raw[Product_Name],A1015)</f>
        <v>1</v>
      </c>
      <c r="G1015" s="3" cm="1">
        <f t="array" ref="G1015">SUMPRODUCT((tbl_raw[Product_Name]=A1015)*(tbl_raw[MRP]-tbl_raw[Selling_Price])*tbl_raw[Units_Sold])</f>
        <v>2708</v>
      </c>
      <c r="H1015" s="83">
        <f>AVERAGEIFS(tbl_raw[Discount_Pct],tbl_raw[Product_Name],A1015)</f>
        <v>0.43</v>
      </c>
    </row>
    <row r="1016" spans="1:8" hidden="1" x14ac:dyDescent="0.25">
      <c r="A1016" s="2" t="str">
        <v>Spices - Model 521</v>
      </c>
      <c r="B1016" s="2" t="str">
        <f>_xlfn.XLOOKUP(A1016,tbl_raw[Product_Name],tbl_raw[Category])</f>
        <v>Grocery</v>
      </c>
      <c r="C1016" s="2">
        <f>COUNTIF(tbl_raw[Product_Name],A1016)</f>
        <v>1</v>
      </c>
      <c r="D1016" s="2">
        <f>SUMIFS(tbl_raw[Units_Sold],tbl_raw[Product_Name],A1016)</f>
        <v>1</v>
      </c>
      <c r="E1016" s="3">
        <f>SUMIFS(tbl_raw[Net_Profit],tbl_raw[Product_Name],A1016)</f>
        <v>-3</v>
      </c>
      <c r="F1016" s="2">
        <f>SUMIFS(tbl_raw[Return_Flag],tbl_raw[Product_Name],A1016)</f>
        <v>0</v>
      </c>
      <c r="G1016" s="3" cm="1">
        <f t="array" ref="G1016">SUMPRODUCT((tbl_raw[Product_Name]=A1016)*(tbl_raw[MRP]-tbl_raw[Selling_Price])*tbl_raw[Units_Sold])</f>
        <v>568</v>
      </c>
      <c r="H1016" s="83">
        <f>AVERAGEIFS(tbl_raw[Discount_Pct],tbl_raw[Product_Name],A1016)</f>
        <v>0.23</v>
      </c>
    </row>
    <row r="1017" spans="1:8" hidden="1" x14ac:dyDescent="0.25">
      <c r="A1017" s="2" t="str">
        <v>Remote Car - Model 928</v>
      </c>
      <c r="B1017" s="2" t="str">
        <f>_xlfn.XLOOKUP(A1017,tbl_raw[Product_Name],tbl_raw[Category])</f>
        <v>Toys</v>
      </c>
      <c r="C1017" s="2">
        <f>COUNTIF(tbl_raw[Product_Name],A1017)</f>
        <v>1</v>
      </c>
      <c r="D1017" s="2">
        <f>SUMIFS(tbl_raw[Units_Sold],tbl_raw[Product_Name],A1017)</f>
        <v>14</v>
      </c>
      <c r="E1017" s="3">
        <f>SUMIFS(tbl_raw[Net_Profit],tbl_raw[Product_Name],A1017)</f>
        <v>2506</v>
      </c>
      <c r="F1017" s="2">
        <f>SUMIFS(tbl_raw[Return_Flag],tbl_raw[Product_Name],A1017)</f>
        <v>0</v>
      </c>
      <c r="G1017" s="3" cm="1">
        <f t="array" ref="G1017">SUMPRODUCT((tbl_raw[Product_Name]=A1017)*(tbl_raw[MRP]-tbl_raw[Selling_Price])*tbl_raw[Units_Sold])</f>
        <v>18998</v>
      </c>
      <c r="H1017" s="83">
        <f>AVERAGEIFS(tbl_raw[Discount_Pct],tbl_raw[Product_Name],A1017)</f>
        <v>0.41</v>
      </c>
    </row>
    <row r="1018" spans="1:8" hidden="1" x14ac:dyDescent="0.25">
      <c r="A1018" s="2" t="str">
        <v>Sunscreen - Model 996</v>
      </c>
      <c r="B1018" s="2" t="str">
        <f>_xlfn.XLOOKUP(A1018,tbl_raw[Product_Name],tbl_raw[Category])</f>
        <v>Beauty</v>
      </c>
      <c r="C1018" s="2">
        <f>COUNTIF(tbl_raw[Product_Name],A1018)</f>
        <v>1</v>
      </c>
      <c r="D1018" s="2">
        <f>SUMIFS(tbl_raw[Units_Sold],tbl_raw[Product_Name],A1018)</f>
        <v>18</v>
      </c>
      <c r="E1018" s="3">
        <f>SUMIFS(tbl_raw[Net_Profit],tbl_raw[Product_Name],A1018)</f>
        <v>-2574</v>
      </c>
      <c r="F1018" s="2">
        <f>SUMIFS(tbl_raw[Return_Flag],tbl_raw[Product_Name],A1018)</f>
        <v>0</v>
      </c>
      <c r="G1018" s="3" cm="1">
        <f t="array" ref="G1018">SUMPRODUCT((tbl_raw[Product_Name]=A1018)*(tbl_raw[MRP]-tbl_raw[Selling_Price])*tbl_raw[Units_Sold])</f>
        <v>9108</v>
      </c>
      <c r="H1018" s="83">
        <f>AVERAGEIFS(tbl_raw[Discount_Pct],tbl_raw[Product_Name],A1018)</f>
        <v>0.28000000000000003</v>
      </c>
    </row>
    <row r="1019" spans="1:8" hidden="1" x14ac:dyDescent="0.25">
      <c r="A1019" s="2" t="str">
        <v>Action Figure - Model 899</v>
      </c>
      <c r="B1019" s="2" t="str">
        <f>_xlfn.XLOOKUP(A1019,tbl_raw[Product_Name],tbl_raw[Category])</f>
        <v>Toys</v>
      </c>
      <c r="C1019" s="2">
        <f>COUNTIF(tbl_raw[Product_Name],A1019)</f>
        <v>1</v>
      </c>
      <c r="D1019" s="2">
        <f>SUMIFS(tbl_raw[Units_Sold],tbl_raw[Product_Name],A1019)</f>
        <v>12</v>
      </c>
      <c r="E1019" s="3">
        <f>SUMIFS(tbl_raw[Net_Profit],tbl_raw[Product_Name],A1019)</f>
        <v>7668</v>
      </c>
      <c r="F1019" s="2">
        <f>SUMIFS(tbl_raw[Return_Flag],tbl_raw[Product_Name],A1019)</f>
        <v>0</v>
      </c>
      <c r="G1019" s="3" cm="1">
        <f t="array" ref="G1019">SUMPRODUCT((tbl_raw[Product_Name]=A1019)*(tbl_raw[MRP]-tbl_raw[Selling_Price])*tbl_raw[Units_Sold])</f>
        <v>18540</v>
      </c>
      <c r="H1019" s="83">
        <f>AVERAGEIFS(tbl_raw[Discount_Pct],tbl_raw[Product_Name],A1019)</f>
        <v>0.25</v>
      </c>
    </row>
    <row r="1020" spans="1:8" hidden="1" x14ac:dyDescent="0.25">
      <c r="A1020" s="2" t="str">
        <v>Lipstick - Model 920</v>
      </c>
      <c r="B1020" s="2" t="str">
        <f>_xlfn.XLOOKUP(A1020,tbl_raw[Product_Name],tbl_raw[Category])</f>
        <v>Beauty</v>
      </c>
      <c r="C1020" s="2">
        <f>COUNTIF(tbl_raw[Product_Name],A1020)</f>
        <v>1</v>
      </c>
      <c r="D1020" s="2">
        <f>SUMIFS(tbl_raw[Units_Sold],tbl_raw[Product_Name],A1020)</f>
        <v>12</v>
      </c>
      <c r="E1020" s="3">
        <f>SUMIFS(tbl_raw[Net_Profit],tbl_raw[Product_Name],A1020)</f>
        <v>6084</v>
      </c>
      <c r="F1020" s="2">
        <f>SUMIFS(tbl_raw[Return_Flag],tbl_raw[Product_Name],A1020)</f>
        <v>1</v>
      </c>
      <c r="G1020" s="3" cm="1">
        <f t="array" ref="G1020">SUMPRODUCT((tbl_raw[Product_Name]=A1020)*(tbl_raw[MRP]-tbl_raw[Selling_Price])*tbl_raw[Units_Sold])</f>
        <v>3348</v>
      </c>
      <c r="H1020" s="83">
        <f>AVERAGEIFS(tbl_raw[Discount_Pct],tbl_raw[Product_Name],A1020)</f>
        <v>0.1</v>
      </c>
    </row>
    <row r="1021" spans="1:8" hidden="1" x14ac:dyDescent="0.25">
      <c r="A1021" s="2" t="str">
        <v>Remote Car - Model 143</v>
      </c>
      <c r="B1021" s="2" t="str">
        <f>_xlfn.XLOOKUP(A1021,tbl_raw[Product_Name],tbl_raw[Category])</f>
        <v>Toys</v>
      </c>
      <c r="C1021" s="2">
        <f>COUNTIF(tbl_raw[Product_Name],A1021)</f>
        <v>1</v>
      </c>
      <c r="D1021" s="2">
        <f>SUMIFS(tbl_raw[Units_Sold],tbl_raw[Product_Name],A1021)</f>
        <v>10</v>
      </c>
      <c r="E1021" s="3">
        <f>SUMIFS(tbl_raw[Net_Profit],tbl_raw[Product_Name],A1021)</f>
        <v>5190</v>
      </c>
      <c r="F1021" s="2">
        <f>SUMIFS(tbl_raw[Return_Flag],tbl_raw[Product_Name],A1021)</f>
        <v>1</v>
      </c>
      <c r="G1021" s="3" cm="1">
        <f t="array" ref="G1021">SUMPRODUCT((tbl_raw[Product_Name]=A1021)*(tbl_raw[MRP]-tbl_raw[Selling_Price])*tbl_raw[Units_Sold])</f>
        <v>2550</v>
      </c>
      <c r="H1021" s="83">
        <f>AVERAGEIFS(tbl_raw[Discount_Pct],tbl_raw[Product_Name],A1021)</f>
        <v>0.1</v>
      </c>
    </row>
    <row r="1022" spans="1:8" hidden="1" x14ac:dyDescent="0.25">
      <c r="A1022" s="2" t="str">
        <v>Board Game - Model 937</v>
      </c>
      <c r="B1022" s="2" t="str">
        <f>_xlfn.XLOOKUP(A1022,tbl_raw[Product_Name],tbl_raw[Category])</f>
        <v>Toys</v>
      </c>
      <c r="C1022" s="2">
        <f>COUNTIF(tbl_raw[Product_Name],A1022)</f>
        <v>1</v>
      </c>
      <c r="D1022" s="2">
        <f>SUMIFS(tbl_raw[Units_Sold],tbl_raw[Product_Name],A1022)</f>
        <v>3</v>
      </c>
      <c r="E1022" s="3">
        <f>SUMIFS(tbl_raw[Net_Profit],tbl_raw[Product_Name],A1022)</f>
        <v>-123</v>
      </c>
      <c r="F1022" s="2">
        <f>SUMIFS(tbl_raw[Return_Flag],tbl_raw[Product_Name],A1022)</f>
        <v>0</v>
      </c>
      <c r="G1022" s="3" cm="1">
        <f t="array" ref="G1022">SUMPRODUCT((tbl_raw[Product_Name]=A1022)*(tbl_raw[MRP]-tbl_raw[Selling_Price])*tbl_raw[Units_Sold])</f>
        <v>549</v>
      </c>
      <c r="H1022" s="83">
        <f>AVERAGEIFS(tbl_raw[Discount_Pct],tbl_raw[Product_Name],A1022)</f>
        <v>0.23</v>
      </c>
    </row>
    <row r="1023" spans="1:8" hidden="1" x14ac:dyDescent="0.25">
      <c r="A1023" s="2" t="str">
        <v>Jacket - Model 911</v>
      </c>
      <c r="B1023" s="2" t="str">
        <f>_xlfn.XLOOKUP(A1023,tbl_raw[Product_Name],tbl_raw[Category])</f>
        <v>Fashion</v>
      </c>
      <c r="C1023" s="2">
        <f>COUNTIF(tbl_raw[Product_Name],A1023)</f>
        <v>1</v>
      </c>
      <c r="D1023" s="2">
        <f>SUMIFS(tbl_raw[Units_Sold],tbl_raw[Product_Name],A1023)</f>
        <v>7</v>
      </c>
      <c r="E1023" s="3">
        <f>SUMIFS(tbl_raw[Net_Profit],tbl_raw[Product_Name],A1023)</f>
        <v>-3682</v>
      </c>
      <c r="F1023" s="2">
        <f>SUMIFS(tbl_raw[Return_Flag],tbl_raw[Product_Name],A1023)</f>
        <v>0</v>
      </c>
      <c r="G1023" s="3" cm="1">
        <f t="array" ref="G1023">SUMPRODUCT((tbl_raw[Product_Name]=A1023)*(tbl_raw[MRP]-tbl_raw[Selling_Price])*tbl_raw[Units_Sold])</f>
        <v>18249</v>
      </c>
      <c r="H1023" s="83">
        <f>AVERAGEIFS(tbl_raw[Discount_Pct],tbl_raw[Product_Name],A1023)</f>
        <v>0.39</v>
      </c>
    </row>
    <row r="1024" spans="1:8" hidden="1" x14ac:dyDescent="0.25">
      <c r="A1024" s="2" t="str">
        <v>Pulses - Model 398</v>
      </c>
      <c r="B1024" s="2" t="str">
        <f>_xlfn.XLOOKUP(A1024,tbl_raw[Product_Name],tbl_raw[Category])</f>
        <v>Grocery</v>
      </c>
      <c r="C1024" s="2">
        <f>COUNTIF(tbl_raw[Product_Name],A1024)</f>
        <v>1</v>
      </c>
      <c r="D1024" s="2">
        <f>SUMIFS(tbl_raw[Units_Sold],tbl_raw[Product_Name],A1024)</f>
        <v>3</v>
      </c>
      <c r="E1024" s="3">
        <f>SUMIFS(tbl_raw[Net_Profit],tbl_raw[Product_Name],A1024)</f>
        <v>1653</v>
      </c>
      <c r="F1024" s="2">
        <f>SUMIFS(tbl_raw[Return_Flag],tbl_raw[Product_Name],A1024)</f>
        <v>0</v>
      </c>
      <c r="G1024" s="3" cm="1">
        <f t="array" ref="G1024">SUMPRODUCT((tbl_raw[Product_Name]=A1024)*(tbl_raw[MRP]-tbl_raw[Selling_Price])*tbl_raw[Units_Sold])</f>
        <v>1044</v>
      </c>
      <c r="H1024" s="83">
        <f>AVERAGEIFS(tbl_raw[Discount_Pct],tbl_raw[Product_Name],A1024)</f>
        <v>0.18</v>
      </c>
    </row>
    <row r="1025" spans="1:8" hidden="1" x14ac:dyDescent="0.25">
      <c r="A1025" s="2" t="str">
        <v>Puzzle - Model 881</v>
      </c>
      <c r="B1025" s="2" t="str">
        <f>_xlfn.XLOOKUP(A1025,tbl_raw[Product_Name],tbl_raw[Category])</f>
        <v>Toys</v>
      </c>
      <c r="C1025" s="2">
        <f>COUNTIF(tbl_raw[Product_Name],A1025)</f>
        <v>1</v>
      </c>
      <c r="D1025" s="2">
        <f>SUMIFS(tbl_raw[Units_Sold],tbl_raw[Product_Name],A1025)</f>
        <v>4</v>
      </c>
      <c r="E1025" s="3">
        <f>SUMIFS(tbl_raw[Net_Profit],tbl_raw[Product_Name],A1025)</f>
        <v>4356</v>
      </c>
      <c r="F1025" s="2">
        <f>SUMIFS(tbl_raw[Return_Flag],tbl_raw[Product_Name],A1025)</f>
        <v>0</v>
      </c>
      <c r="G1025" s="3" cm="1">
        <f t="array" ref="G1025">SUMPRODUCT((tbl_raw[Product_Name]=A1025)*(tbl_raw[MRP]-tbl_raw[Selling_Price])*tbl_raw[Units_Sold])</f>
        <v>3876</v>
      </c>
      <c r="H1025" s="83">
        <f>AVERAGEIFS(tbl_raw[Discount_Pct],tbl_raw[Product_Name],A1025)</f>
        <v>0.26</v>
      </c>
    </row>
    <row r="1026" spans="1:8" hidden="1" x14ac:dyDescent="0.25">
      <c r="A1026" s="2" t="str">
        <v>Self-Help - Model 929</v>
      </c>
      <c r="B1026" s="2" t="str">
        <f>_xlfn.XLOOKUP(A1026,tbl_raw[Product_Name],tbl_raw[Category])</f>
        <v>Books</v>
      </c>
      <c r="C1026" s="2">
        <f>COUNTIF(tbl_raw[Product_Name],A1026)</f>
        <v>1</v>
      </c>
      <c r="D1026" s="2">
        <f>SUMIFS(tbl_raw[Units_Sold],tbl_raw[Product_Name],A1026)</f>
        <v>4</v>
      </c>
      <c r="E1026" s="3">
        <f>SUMIFS(tbl_raw[Net_Profit],tbl_raw[Product_Name],A1026)</f>
        <v>2820</v>
      </c>
      <c r="F1026" s="2">
        <f>SUMIFS(tbl_raw[Return_Flag],tbl_raw[Product_Name],A1026)</f>
        <v>0</v>
      </c>
      <c r="G1026" s="3" cm="1">
        <f t="array" ref="G1026">SUMPRODUCT((tbl_raw[Product_Name]=A1026)*(tbl_raw[MRP]-tbl_raw[Selling_Price])*tbl_raw[Units_Sold])</f>
        <v>1648</v>
      </c>
      <c r="H1026" s="83">
        <f>AVERAGEIFS(tbl_raw[Discount_Pct],tbl_raw[Product_Name],A1026)</f>
        <v>0.09</v>
      </c>
    </row>
    <row r="1027" spans="1:8" hidden="1" x14ac:dyDescent="0.25">
      <c r="A1027" s="2" t="str">
        <v>Moisturizer - Model 885</v>
      </c>
      <c r="B1027" s="2" t="str">
        <f>_xlfn.XLOOKUP(A1027,tbl_raw[Product_Name],tbl_raw[Category])</f>
        <v>Beauty</v>
      </c>
      <c r="C1027" s="2">
        <f>COUNTIF(tbl_raw[Product_Name],A1027)</f>
        <v>1</v>
      </c>
      <c r="D1027" s="2">
        <f>SUMIFS(tbl_raw[Units_Sold],tbl_raw[Product_Name],A1027)</f>
        <v>9</v>
      </c>
      <c r="E1027" s="3">
        <f>SUMIFS(tbl_raw[Net_Profit],tbl_raw[Product_Name],A1027)</f>
        <v>-990</v>
      </c>
      <c r="F1027" s="2">
        <f>SUMIFS(tbl_raw[Return_Flag],tbl_raw[Product_Name],A1027)</f>
        <v>0</v>
      </c>
      <c r="G1027" s="3" cm="1">
        <f t="array" ref="G1027">SUMPRODUCT((tbl_raw[Product_Name]=A1027)*(tbl_raw[MRP]-tbl_raw[Selling_Price])*tbl_raw[Units_Sold])</f>
        <v>10134</v>
      </c>
      <c r="H1027" s="83">
        <f>AVERAGEIFS(tbl_raw[Discount_Pct],tbl_raw[Product_Name],A1027)</f>
        <v>0.33</v>
      </c>
    </row>
    <row r="1028" spans="1:8" hidden="1" x14ac:dyDescent="0.25">
      <c r="A1028" s="2" t="str">
        <v>Sunscreen - Model 913</v>
      </c>
      <c r="B1028" s="2" t="str">
        <f>_xlfn.XLOOKUP(A1028,tbl_raw[Product_Name],tbl_raw[Category])</f>
        <v>Beauty</v>
      </c>
      <c r="C1028" s="2">
        <f>COUNTIF(tbl_raw[Product_Name],A1028)</f>
        <v>1</v>
      </c>
      <c r="D1028" s="2">
        <f>SUMIFS(tbl_raw[Units_Sold],tbl_raw[Product_Name],A1028)</f>
        <v>18</v>
      </c>
      <c r="E1028" s="3">
        <f>SUMIFS(tbl_raw[Net_Profit],tbl_raw[Product_Name],A1028)</f>
        <v>4662</v>
      </c>
      <c r="F1028" s="2">
        <f>SUMIFS(tbl_raw[Return_Flag],tbl_raw[Product_Name],A1028)</f>
        <v>0</v>
      </c>
      <c r="G1028" s="3" cm="1">
        <f t="array" ref="G1028">SUMPRODUCT((tbl_raw[Product_Name]=A1028)*(tbl_raw[MRP]-tbl_raw[Selling_Price])*tbl_raw[Units_Sold])</f>
        <v>31734</v>
      </c>
      <c r="H1028" s="83">
        <f>AVERAGEIFS(tbl_raw[Discount_Pct],tbl_raw[Product_Name],A1028)</f>
        <v>0.43</v>
      </c>
    </row>
    <row r="1029" spans="1:8" hidden="1" x14ac:dyDescent="0.25">
      <c r="A1029" s="2" t="str">
        <v>Shoes - Model 816</v>
      </c>
      <c r="B1029" s="2" t="str">
        <f>_xlfn.XLOOKUP(A1029,tbl_raw[Product_Name],tbl_raw[Category])</f>
        <v>Fashion</v>
      </c>
      <c r="C1029" s="2">
        <f>COUNTIF(tbl_raw[Product_Name],A1029)</f>
        <v>1</v>
      </c>
      <c r="D1029" s="2">
        <f>SUMIFS(tbl_raw[Units_Sold],tbl_raw[Product_Name],A1029)</f>
        <v>13</v>
      </c>
      <c r="E1029" s="3">
        <f>SUMIFS(tbl_raw[Net_Profit],tbl_raw[Product_Name],A1029)</f>
        <v>5707</v>
      </c>
      <c r="F1029" s="2">
        <f>SUMIFS(tbl_raw[Return_Flag],tbl_raw[Product_Name],A1029)</f>
        <v>0</v>
      </c>
      <c r="G1029" s="3" cm="1">
        <f t="array" ref="G1029">SUMPRODUCT((tbl_raw[Product_Name]=A1029)*(tbl_raw[MRP]-tbl_raw[Selling_Price])*tbl_raw[Units_Sold])</f>
        <v>156</v>
      </c>
      <c r="H1029" s="83">
        <f>AVERAGEIFS(tbl_raw[Discount_Pct],tbl_raw[Product_Name],A1029)</f>
        <v>0.01</v>
      </c>
    </row>
    <row r="1030" spans="1:8" hidden="1" x14ac:dyDescent="0.25">
      <c r="A1030" s="2" t="str">
        <v>Oil - Model 741</v>
      </c>
      <c r="B1030" s="2" t="str">
        <f>_xlfn.XLOOKUP(A1030,tbl_raw[Product_Name],tbl_raw[Category])</f>
        <v>Grocery</v>
      </c>
      <c r="C1030" s="2">
        <f>COUNTIF(tbl_raw[Product_Name],A1030)</f>
        <v>1</v>
      </c>
      <c r="D1030" s="2">
        <f>SUMIFS(tbl_raw[Units_Sold],tbl_raw[Product_Name],A1030)</f>
        <v>16</v>
      </c>
      <c r="E1030" s="3">
        <f>SUMIFS(tbl_raw[Net_Profit],tbl_raw[Product_Name],A1030)</f>
        <v>832</v>
      </c>
      <c r="F1030" s="2">
        <f>SUMIFS(tbl_raw[Return_Flag],tbl_raw[Product_Name],A1030)</f>
        <v>0</v>
      </c>
      <c r="G1030" s="3" cm="1">
        <f t="array" ref="G1030">SUMPRODUCT((tbl_raw[Product_Name]=A1030)*(tbl_raw[MRP]-tbl_raw[Selling_Price])*tbl_raw[Units_Sold])</f>
        <v>8048</v>
      </c>
      <c r="H1030" s="83">
        <f>AVERAGEIFS(tbl_raw[Discount_Pct],tbl_raw[Product_Name],A1030)</f>
        <v>0.39</v>
      </c>
    </row>
    <row r="1031" spans="1:8" hidden="1" x14ac:dyDescent="0.25">
      <c r="A1031" s="2" t="str">
        <v>Comic - Model 480</v>
      </c>
      <c r="B1031" s="2" t="str">
        <f>_xlfn.XLOOKUP(A1031,tbl_raw[Product_Name],tbl_raw[Category])</f>
        <v>Books</v>
      </c>
      <c r="C1031" s="2">
        <f>COUNTIF(tbl_raw[Product_Name],A1031)</f>
        <v>1</v>
      </c>
      <c r="D1031" s="2">
        <f>SUMIFS(tbl_raw[Units_Sold],tbl_raw[Product_Name],A1031)</f>
        <v>6</v>
      </c>
      <c r="E1031" s="3">
        <f>SUMIFS(tbl_raw[Net_Profit],tbl_raw[Product_Name],A1031)</f>
        <v>1524</v>
      </c>
      <c r="F1031" s="2">
        <f>SUMIFS(tbl_raw[Return_Flag],tbl_raw[Product_Name],A1031)</f>
        <v>0</v>
      </c>
      <c r="G1031" s="3" cm="1">
        <f t="array" ref="G1031">SUMPRODUCT((tbl_raw[Product_Name]=A1031)*(tbl_raw[MRP]-tbl_raw[Selling_Price])*tbl_raw[Units_Sold])</f>
        <v>1878</v>
      </c>
      <c r="H1031" s="83">
        <f>AVERAGEIFS(tbl_raw[Discount_Pct],tbl_raw[Product_Name],A1031)</f>
        <v>0.24</v>
      </c>
    </row>
    <row r="1032" spans="1:8" hidden="1" x14ac:dyDescent="0.25">
      <c r="A1032" s="2" t="str">
        <v>Rice - Model 196</v>
      </c>
      <c r="B1032" s="2" t="str">
        <f>_xlfn.XLOOKUP(A1032,tbl_raw[Product_Name],tbl_raw[Category])</f>
        <v>Grocery</v>
      </c>
      <c r="C1032" s="2">
        <f>COUNTIF(tbl_raw[Product_Name],A1032)</f>
        <v>1</v>
      </c>
      <c r="D1032" s="2">
        <f>SUMIFS(tbl_raw[Units_Sold],tbl_raw[Product_Name],A1032)</f>
        <v>20</v>
      </c>
      <c r="E1032" s="3">
        <f>SUMIFS(tbl_raw[Net_Profit],tbl_raw[Product_Name],A1032)</f>
        <v>29140</v>
      </c>
      <c r="F1032" s="2">
        <f>SUMIFS(tbl_raw[Return_Flag],tbl_raw[Product_Name],A1032)</f>
        <v>0</v>
      </c>
      <c r="G1032" s="3" cm="1">
        <f t="array" ref="G1032">SUMPRODUCT((tbl_raw[Product_Name]=A1032)*(tbl_raw[MRP]-tbl_raw[Selling_Price])*tbl_raw[Units_Sold])</f>
        <v>5400</v>
      </c>
      <c r="H1032" s="83">
        <f>AVERAGEIFS(tbl_raw[Discount_Pct],tbl_raw[Product_Name],A1032)</f>
        <v>7.0000000000000007E-2</v>
      </c>
    </row>
    <row r="1033" spans="1:8" hidden="1" x14ac:dyDescent="0.25">
      <c r="A1033" s="2" t="str">
        <v>Dumbbells - Model 698</v>
      </c>
      <c r="B1033" s="2" t="str">
        <f>_xlfn.XLOOKUP(A1033,tbl_raw[Product_Name],tbl_raw[Category])</f>
        <v>Sports</v>
      </c>
      <c r="C1033" s="2">
        <f>COUNTIF(tbl_raw[Product_Name],A1033)</f>
        <v>1</v>
      </c>
      <c r="D1033" s="2">
        <f>SUMIFS(tbl_raw[Units_Sold],tbl_raw[Product_Name],A1033)</f>
        <v>12</v>
      </c>
      <c r="E1033" s="3">
        <f>SUMIFS(tbl_raw[Net_Profit],tbl_raw[Product_Name],A1033)</f>
        <v>18792</v>
      </c>
      <c r="F1033" s="2">
        <f>SUMIFS(tbl_raw[Return_Flag],tbl_raw[Product_Name],A1033)</f>
        <v>0</v>
      </c>
      <c r="G1033" s="3" cm="1">
        <f t="array" ref="G1033">SUMPRODUCT((tbl_raw[Product_Name]=A1033)*(tbl_raw[MRP]-tbl_raw[Selling_Price])*tbl_raw[Units_Sold])</f>
        <v>10956</v>
      </c>
      <c r="H1033" s="83">
        <f>AVERAGEIFS(tbl_raw[Discount_Pct],tbl_raw[Product_Name],A1033)</f>
        <v>0.18</v>
      </c>
    </row>
    <row r="1034" spans="1:8" hidden="1" x14ac:dyDescent="0.25">
      <c r="A1034" s="2" t="str">
        <v>Cricket Bat - Model 369</v>
      </c>
      <c r="B1034" s="2" t="str">
        <f>_xlfn.XLOOKUP(A1034,tbl_raw[Product_Name],tbl_raw[Category])</f>
        <v>Sports</v>
      </c>
      <c r="C1034" s="2">
        <f>COUNTIF(tbl_raw[Product_Name],A1034)</f>
        <v>1</v>
      </c>
      <c r="D1034" s="2">
        <f>SUMIFS(tbl_raw[Units_Sold],tbl_raw[Product_Name],A1034)</f>
        <v>4</v>
      </c>
      <c r="E1034" s="3">
        <f>SUMIFS(tbl_raw[Net_Profit],tbl_raw[Product_Name],A1034)</f>
        <v>292</v>
      </c>
      <c r="F1034" s="2">
        <f>SUMIFS(tbl_raw[Return_Flag],tbl_raw[Product_Name],A1034)</f>
        <v>0</v>
      </c>
      <c r="G1034" s="3" cm="1">
        <f t="array" ref="G1034">SUMPRODUCT((tbl_raw[Product_Name]=A1034)*(tbl_raw[MRP]-tbl_raw[Selling_Price])*tbl_raw[Units_Sold])</f>
        <v>1140</v>
      </c>
      <c r="H1034" s="83">
        <f>AVERAGEIFS(tbl_raw[Discount_Pct],tbl_raw[Product_Name],A1034)</f>
        <v>0.24</v>
      </c>
    </row>
    <row r="1035" spans="1:8" hidden="1" x14ac:dyDescent="0.25">
      <c r="A1035" s="2" t="str">
        <v>Oil - Model 272</v>
      </c>
      <c r="B1035" s="2" t="str">
        <f>_xlfn.XLOOKUP(A1035,tbl_raw[Product_Name],tbl_raw[Category])</f>
        <v>Grocery</v>
      </c>
      <c r="C1035" s="2">
        <f>COUNTIF(tbl_raw[Product_Name],A1035)</f>
        <v>1</v>
      </c>
      <c r="D1035" s="2">
        <f>SUMIFS(tbl_raw[Units_Sold],tbl_raw[Product_Name],A1035)</f>
        <v>8</v>
      </c>
      <c r="E1035" s="3">
        <f>SUMIFS(tbl_raw[Net_Profit],tbl_raw[Product_Name],A1035)</f>
        <v>17240</v>
      </c>
      <c r="F1035" s="2">
        <f>SUMIFS(tbl_raw[Return_Flag],tbl_raw[Product_Name],A1035)</f>
        <v>0</v>
      </c>
      <c r="G1035" s="3" cm="1">
        <f t="array" ref="G1035">SUMPRODUCT((tbl_raw[Product_Name]=A1035)*(tbl_raw[MRP]-tbl_raw[Selling_Price])*tbl_raw[Units_Sold])</f>
        <v>2536</v>
      </c>
      <c r="H1035" s="83">
        <f>AVERAGEIFS(tbl_raw[Discount_Pct],tbl_raw[Product_Name],A1035)</f>
        <v>0.04</v>
      </c>
    </row>
    <row r="1036" spans="1:8" hidden="1" x14ac:dyDescent="0.25">
      <c r="A1036" s="2" t="str">
        <v>Lamp - Model 926</v>
      </c>
      <c r="B1036" s="2" t="str">
        <f>_xlfn.XLOOKUP(A1036,tbl_raw[Product_Name],tbl_raw[Category])</f>
        <v>Home &amp; Kitchen</v>
      </c>
      <c r="C1036" s="2">
        <f>COUNTIF(tbl_raw[Product_Name],A1036)</f>
        <v>1</v>
      </c>
      <c r="D1036" s="2">
        <f>SUMIFS(tbl_raw[Units_Sold],tbl_raw[Product_Name],A1036)</f>
        <v>14</v>
      </c>
      <c r="E1036" s="3">
        <f>SUMIFS(tbl_raw[Net_Profit],tbl_raw[Product_Name],A1036)</f>
        <v>20048</v>
      </c>
      <c r="F1036" s="2">
        <f>SUMIFS(tbl_raw[Return_Flag],tbl_raw[Product_Name],A1036)</f>
        <v>1</v>
      </c>
      <c r="G1036" s="3" cm="1">
        <f t="array" ref="G1036">SUMPRODUCT((tbl_raw[Product_Name]=A1036)*(tbl_raw[MRP]-tbl_raw[Selling_Price])*tbl_raw[Units_Sold])</f>
        <v>11312</v>
      </c>
      <c r="H1036" s="83">
        <f>AVERAGEIFS(tbl_raw[Discount_Pct],tbl_raw[Product_Name],A1036)</f>
        <v>0.15</v>
      </c>
    </row>
    <row r="1037" spans="1:8" hidden="1" x14ac:dyDescent="0.25">
      <c r="A1037" s="2" t="str">
        <v>Textbook - Model 958</v>
      </c>
      <c r="B1037" s="2" t="str">
        <f>_xlfn.XLOOKUP(A1037,tbl_raw[Product_Name],tbl_raw[Category])</f>
        <v>Books</v>
      </c>
      <c r="C1037" s="2">
        <f>COUNTIF(tbl_raw[Product_Name],A1037)</f>
        <v>1</v>
      </c>
      <c r="D1037" s="2">
        <f>SUMIFS(tbl_raw[Units_Sold],tbl_raw[Product_Name],A1037)</f>
        <v>11</v>
      </c>
      <c r="E1037" s="3">
        <f>SUMIFS(tbl_raw[Net_Profit],tbl_raw[Product_Name],A1037)</f>
        <v>-6435</v>
      </c>
      <c r="F1037" s="2">
        <f>SUMIFS(tbl_raw[Return_Flag],tbl_raw[Product_Name],A1037)</f>
        <v>0</v>
      </c>
      <c r="G1037" s="3" cm="1">
        <f t="array" ref="G1037">SUMPRODUCT((tbl_raw[Product_Name]=A1037)*(tbl_raw[MRP]-tbl_raw[Selling_Price])*tbl_raw[Units_Sold])</f>
        <v>19096</v>
      </c>
      <c r="H1037" s="83">
        <f>AVERAGEIFS(tbl_raw[Discount_Pct],tbl_raw[Product_Name],A1037)</f>
        <v>0.4</v>
      </c>
    </row>
    <row r="1038" spans="1:8" hidden="1" x14ac:dyDescent="0.25">
      <c r="A1038" s="2" t="str">
        <v>Rice - Model 801</v>
      </c>
      <c r="B1038" s="2" t="str">
        <f>_xlfn.XLOOKUP(A1038,tbl_raw[Product_Name],tbl_raw[Category])</f>
        <v>Grocery</v>
      </c>
      <c r="C1038" s="2">
        <f>COUNTIF(tbl_raw[Product_Name],A1038)</f>
        <v>1</v>
      </c>
      <c r="D1038" s="2">
        <f>SUMIFS(tbl_raw[Units_Sold],tbl_raw[Product_Name],A1038)</f>
        <v>18</v>
      </c>
      <c r="E1038" s="3">
        <f>SUMIFS(tbl_raw[Net_Profit],tbl_raw[Product_Name],A1038)</f>
        <v>29304</v>
      </c>
      <c r="F1038" s="2">
        <f>SUMIFS(tbl_raw[Return_Flag],tbl_raw[Product_Name],A1038)</f>
        <v>0</v>
      </c>
      <c r="G1038" s="3" cm="1">
        <f t="array" ref="G1038">SUMPRODUCT((tbl_raw[Product_Name]=A1038)*(tbl_raw[MRP]-tbl_raw[Selling_Price])*tbl_raw[Units_Sold])</f>
        <v>37674</v>
      </c>
      <c r="H1038" s="83">
        <f>AVERAGEIFS(tbl_raw[Discount_Pct],tbl_raw[Product_Name],A1038)</f>
        <v>0.28999999999999998</v>
      </c>
    </row>
    <row r="1039" spans="1:8" hidden="1" x14ac:dyDescent="0.25">
      <c r="A1039" s="2" t="str">
        <v>Perfume - Model 483</v>
      </c>
      <c r="B1039" s="2" t="str">
        <f>_xlfn.XLOOKUP(A1039,tbl_raw[Product_Name],tbl_raw[Category])</f>
        <v>Beauty</v>
      </c>
      <c r="C1039" s="2">
        <f>COUNTIF(tbl_raw[Product_Name],A1039)</f>
        <v>1</v>
      </c>
      <c r="D1039" s="2">
        <f>SUMIFS(tbl_raw[Units_Sold],tbl_raw[Product_Name],A1039)</f>
        <v>1</v>
      </c>
      <c r="E1039" s="3">
        <f>SUMIFS(tbl_raw[Net_Profit],tbl_raw[Product_Name],A1039)</f>
        <v>525</v>
      </c>
      <c r="F1039" s="2">
        <f>SUMIFS(tbl_raw[Return_Flag],tbl_raw[Product_Name],A1039)</f>
        <v>0</v>
      </c>
      <c r="G1039" s="3" cm="1">
        <f t="array" ref="G1039">SUMPRODUCT((tbl_raw[Product_Name]=A1039)*(tbl_raw[MRP]-tbl_raw[Selling_Price])*tbl_raw[Units_Sold])</f>
        <v>276</v>
      </c>
      <c r="H1039" s="83">
        <f>AVERAGEIFS(tbl_raw[Discount_Pct],tbl_raw[Product_Name],A1039)</f>
        <v>0.16</v>
      </c>
    </row>
    <row r="1040" spans="1:8" hidden="1" x14ac:dyDescent="0.25">
      <c r="A1040" s="2" t="str">
        <v>Tablet - Model 379</v>
      </c>
      <c r="B1040" s="2" t="str">
        <f>_xlfn.XLOOKUP(A1040,tbl_raw[Product_Name],tbl_raw[Category])</f>
        <v>Electronics</v>
      </c>
      <c r="C1040" s="2">
        <f>COUNTIF(tbl_raw[Product_Name],A1040)</f>
        <v>1</v>
      </c>
      <c r="D1040" s="2">
        <f>SUMIFS(tbl_raw[Units_Sold],tbl_raw[Product_Name],A1040)</f>
        <v>9</v>
      </c>
      <c r="E1040" s="3">
        <f>SUMIFS(tbl_raw[Net_Profit],tbl_raw[Product_Name],A1040)</f>
        <v>2124</v>
      </c>
      <c r="F1040" s="2">
        <f>SUMIFS(tbl_raw[Return_Flag],tbl_raw[Product_Name],A1040)</f>
        <v>0</v>
      </c>
      <c r="G1040" s="3" cm="1">
        <f t="array" ref="G1040">SUMPRODUCT((tbl_raw[Product_Name]=A1040)*(tbl_raw[MRP]-tbl_raw[Selling_Price])*tbl_raw[Units_Sold])</f>
        <v>8433</v>
      </c>
      <c r="H1040" s="83">
        <f>AVERAGEIFS(tbl_raw[Discount_Pct],tbl_raw[Product_Name],A1040)</f>
        <v>0.18</v>
      </c>
    </row>
    <row r="1041" spans="1:8" hidden="1" x14ac:dyDescent="0.25">
      <c r="A1041" s="2" t="str">
        <v>Spices - Model 747</v>
      </c>
      <c r="B1041" s="2" t="str">
        <f>_xlfn.XLOOKUP(A1041,tbl_raw[Product_Name],tbl_raw[Category])</f>
        <v>Grocery</v>
      </c>
      <c r="C1041" s="2">
        <f>COUNTIF(tbl_raw[Product_Name],A1041)</f>
        <v>1</v>
      </c>
      <c r="D1041" s="2">
        <f>SUMIFS(tbl_raw[Units_Sold],tbl_raw[Product_Name],A1041)</f>
        <v>16</v>
      </c>
      <c r="E1041" s="3">
        <f>SUMIFS(tbl_raw[Net_Profit],tbl_raw[Product_Name],A1041)</f>
        <v>-960</v>
      </c>
      <c r="F1041" s="2">
        <f>SUMIFS(tbl_raw[Return_Flag],tbl_raw[Product_Name],A1041)</f>
        <v>0</v>
      </c>
      <c r="G1041" s="3" cm="1">
        <f t="array" ref="G1041">SUMPRODUCT((tbl_raw[Product_Name]=A1041)*(tbl_raw[MRP]-tbl_raw[Selling_Price])*tbl_raw[Units_Sold])</f>
        <v>8464</v>
      </c>
      <c r="H1041" s="83">
        <f>AVERAGEIFS(tbl_raw[Discount_Pct],tbl_raw[Product_Name],A1041)</f>
        <v>0.34</v>
      </c>
    </row>
    <row r="1042" spans="1:8" hidden="1" x14ac:dyDescent="0.25">
      <c r="A1042" s="2" t="str">
        <v>Pressure Cooker - Model 184</v>
      </c>
      <c r="B1042" s="2" t="str">
        <f>_xlfn.XLOOKUP(A1042,tbl_raw[Product_Name],tbl_raw[Category])</f>
        <v>Home &amp; Kitchen</v>
      </c>
      <c r="C1042" s="2">
        <f>COUNTIF(tbl_raw[Product_Name],A1042)</f>
        <v>1</v>
      </c>
      <c r="D1042" s="2">
        <f>SUMIFS(tbl_raw[Units_Sold],tbl_raw[Product_Name],A1042)</f>
        <v>4</v>
      </c>
      <c r="E1042" s="3">
        <f>SUMIFS(tbl_raw[Net_Profit],tbl_raw[Product_Name],A1042)</f>
        <v>552</v>
      </c>
      <c r="F1042" s="2">
        <f>SUMIFS(tbl_raw[Return_Flag],tbl_raw[Product_Name],A1042)</f>
        <v>0</v>
      </c>
      <c r="G1042" s="3" cm="1">
        <f t="array" ref="G1042">SUMPRODUCT((tbl_raw[Product_Name]=A1042)*(tbl_raw[MRP]-tbl_raw[Selling_Price])*tbl_raw[Units_Sold])</f>
        <v>740</v>
      </c>
      <c r="H1042" s="83">
        <f>AVERAGEIFS(tbl_raw[Discount_Pct],tbl_raw[Product_Name],A1042)</f>
        <v>0.28999999999999998</v>
      </c>
    </row>
    <row r="1043" spans="1:8" hidden="1" x14ac:dyDescent="0.25">
      <c r="A1043" s="2" t="str">
        <v>Headphones - Model 957</v>
      </c>
      <c r="B1043" s="2" t="str">
        <f>_xlfn.XLOOKUP(A1043,tbl_raw[Product_Name],tbl_raw[Category])</f>
        <v>Electronics</v>
      </c>
      <c r="C1043" s="2">
        <f>COUNTIF(tbl_raw[Product_Name],A1043)</f>
        <v>1</v>
      </c>
      <c r="D1043" s="2">
        <f>SUMIFS(tbl_raw[Units_Sold],tbl_raw[Product_Name],A1043)</f>
        <v>6</v>
      </c>
      <c r="E1043" s="3">
        <f>SUMIFS(tbl_raw[Net_Profit],tbl_raw[Product_Name],A1043)</f>
        <v>-228</v>
      </c>
      <c r="F1043" s="2">
        <f>SUMIFS(tbl_raw[Return_Flag],tbl_raw[Product_Name],A1043)</f>
        <v>0</v>
      </c>
      <c r="G1043" s="3" cm="1">
        <f t="array" ref="G1043">SUMPRODUCT((tbl_raw[Product_Name]=A1043)*(tbl_raw[MRP]-tbl_raw[Selling_Price])*tbl_raw[Units_Sold])</f>
        <v>11334</v>
      </c>
      <c r="H1043" s="83">
        <f>AVERAGEIFS(tbl_raw[Discount_Pct],tbl_raw[Product_Name],A1043)</f>
        <v>0.26</v>
      </c>
    </row>
    <row r="1044" spans="1:8" hidden="1" x14ac:dyDescent="0.25">
      <c r="A1044" s="2" t="str">
        <v>Sunscreen - Model 251</v>
      </c>
      <c r="B1044" s="2" t="str">
        <f>_xlfn.XLOOKUP(A1044,tbl_raw[Product_Name],tbl_raw[Category])</f>
        <v>Beauty</v>
      </c>
      <c r="C1044" s="2">
        <f>COUNTIF(tbl_raw[Product_Name],A1044)</f>
        <v>1</v>
      </c>
      <c r="D1044" s="2">
        <f>SUMIFS(tbl_raw[Units_Sold],tbl_raw[Product_Name],A1044)</f>
        <v>3</v>
      </c>
      <c r="E1044" s="3">
        <f>SUMIFS(tbl_raw[Net_Profit],tbl_raw[Product_Name],A1044)</f>
        <v>1302</v>
      </c>
      <c r="F1044" s="2">
        <f>SUMIFS(tbl_raw[Return_Flag],tbl_raw[Product_Name],A1044)</f>
        <v>0</v>
      </c>
      <c r="G1044" s="3" cm="1">
        <f t="array" ref="G1044">SUMPRODUCT((tbl_raw[Product_Name]=A1044)*(tbl_raw[MRP]-tbl_raw[Selling_Price])*tbl_raw[Units_Sold])</f>
        <v>93</v>
      </c>
      <c r="H1044" s="83">
        <f>AVERAGEIFS(tbl_raw[Discount_Pct],tbl_raw[Product_Name],A1044)</f>
        <v>0.02</v>
      </c>
    </row>
    <row r="1045" spans="1:8" hidden="1" x14ac:dyDescent="0.25">
      <c r="A1045" s="2" t="str">
        <v>Cycle - Model 459</v>
      </c>
      <c r="B1045" s="2" t="str">
        <f>_xlfn.XLOOKUP(A1045,tbl_raw[Product_Name],tbl_raw[Category])</f>
        <v>Sports</v>
      </c>
      <c r="C1045" s="2">
        <f>COUNTIF(tbl_raw[Product_Name],A1045)</f>
        <v>1</v>
      </c>
      <c r="D1045" s="2">
        <f>SUMIFS(tbl_raw[Units_Sold],tbl_raw[Product_Name],A1045)</f>
        <v>11</v>
      </c>
      <c r="E1045" s="3">
        <f>SUMIFS(tbl_raw[Net_Profit],tbl_raw[Product_Name],A1045)</f>
        <v>6149</v>
      </c>
      <c r="F1045" s="2">
        <f>SUMIFS(tbl_raw[Return_Flag],tbl_raw[Product_Name],A1045)</f>
        <v>0</v>
      </c>
      <c r="G1045" s="3" cm="1">
        <f t="array" ref="G1045">SUMPRODUCT((tbl_raw[Product_Name]=A1045)*(tbl_raw[MRP]-tbl_raw[Selling_Price])*tbl_raw[Units_Sold])</f>
        <v>16038</v>
      </c>
      <c r="H1045" s="83">
        <f>AVERAGEIFS(tbl_raw[Discount_Pct],tbl_raw[Product_Name],A1045)</f>
        <v>0.38</v>
      </c>
    </row>
    <row r="1046" spans="1:8" hidden="1" x14ac:dyDescent="0.25">
      <c r="A1046" s="2" t="str">
        <v>Bedsheet - Model 705</v>
      </c>
      <c r="B1046" s="2" t="str">
        <f>_xlfn.XLOOKUP(A1046,tbl_raw[Product_Name],tbl_raw[Category])</f>
        <v>Home &amp; Kitchen</v>
      </c>
      <c r="C1046" s="2">
        <f>COUNTIF(tbl_raw[Product_Name],A1046)</f>
        <v>1</v>
      </c>
      <c r="D1046" s="2">
        <f>SUMIFS(tbl_raw[Units_Sold],tbl_raw[Product_Name],A1046)</f>
        <v>6</v>
      </c>
      <c r="E1046" s="3">
        <f>SUMIFS(tbl_raw[Net_Profit],tbl_raw[Product_Name],A1046)</f>
        <v>13812</v>
      </c>
      <c r="F1046" s="2">
        <f>SUMIFS(tbl_raw[Return_Flag],tbl_raw[Product_Name],A1046)</f>
        <v>1</v>
      </c>
      <c r="G1046" s="3" cm="1">
        <f t="array" ref="G1046">SUMPRODUCT((tbl_raw[Product_Name]=A1046)*(tbl_raw[MRP]-tbl_raw[Selling_Price])*tbl_raw[Units_Sold])</f>
        <v>3810</v>
      </c>
      <c r="H1046" s="83">
        <f>AVERAGEIFS(tbl_raw[Discount_Pct],tbl_raw[Product_Name],A1046)</f>
        <v>0.1</v>
      </c>
    </row>
    <row r="1047" spans="1:8" hidden="1" x14ac:dyDescent="0.25">
      <c r="A1047" s="2" t="str">
        <v>Bedsheet - Model 154</v>
      </c>
      <c r="B1047" s="2" t="str">
        <f>_xlfn.XLOOKUP(A1047,tbl_raw[Product_Name],tbl_raw[Category])</f>
        <v>Home &amp; Kitchen</v>
      </c>
      <c r="C1047" s="2">
        <f>COUNTIF(tbl_raw[Product_Name],A1047)</f>
        <v>1</v>
      </c>
      <c r="D1047" s="2">
        <f>SUMIFS(tbl_raw[Units_Sold],tbl_raw[Product_Name],A1047)</f>
        <v>10</v>
      </c>
      <c r="E1047" s="3">
        <f>SUMIFS(tbl_raw[Net_Profit],tbl_raw[Product_Name],A1047)</f>
        <v>6180</v>
      </c>
      <c r="F1047" s="2">
        <f>SUMIFS(tbl_raw[Return_Flag],tbl_raw[Product_Name],A1047)</f>
        <v>0</v>
      </c>
      <c r="G1047" s="3" cm="1">
        <f t="array" ref="G1047">SUMPRODUCT((tbl_raw[Product_Name]=A1047)*(tbl_raw[MRP]-tbl_raw[Selling_Price])*tbl_raw[Units_Sold])</f>
        <v>950</v>
      </c>
      <c r="H1047" s="83">
        <f>AVERAGEIFS(tbl_raw[Discount_Pct],tbl_raw[Product_Name],A1047)</f>
        <v>0.06</v>
      </c>
    </row>
    <row r="1048" spans="1:8" hidden="1" x14ac:dyDescent="0.25">
      <c r="A1048" s="2" t="str">
        <v>Rice - Model 194</v>
      </c>
      <c r="B1048" s="2" t="str">
        <f>_xlfn.XLOOKUP(A1048,tbl_raw[Product_Name],tbl_raw[Category])</f>
        <v>Grocery</v>
      </c>
      <c r="C1048" s="2">
        <f>COUNTIF(tbl_raw[Product_Name],A1048)</f>
        <v>1</v>
      </c>
      <c r="D1048" s="2">
        <f>SUMIFS(tbl_raw[Units_Sold],tbl_raw[Product_Name],A1048)</f>
        <v>12</v>
      </c>
      <c r="E1048" s="3">
        <f>SUMIFS(tbl_raw[Net_Profit],tbl_raw[Product_Name],A1048)</f>
        <v>11016</v>
      </c>
      <c r="F1048" s="2">
        <f>SUMIFS(tbl_raw[Return_Flag],tbl_raw[Product_Name],A1048)</f>
        <v>0</v>
      </c>
      <c r="G1048" s="3" cm="1">
        <f t="array" ref="G1048">SUMPRODUCT((tbl_raw[Product_Name]=A1048)*(tbl_raw[MRP]-tbl_raw[Selling_Price])*tbl_raw[Units_Sold])</f>
        <v>9048</v>
      </c>
      <c r="H1048" s="83">
        <f>AVERAGEIFS(tbl_raw[Discount_Pct],tbl_raw[Product_Name],A1048)</f>
        <v>0.16</v>
      </c>
    </row>
    <row r="1049" spans="1:8" hidden="1" x14ac:dyDescent="0.25">
      <c r="A1049" s="2" t="str">
        <v>Perfume - Model 455</v>
      </c>
      <c r="B1049" s="2" t="str">
        <f>_xlfn.XLOOKUP(A1049,tbl_raw[Product_Name],tbl_raw[Category])</f>
        <v>Beauty</v>
      </c>
      <c r="C1049" s="2">
        <f>COUNTIF(tbl_raw[Product_Name],A1049)</f>
        <v>1</v>
      </c>
      <c r="D1049" s="2">
        <f>SUMIFS(tbl_raw[Units_Sold],tbl_raw[Product_Name],A1049)</f>
        <v>7</v>
      </c>
      <c r="E1049" s="3">
        <f>SUMIFS(tbl_raw[Net_Profit],tbl_raw[Product_Name],A1049)</f>
        <v>-1652</v>
      </c>
      <c r="F1049" s="2">
        <f>SUMIFS(tbl_raw[Return_Flag],tbl_raw[Product_Name],A1049)</f>
        <v>1</v>
      </c>
      <c r="G1049" s="3" cm="1">
        <f t="array" ref="G1049">SUMPRODUCT((tbl_raw[Product_Name]=A1049)*(tbl_raw[MRP]-tbl_raw[Selling_Price])*tbl_raw[Units_Sold])</f>
        <v>8834</v>
      </c>
      <c r="H1049" s="83">
        <f>AVERAGEIFS(tbl_raw[Discount_Pct],tbl_raw[Product_Name],A1049)</f>
        <v>0.44</v>
      </c>
    </row>
    <row r="1050" spans="1:8" hidden="1" x14ac:dyDescent="0.25">
      <c r="A1050" s="2" t="str">
        <v>Rice - Model 132</v>
      </c>
      <c r="B1050" s="2" t="str">
        <f>_xlfn.XLOOKUP(A1050,tbl_raw[Product_Name],tbl_raw[Category])</f>
        <v>Grocery</v>
      </c>
      <c r="C1050" s="2">
        <f>COUNTIF(tbl_raw[Product_Name],A1050)</f>
        <v>1</v>
      </c>
      <c r="D1050" s="2">
        <f>SUMIFS(tbl_raw[Units_Sold],tbl_raw[Product_Name],A1050)</f>
        <v>17</v>
      </c>
      <c r="E1050" s="3">
        <f>SUMIFS(tbl_raw[Net_Profit],tbl_raw[Product_Name],A1050)</f>
        <v>40715</v>
      </c>
      <c r="F1050" s="2">
        <f>SUMIFS(tbl_raw[Return_Flag],tbl_raw[Product_Name],A1050)</f>
        <v>0</v>
      </c>
      <c r="G1050" s="3" cm="1">
        <f t="array" ref="G1050">SUMPRODUCT((tbl_raw[Product_Name]=A1050)*(tbl_raw[MRP]-tbl_raw[Selling_Price])*tbl_raw[Units_Sold])</f>
        <v>7259</v>
      </c>
      <c r="H1050" s="83">
        <f>AVERAGEIFS(tbl_raw[Discount_Pct],tbl_raw[Product_Name],A1050)</f>
        <v>0.08</v>
      </c>
    </row>
    <row r="1051" spans="1:8" hidden="1" x14ac:dyDescent="0.25">
      <c r="A1051" s="2" t="str">
        <v>Saree - Model 990</v>
      </c>
      <c r="B1051" s="2" t="str">
        <f>_xlfn.XLOOKUP(A1051,tbl_raw[Product_Name],tbl_raw[Category])</f>
        <v>Fashion</v>
      </c>
      <c r="C1051" s="2">
        <f>COUNTIF(tbl_raw[Product_Name],A1051)</f>
        <v>1</v>
      </c>
      <c r="D1051" s="2">
        <f>SUMIFS(tbl_raw[Units_Sold],tbl_raw[Product_Name],A1051)</f>
        <v>6</v>
      </c>
      <c r="E1051" s="3">
        <f>SUMIFS(tbl_raw[Net_Profit],tbl_raw[Product_Name],A1051)</f>
        <v>4398</v>
      </c>
      <c r="F1051" s="2">
        <f>SUMIFS(tbl_raw[Return_Flag],tbl_raw[Product_Name],A1051)</f>
        <v>0</v>
      </c>
      <c r="G1051" s="3" cm="1">
        <f t="array" ref="G1051">SUMPRODUCT((tbl_raw[Product_Name]=A1051)*(tbl_raw[MRP]-tbl_raw[Selling_Price])*tbl_raw[Units_Sold])</f>
        <v>3138</v>
      </c>
      <c r="H1051" s="83">
        <f>AVERAGEIFS(tbl_raw[Discount_Pct],tbl_raw[Product_Name],A1051)</f>
        <v>0.15</v>
      </c>
    </row>
    <row r="1052" spans="1:8" hidden="1" x14ac:dyDescent="0.25">
      <c r="A1052" s="2" t="str">
        <v>Smartwatch - Model 928</v>
      </c>
      <c r="B1052" s="2" t="str">
        <f>_xlfn.XLOOKUP(A1052,tbl_raw[Product_Name],tbl_raw[Category])</f>
        <v>Electronics</v>
      </c>
      <c r="C1052" s="2">
        <f>COUNTIF(tbl_raw[Product_Name],A1052)</f>
        <v>1</v>
      </c>
      <c r="D1052" s="2">
        <f>SUMIFS(tbl_raw[Units_Sold],tbl_raw[Product_Name],A1052)</f>
        <v>15</v>
      </c>
      <c r="E1052" s="3">
        <f>SUMIFS(tbl_raw[Net_Profit],tbl_raw[Product_Name],A1052)</f>
        <v>960</v>
      </c>
      <c r="F1052" s="2">
        <f>SUMIFS(tbl_raw[Return_Flag],tbl_raw[Product_Name],A1052)</f>
        <v>0</v>
      </c>
      <c r="G1052" s="3" cm="1">
        <f t="array" ref="G1052">SUMPRODUCT((tbl_raw[Product_Name]=A1052)*(tbl_raw[MRP]-tbl_raw[Selling_Price])*tbl_raw[Units_Sold])</f>
        <v>22455</v>
      </c>
      <c r="H1052" s="83">
        <f>AVERAGEIFS(tbl_raw[Discount_Pct],tbl_raw[Product_Name],A1052)</f>
        <v>0.31</v>
      </c>
    </row>
    <row r="1053" spans="1:8" hidden="1" x14ac:dyDescent="0.25">
      <c r="A1053" s="2" t="str">
        <v>Puzzle - Model 141</v>
      </c>
      <c r="B1053" s="2" t="str">
        <f>_xlfn.XLOOKUP(A1053,tbl_raw[Product_Name],tbl_raw[Category])</f>
        <v>Toys</v>
      </c>
      <c r="C1053" s="2">
        <f>COUNTIF(tbl_raw[Product_Name],A1053)</f>
        <v>1</v>
      </c>
      <c r="D1053" s="2">
        <f>SUMIFS(tbl_raw[Units_Sold],tbl_raw[Product_Name],A1053)</f>
        <v>17</v>
      </c>
      <c r="E1053" s="3">
        <f>SUMIFS(tbl_raw[Net_Profit],tbl_raw[Product_Name],A1053)</f>
        <v>3587</v>
      </c>
      <c r="F1053" s="2">
        <f>SUMIFS(tbl_raw[Return_Flag],tbl_raw[Product_Name],A1053)</f>
        <v>0</v>
      </c>
      <c r="G1053" s="3" cm="1">
        <f t="array" ref="G1053">SUMPRODUCT((tbl_raw[Product_Name]=A1053)*(tbl_raw[MRP]-tbl_raw[Selling_Price])*tbl_raw[Units_Sold])</f>
        <v>3366</v>
      </c>
      <c r="H1053" s="83">
        <f>AVERAGEIFS(tbl_raw[Discount_Pct],tbl_raw[Product_Name],A1053)</f>
        <v>0.19</v>
      </c>
    </row>
    <row r="1054" spans="1:8" hidden="1" x14ac:dyDescent="0.25">
      <c r="A1054" s="2" t="str">
        <v>Sunscreen - Model 869</v>
      </c>
      <c r="B1054" s="2" t="str">
        <f>_xlfn.XLOOKUP(A1054,tbl_raw[Product_Name],tbl_raw[Category])</f>
        <v>Beauty</v>
      </c>
      <c r="C1054" s="2">
        <f>COUNTIF(tbl_raw[Product_Name],A1054)</f>
        <v>1</v>
      </c>
      <c r="D1054" s="2">
        <f>SUMIFS(tbl_raw[Units_Sold],tbl_raw[Product_Name],A1054)</f>
        <v>5</v>
      </c>
      <c r="E1054" s="3">
        <f>SUMIFS(tbl_raw[Net_Profit],tbl_raw[Product_Name],A1054)</f>
        <v>5995</v>
      </c>
      <c r="F1054" s="2">
        <f>SUMIFS(tbl_raw[Return_Flag],tbl_raw[Product_Name],A1054)</f>
        <v>0</v>
      </c>
      <c r="G1054" s="3" cm="1">
        <f t="array" ref="G1054">SUMPRODUCT((tbl_raw[Product_Name]=A1054)*(tbl_raw[MRP]-tbl_raw[Selling_Price])*tbl_raw[Units_Sold])</f>
        <v>9405</v>
      </c>
      <c r="H1054" s="83">
        <f>AVERAGEIFS(tbl_raw[Discount_Pct],tbl_raw[Product_Name],A1054)</f>
        <v>0.35</v>
      </c>
    </row>
    <row r="1055" spans="1:8" hidden="1" x14ac:dyDescent="0.25">
      <c r="A1055" s="2" t="str">
        <v>Laptop - Model 305</v>
      </c>
      <c r="B1055" s="2" t="str">
        <f>_xlfn.XLOOKUP(A1055,tbl_raw[Product_Name],tbl_raw[Category])</f>
        <v>Electronics</v>
      </c>
      <c r="C1055" s="2">
        <f>COUNTIF(tbl_raw[Product_Name],A1055)</f>
        <v>1</v>
      </c>
      <c r="D1055" s="2">
        <f>SUMIFS(tbl_raw[Units_Sold],tbl_raw[Product_Name],A1055)</f>
        <v>10</v>
      </c>
      <c r="E1055" s="3">
        <f>SUMIFS(tbl_raw[Net_Profit],tbl_raw[Product_Name],A1055)</f>
        <v>4760</v>
      </c>
      <c r="F1055" s="2">
        <f>SUMIFS(tbl_raw[Return_Flag],tbl_raw[Product_Name],A1055)</f>
        <v>0</v>
      </c>
      <c r="G1055" s="3" cm="1">
        <f t="array" ref="G1055">SUMPRODUCT((tbl_raw[Product_Name]=A1055)*(tbl_raw[MRP]-tbl_raw[Selling_Price])*tbl_raw[Units_Sold])</f>
        <v>2080</v>
      </c>
      <c r="H1055" s="83">
        <f>AVERAGEIFS(tbl_raw[Discount_Pct],tbl_raw[Product_Name],A1055)</f>
        <v>0.08</v>
      </c>
    </row>
    <row r="1056" spans="1:8" hidden="1" x14ac:dyDescent="0.25">
      <c r="A1056" s="2" t="str">
        <v>Oil - Model 452</v>
      </c>
      <c r="B1056" s="2" t="str">
        <f>_xlfn.XLOOKUP(A1056,tbl_raw[Product_Name],tbl_raw[Category])</f>
        <v>Grocery</v>
      </c>
      <c r="C1056" s="2">
        <f>COUNTIF(tbl_raw[Product_Name],A1056)</f>
        <v>1</v>
      </c>
      <c r="D1056" s="2">
        <f>SUMIFS(tbl_raw[Units_Sold],tbl_raw[Product_Name],A1056)</f>
        <v>16</v>
      </c>
      <c r="E1056" s="3">
        <f>SUMIFS(tbl_raw[Net_Profit],tbl_raw[Product_Name],A1056)</f>
        <v>23216</v>
      </c>
      <c r="F1056" s="2">
        <f>SUMIFS(tbl_raw[Return_Flag],tbl_raw[Product_Name],A1056)</f>
        <v>0</v>
      </c>
      <c r="G1056" s="3" cm="1">
        <f t="array" ref="G1056">SUMPRODUCT((tbl_raw[Product_Name]=A1056)*(tbl_raw[MRP]-tbl_raw[Selling_Price])*tbl_raw[Units_Sold])</f>
        <v>12928</v>
      </c>
      <c r="H1056" s="83">
        <f>AVERAGEIFS(tbl_raw[Discount_Pct],tbl_raw[Product_Name],A1056)</f>
        <v>0.18</v>
      </c>
    </row>
    <row r="1057" spans="1:8" hidden="1" x14ac:dyDescent="0.25">
      <c r="A1057" s="2" t="str">
        <v>Bedsheet - Model 881</v>
      </c>
      <c r="B1057" s="2" t="str">
        <f>_xlfn.XLOOKUP(A1057,tbl_raw[Product_Name],tbl_raw[Category])</f>
        <v>Home &amp; Kitchen</v>
      </c>
      <c r="C1057" s="2">
        <f>COUNTIF(tbl_raw[Product_Name],A1057)</f>
        <v>1</v>
      </c>
      <c r="D1057" s="2">
        <f>SUMIFS(tbl_raw[Units_Sold],tbl_raw[Product_Name],A1057)</f>
        <v>13</v>
      </c>
      <c r="E1057" s="3">
        <f>SUMIFS(tbl_raw[Net_Profit],tbl_raw[Product_Name],A1057)</f>
        <v>-8853</v>
      </c>
      <c r="F1057" s="2">
        <f>SUMIFS(tbl_raw[Return_Flag],tbl_raw[Product_Name],A1057)</f>
        <v>0</v>
      </c>
      <c r="G1057" s="3" cm="1">
        <f t="array" ref="G1057">SUMPRODUCT((tbl_raw[Product_Name]=A1057)*(tbl_raw[MRP]-tbl_raw[Selling_Price])*tbl_raw[Units_Sold])</f>
        <v>32396</v>
      </c>
      <c r="H1057" s="83">
        <f>AVERAGEIFS(tbl_raw[Discount_Pct],tbl_raw[Product_Name],A1057)</f>
        <v>0.4</v>
      </c>
    </row>
    <row r="1058" spans="1:8" hidden="1" x14ac:dyDescent="0.25">
      <c r="A1058" s="2" t="str">
        <v>Laptop - Model 723</v>
      </c>
      <c r="B1058" s="2" t="str">
        <f>_xlfn.XLOOKUP(A1058,tbl_raw[Product_Name],tbl_raw[Category])</f>
        <v>Electronics</v>
      </c>
      <c r="C1058" s="2">
        <f>COUNTIF(tbl_raw[Product_Name],A1058)</f>
        <v>1</v>
      </c>
      <c r="D1058" s="2">
        <f>SUMIFS(tbl_raw[Units_Sold],tbl_raw[Product_Name],A1058)</f>
        <v>8</v>
      </c>
      <c r="E1058" s="3">
        <f>SUMIFS(tbl_raw[Net_Profit],tbl_raw[Product_Name],A1058)</f>
        <v>3008</v>
      </c>
      <c r="F1058" s="2">
        <f>SUMIFS(tbl_raw[Return_Flag],tbl_raw[Product_Name],A1058)</f>
        <v>0</v>
      </c>
      <c r="G1058" s="3" cm="1">
        <f t="array" ref="G1058">SUMPRODUCT((tbl_raw[Product_Name]=A1058)*(tbl_raw[MRP]-tbl_raw[Selling_Price])*tbl_raw[Units_Sold])</f>
        <v>3696</v>
      </c>
      <c r="H1058" s="83">
        <f>AVERAGEIFS(tbl_raw[Discount_Pct],tbl_raw[Product_Name],A1058)</f>
        <v>0.15</v>
      </c>
    </row>
    <row r="1059" spans="1:8" hidden="1" x14ac:dyDescent="0.25">
      <c r="A1059" s="2" t="str">
        <v>Moisturizer - Model 316</v>
      </c>
      <c r="B1059" s="2" t="str">
        <f>_xlfn.XLOOKUP(A1059,tbl_raw[Product_Name],tbl_raw[Category])</f>
        <v>Beauty</v>
      </c>
      <c r="C1059" s="2">
        <f>COUNTIF(tbl_raw[Product_Name],A1059)</f>
        <v>1</v>
      </c>
      <c r="D1059" s="2">
        <f>SUMIFS(tbl_raw[Units_Sold],tbl_raw[Product_Name],A1059)</f>
        <v>14</v>
      </c>
      <c r="E1059" s="3">
        <f>SUMIFS(tbl_raw[Net_Profit],tbl_raw[Product_Name],A1059)</f>
        <v>4004</v>
      </c>
      <c r="F1059" s="2">
        <f>SUMIFS(tbl_raw[Return_Flag],tbl_raw[Product_Name],A1059)</f>
        <v>1</v>
      </c>
      <c r="G1059" s="3" cm="1">
        <f t="array" ref="G1059">SUMPRODUCT((tbl_raw[Product_Name]=A1059)*(tbl_raw[MRP]-tbl_raw[Selling_Price])*tbl_raw[Units_Sold])</f>
        <v>2198</v>
      </c>
      <c r="H1059" s="83">
        <f>AVERAGEIFS(tbl_raw[Discount_Pct],tbl_raw[Product_Name],A1059)</f>
        <v>0.17</v>
      </c>
    </row>
    <row r="1060" spans="1:8" hidden="1" x14ac:dyDescent="0.25">
      <c r="A1060" s="2" t="str">
        <v>Self-Help - Model 688</v>
      </c>
      <c r="B1060" s="2" t="str">
        <f>_xlfn.XLOOKUP(A1060,tbl_raw[Product_Name],tbl_raw[Category])</f>
        <v>Books</v>
      </c>
      <c r="C1060" s="2">
        <f>COUNTIF(tbl_raw[Product_Name],A1060)</f>
        <v>1</v>
      </c>
      <c r="D1060" s="2">
        <f>SUMIFS(tbl_raw[Units_Sold],tbl_raw[Product_Name],A1060)</f>
        <v>13</v>
      </c>
      <c r="E1060" s="3">
        <f>SUMIFS(tbl_raw[Net_Profit],tbl_raw[Product_Name],A1060)</f>
        <v>24362</v>
      </c>
      <c r="F1060" s="2">
        <f>SUMIFS(tbl_raw[Return_Flag],tbl_raw[Product_Name],A1060)</f>
        <v>0</v>
      </c>
      <c r="G1060" s="3" cm="1">
        <f t="array" ref="G1060">SUMPRODUCT((tbl_raw[Product_Name]=A1060)*(tbl_raw[MRP]-tbl_raw[Selling_Price])*tbl_raw[Units_Sold])</f>
        <v>728</v>
      </c>
      <c r="H1060" s="83">
        <f>AVERAGEIFS(tbl_raw[Discount_Pct],tbl_raw[Product_Name],A1060)</f>
        <v>0.01</v>
      </c>
    </row>
    <row r="1061" spans="1:8" hidden="1" x14ac:dyDescent="0.25">
      <c r="A1061" s="2" t="str">
        <v>Jacket - Model 926</v>
      </c>
      <c r="B1061" s="2" t="str">
        <f>_xlfn.XLOOKUP(A1061,tbl_raw[Product_Name],tbl_raw[Category])</f>
        <v>Fashion</v>
      </c>
      <c r="C1061" s="2">
        <f>COUNTIF(tbl_raw[Product_Name],A1061)</f>
        <v>1</v>
      </c>
      <c r="D1061" s="2">
        <f>SUMIFS(tbl_raw[Units_Sold],tbl_raw[Product_Name],A1061)</f>
        <v>17</v>
      </c>
      <c r="E1061" s="3">
        <f>SUMIFS(tbl_raw[Net_Profit],tbl_raw[Product_Name],A1061)</f>
        <v>12529</v>
      </c>
      <c r="F1061" s="2">
        <f>SUMIFS(tbl_raw[Return_Flag],tbl_raw[Product_Name],A1061)</f>
        <v>0</v>
      </c>
      <c r="G1061" s="3" cm="1">
        <f t="array" ref="G1061">SUMPRODUCT((tbl_raw[Product_Name]=A1061)*(tbl_raw[MRP]-tbl_raw[Selling_Price])*tbl_raw[Units_Sold])</f>
        <v>11101</v>
      </c>
      <c r="H1061" s="83">
        <f>AVERAGEIFS(tbl_raw[Discount_Pct],tbl_raw[Product_Name],A1061)</f>
        <v>0.21</v>
      </c>
    </row>
    <row r="1062" spans="1:8" hidden="1" x14ac:dyDescent="0.25">
      <c r="A1062" s="2" t="str">
        <v>Action Figure - Model 253</v>
      </c>
      <c r="B1062" s="2" t="str">
        <f>_xlfn.XLOOKUP(A1062,tbl_raw[Product_Name],tbl_raw[Category])</f>
        <v>Toys</v>
      </c>
      <c r="C1062" s="2">
        <f>COUNTIF(tbl_raw[Product_Name],A1062)</f>
        <v>1</v>
      </c>
      <c r="D1062" s="2">
        <f>SUMIFS(tbl_raw[Units_Sold],tbl_raw[Product_Name],A1062)</f>
        <v>11</v>
      </c>
      <c r="E1062" s="3">
        <f>SUMIFS(tbl_raw[Net_Profit],tbl_raw[Product_Name],A1062)</f>
        <v>14674</v>
      </c>
      <c r="F1062" s="2">
        <f>SUMIFS(tbl_raw[Return_Flag],tbl_raw[Product_Name],A1062)</f>
        <v>0</v>
      </c>
      <c r="G1062" s="3" cm="1">
        <f t="array" ref="G1062">SUMPRODUCT((tbl_raw[Product_Name]=A1062)*(tbl_raw[MRP]-tbl_raw[Selling_Price])*tbl_raw[Units_Sold])</f>
        <v>26741</v>
      </c>
      <c r="H1062" s="83">
        <f>AVERAGEIFS(tbl_raw[Discount_Pct],tbl_raw[Product_Name],A1062)</f>
        <v>0.32</v>
      </c>
    </row>
    <row r="1063" spans="1:8" hidden="1" x14ac:dyDescent="0.25">
      <c r="A1063" s="2" t="str">
        <v>Shoes - Model 224</v>
      </c>
      <c r="B1063" s="2" t="str">
        <f>_xlfn.XLOOKUP(A1063,tbl_raw[Product_Name],tbl_raw[Category])</f>
        <v>Sports</v>
      </c>
      <c r="C1063" s="2">
        <f>COUNTIF(tbl_raw[Product_Name],A1063)</f>
        <v>1</v>
      </c>
      <c r="D1063" s="2">
        <f>SUMIFS(tbl_raw[Units_Sold],tbl_raw[Product_Name],A1063)</f>
        <v>15</v>
      </c>
      <c r="E1063" s="3">
        <f>SUMIFS(tbl_raw[Net_Profit],tbl_raw[Product_Name],A1063)</f>
        <v>-2865</v>
      </c>
      <c r="F1063" s="2">
        <f>SUMIFS(tbl_raw[Return_Flag],tbl_raw[Product_Name],A1063)</f>
        <v>1</v>
      </c>
      <c r="G1063" s="3" cm="1">
        <f t="array" ref="G1063">SUMPRODUCT((tbl_raw[Product_Name]=A1063)*(tbl_raw[MRP]-tbl_raw[Selling_Price])*tbl_raw[Units_Sold])</f>
        <v>18375</v>
      </c>
      <c r="H1063" s="83">
        <f>AVERAGEIFS(tbl_raw[Discount_Pct],tbl_raw[Product_Name],A1063)</f>
        <v>0.4</v>
      </c>
    </row>
    <row r="1064" spans="1:8" hidden="1" x14ac:dyDescent="0.25">
      <c r="A1064" s="2" t="str">
        <v>Cricket Bat - Model 400</v>
      </c>
      <c r="B1064" s="2" t="str">
        <f>_xlfn.XLOOKUP(A1064,tbl_raw[Product_Name],tbl_raw[Category])</f>
        <v>Sports</v>
      </c>
      <c r="C1064" s="2">
        <f>COUNTIF(tbl_raw[Product_Name],A1064)</f>
        <v>1</v>
      </c>
      <c r="D1064" s="2">
        <f>SUMIFS(tbl_raw[Units_Sold],tbl_raw[Product_Name],A1064)</f>
        <v>14</v>
      </c>
      <c r="E1064" s="3">
        <f>SUMIFS(tbl_raw[Net_Profit],tbl_raw[Product_Name],A1064)</f>
        <v>-602</v>
      </c>
      <c r="F1064" s="2">
        <f>SUMIFS(tbl_raw[Return_Flag],tbl_raw[Product_Name],A1064)</f>
        <v>0</v>
      </c>
      <c r="G1064" s="3" cm="1">
        <f t="array" ref="G1064">SUMPRODUCT((tbl_raw[Product_Name]=A1064)*(tbl_raw[MRP]-tbl_raw[Selling_Price])*tbl_raw[Units_Sold])</f>
        <v>714</v>
      </c>
      <c r="H1064" s="83">
        <f>AVERAGEIFS(tbl_raw[Discount_Pct],tbl_raw[Product_Name],A1064)</f>
        <v>0.15</v>
      </c>
    </row>
    <row r="1065" spans="1:8" hidden="1" x14ac:dyDescent="0.25">
      <c r="A1065" s="2" t="str">
        <v>Mixer - Model 647</v>
      </c>
      <c r="B1065" s="2" t="str">
        <f>_xlfn.XLOOKUP(A1065,tbl_raw[Product_Name],tbl_raw[Category])</f>
        <v>Home &amp; Kitchen</v>
      </c>
      <c r="C1065" s="2">
        <f>COUNTIF(tbl_raw[Product_Name],A1065)</f>
        <v>1</v>
      </c>
      <c r="D1065" s="2">
        <f>SUMIFS(tbl_raw[Units_Sold],tbl_raw[Product_Name],A1065)</f>
        <v>5</v>
      </c>
      <c r="E1065" s="3">
        <f>SUMIFS(tbl_raw[Net_Profit],tbl_raw[Product_Name],A1065)</f>
        <v>4610</v>
      </c>
      <c r="F1065" s="2">
        <f>SUMIFS(tbl_raw[Return_Flag],tbl_raw[Product_Name],A1065)</f>
        <v>0</v>
      </c>
      <c r="G1065" s="3" cm="1">
        <f t="array" ref="G1065">SUMPRODUCT((tbl_raw[Product_Name]=A1065)*(tbl_raw[MRP]-tbl_raw[Selling_Price])*tbl_raw[Units_Sold])</f>
        <v>8215</v>
      </c>
      <c r="H1065" s="83">
        <f>AVERAGEIFS(tbl_raw[Discount_Pct],tbl_raw[Product_Name],A1065)</f>
        <v>0.28000000000000003</v>
      </c>
    </row>
    <row r="1066" spans="1:8" hidden="1" x14ac:dyDescent="0.25">
      <c r="A1066" s="2" t="str">
        <v>Atta - Model 178</v>
      </c>
      <c r="B1066" s="2" t="str">
        <f>_xlfn.XLOOKUP(A1066,tbl_raw[Product_Name],tbl_raw[Category])</f>
        <v>Grocery</v>
      </c>
      <c r="C1066" s="2">
        <f>COUNTIF(tbl_raw[Product_Name],A1066)</f>
        <v>1</v>
      </c>
      <c r="D1066" s="2">
        <f>SUMIFS(tbl_raw[Units_Sold],tbl_raw[Product_Name],A1066)</f>
        <v>12</v>
      </c>
      <c r="E1066" s="3">
        <f>SUMIFS(tbl_raw[Net_Profit],tbl_raw[Product_Name],A1066)</f>
        <v>-1368</v>
      </c>
      <c r="F1066" s="2">
        <f>SUMIFS(tbl_raw[Return_Flag],tbl_raw[Product_Name],A1066)</f>
        <v>0</v>
      </c>
      <c r="G1066" s="3" cm="1">
        <f t="array" ref="G1066">SUMPRODUCT((tbl_raw[Product_Name]=A1066)*(tbl_raw[MRP]-tbl_raw[Selling_Price])*tbl_raw[Units_Sold])</f>
        <v>1620</v>
      </c>
      <c r="H1066" s="83">
        <f>AVERAGEIFS(tbl_raw[Discount_Pct],tbl_raw[Product_Name],A1066)</f>
        <v>0.27</v>
      </c>
    </row>
    <row r="1067" spans="1:8" hidden="1" x14ac:dyDescent="0.25">
      <c r="A1067" s="2" t="str">
        <v>Dumbbells - Model 510</v>
      </c>
      <c r="B1067" s="2" t="str">
        <f>_xlfn.XLOOKUP(A1067,tbl_raw[Product_Name],tbl_raw[Category])</f>
        <v>Sports</v>
      </c>
      <c r="C1067" s="2">
        <f>COUNTIF(tbl_raw[Product_Name],A1067)</f>
        <v>1</v>
      </c>
      <c r="D1067" s="2">
        <f>SUMIFS(tbl_raw[Units_Sold],tbl_raw[Product_Name],A1067)</f>
        <v>6</v>
      </c>
      <c r="E1067" s="3">
        <f>SUMIFS(tbl_raw[Net_Profit],tbl_raw[Product_Name],A1067)</f>
        <v>10512</v>
      </c>
      <c r="F1067" s="2">
        <f>SUMIFS(tbl_raw[Return_Flag],tbl_raw[Product_Name],A1067)</f>
        <v>1</v>
      </c>
      <c r="G1067" s="3" cm="1">
        <f t="array" ref="G1067">SUMPRODUCT((tbl_raw[Product_Name]=A1067)*(tbl_raw[MRP]-tbl_raw[Selling_Price])*tbl_raw[Units_Sold])</f>
        <v>5484</v>
      </c>
      <c r="H1067" s="83">
        <f>AVERAGEIFS(tbl_raw[Discount_Pct],tbl_raw[Product_Name],A1067)</f>
        <v>0.12</v>
      </c>
    </row>
    <row r="1068" spans="1:8" hidden="1" x14ac:dyDescent="0.25">
      <c r="A1068" s="2" t="str">
        <v>Cycle - Model 626</v>
      </c>
      <c r="B1068" s="2" t="str">
        <f>_xlfn.XLOOKUP(A1068,tbl_raw[Product_Name],tbl_raw[Category])</f>
        <v>Sports</v>
      </c>
      <c r="C1068" s="2">
        <f>COUNTIF(tbl_raw[Product_Name],A1068)</f>
        <v>1</v>
      </c>
      <c r="D1068" s="2">
        <f>SUMIFS(tbl_raw[Units_Sold],tbl_raw[Product_Name],A1068)</f>
        <v>8</v>
      </c>
      <c r="E1068" s="3">
        <f>SUMIFS(tbl_raw[Net_Profit],tbl_raw[Product_Name],A1068)</f>
        <v>16544</v>
      </c>
      <c r="F1068" s="2">
        <f>SUMIFS(tbl_raw[Return_Flag],tbl_raw[Product_Name],A1068)</f>
        <v>0</v>
      </c>
      <c r="G1068" s="3" cm="1">
        <f t="array" ref="G1068">SUMPRODUCT((tbl_raw[Product_Name]=A1068)*(tbl_raw[MRP]-tbl_raw[Selling_Price])*tbl_raw[Units_Sold])</f>
        <v>896</v>
      </c>
      <c r="H1068" s="83">
        <f>AVERAGEIFS(tbl_raw[Discount_Pct],tbl_raw[Product_Name],A1068)</f>
        <v>0.02</v>
      </c>
    </row>
    <row r="1069" spans="1:8" hidden="1" x14ac:dyDescent="0.25">
      <c r="A1069" s="2" t="str">
        <v>Jeans - Model 330</v>
      </c>
      <c r="B1069" s="2" t="str">
        <f>_xlfn.XLOOKUP(A1069,tbl_raw[Product_Name],tbl_raw[Category])</f>
        <v>Fashion</v>
      </c>
      <c r="C1069" s="2">
        <f>COUNTIF(tbl_raw[Product_Name],A1069)</f>
        <v>1</v>
      </c>
      <c r="D1069" s="2">
        <f>SUMIFS(tbl_raw[Units_Sold],tbl_raw[Product_Name],A1069)</f>
        <v>11</v>
      </c>
      <c r="E1069" s="3">
        <f>SUMIFS(tbl_raw[Net_Profit],tbl_raw[Product_Name],A1069)</f>
        <v>44</v>
      </c>
      <c r="F1069" s="2">
        <f>SUMIFS(tbl_raw[Return_Flag],tbl_raw[Product_Name],A1069)</f>
        <v>0</v>
      </c>
      <c r="G1069" s="3" cm="1">
        <f t="array" ref="G1069">SUMPRODUCT((tbl_raw[Product_Name]=A1069)*(tbl_raw[MRP]-tbl_raw[Selling_Price])*tbl_raw[Units_Sold])</f>
        <v>5929</v>
      </c>
      <c r="H1069" s="83">
        <f>AVERAGEIFS(tbl_raw[Discount_Pct],tbl_raw[Product_Name],A1069)</f>
        <v>0.28000000000000003</v>
      </c>
    </row>
    <row r="1070" spans="1:8" hidden="1" x14ac:dyDescent="0.25">
      <c r="A1070" s="2" t="str">
        <v>Remote Car - Model 671</v>
      </c>
      <c r="B1070" s="2" t="str">
        <f>_xlfn.XLOOKUP(A1070,tbl_raw[Product_Name],tbl_raw[Category])</f>
        <v>Toys</v>
      </c>
      <c r="C1070" s="2">
        <f>COUNTIF(tbl_raw[Product_Name],A1070)</f>
        <v>1</v>
      </c>
      <c r="D1070" s="2">
        <f>SUMIFS(tbl_raw[Units_Sold],tbl_raw[Product_Name],A1070)</f>
        <v>11</v>
      </c>
      <c r="E1070" s="3">
        <f>SUMIFS(tbl_raw[Net_Profit],tbl_raw[Product_Name],A1070)</f>
        <v>7854</v>
      </c>
      <c r="F1070" s="2">
        <f>SUMIFS(tbl_raw[Return_Flag],tbl_raw[Product_Name],A1070)</f>
        <v>0</v>
      </c>
      <c r="G1070" s="3" cm="1">
        <f t="array" ref="G1070">SUMPRODUCT((tbl_raw[Product_Name]=A1070)*(tbl_raw[MRP]-tbl_raw[Selling_Price])*tbl_raw[Units_Sold])</f>
        <v>5027</v>
      </c>
      <c r="H1070" s="83">
        <f>AVERAGEIFS(tbl_raw[Discount_Pct],tbl_raw[Product_Name],A1070)</f>
        <v>0.16</v>
      </c>
    </row>
    <row r="1071" spans="1:8" hidden="1" x14ac:dyDescent="0.25">
      <c r="A1071" s="2" t="str">
        <v>Dumbbells - Model 133</v>
      </c>
      <c r="B1071" s="2" t="str">
        <f>_xlfn.XLOOKUP(A1071,tbl_raw[Product_Name],tbl_raw[Category])</f>
        <v>Sports</v>
      </c>
      <c r="C1071" s="2">
        <f>COUNTIF(tbl_raw[Product_Name],A1071)</f>
        <v>1</v>
      </c>
      <c r="D1071" s="2">
        <f>SUMIFS(tbl_raw[Units_Sold],tbl_raw[Product_Name],A1071)</f>
        <v>3</v>
      </c>
      <c r="E1071" s="3">
        <f>SUMIFS(tbl_raw[Net_Profit],tbl_raw[Product_Name],A1071)</f>
        <v>3342</v>
      </c>
      <c r="F1071" s="2">
        <f>SUMIFS(tbl_raw[Return_Flag],tbl_raw[Product_Name],A1071)</f>
        <v>0</v>
      </c>
      <c r="G1071" s="3" cm="1">
        <f t="array" ref="G1071">SUMPRODUCT((tbl_raw[Product_Name]=A1071)*(tbl_raw[MRP]-tbl_raw[Selling_Price])*tbl_raw[Units_Sold])</f>
        <v>3843</v>
      </c>
      <c r="H1071" s="83">
        <f>AVERAGEIFS(tbl_raw[Discount_Pct],tbl_raw[Product_Name],A1071)</f>
        <v>0.25</v>
      </c>
    </row>
    <row r="1072" spans="1:8" hidden="1" x14ac:dyDescent="0.25">
      <c r="A1072" s="2" t="str">
        <v>Atta - Model 259</v>
      </c>
      <c r="B1072" s="2" t="str">
        <f>_xlfn.XLOOKUP(A1072,tbl_raw[Product_Name],tbl_raw[Category])</f>
        <v>Grocery</v>
      </c>
      <c r="C1072" s="2">
        <f>COUNTIF(tbl_raw[Product_Name],A1072)</f>
        <v>1</v>
      </c>
      <c r="D1072" s="2">
        <f>SUMIFS(tbl_raw[Units_Sold],tbl_raw[Product_Name],A1072)</f>
        <v>19</v>
      </c>
      <c r="E1072" s="3">
        <f>SUMIFS(tbl_raw[Net_Profit],tbl_raw[Product_Name],A1072)</f>
        <v>4845</v>
      </c>
      <c r="F1072" s="2">
        <f>SUMIFS(tbl_raw[Return_Flag],tbl_raw[Product_Name],A1072)</f>
        <v>0</v>
      </c>
      <c r="G1072" s="3" cm="1">
        <f t="array" ref="G1072">SUMPRODUCT((tbl_raw[Product_Name]=A1072)*(tbl_raw[MRP]-tbl_raw[Selling_Price])*tbl_raw[Units_Sold])</f>
        <v>4560</v>
      </c>
      <c r="H1072" s="83">
        <f>AVERAGEIFS(tbl_raw[Discount_Pct],tbl_raw[Product_Name],A1072)</f>
        <v>0.16</v>
      </c>
    </row>
    <row r="1073" spans="1:8" hidden="1" x14ac:dyDescent="0.25">
      <c r="A1073" s="2" t="str">
        <v>Perfume - Model 650</v>
      </c>
      <c r="B1073" s="2" t="str">
        <f>_xlfn.XLOOKUP(A1073,tbl_raw[Product_Name],tbl_raw[Category])</f>
        <v>Beauty</v>
      </c>
      <c r="C1073" s="2">
        <f>COUNTIF(tbl_raw[Product_Name],A1073)</f>
        <v>1</v>
      </c>
      <c r="D1073" s="2">
        <f>SUMIFS(tbl_raw[Units_Sold],tbl_raw[Product_Name],A1073)</f>
        <v>13</v>
      </c>
      <c r="E1073" s="3">
        <f>SUMIFS(tbl_raw[Net_Profit],tbl_raw[Product_Name],A1073)</f>
        <v>11115</v>
      </c>
      <c r="F1073" s="2">
        <f>SUMIFS(tbl_raw[Return_Flag],tbl_raw[Product_Name],A1073)</f>
        <v>0</v>
      </c>
      <c r="G1073" s="3" cm="1">
        <f t="array" ref="G1073">SUMPRODUCT((tbl_raw[Product_Name]=A1073)*(tbl_raw[MRP]-tbl_raw[Selling_Price])*tbl_raw[Units_Sold])</f>
        <v>24388</v>
      </c>
      <c r="H1073" s="83">
        <f>AVERAGEIFS(tbl_raw[Discount_Pct],tbl_raw[Product_Name],A1073)</f>
        <v>0.38</v>
      </c>
    </row>
    <row r="1074" spans="1:8" hidden="1" x14ac:dyDescent="0.25">
      <c r="A1074" s="2" t="str">
        <v>Doll - Model 518</v>
      </c>
      <c r="B1074" s="2" t="str">
        <f>_xlfn.XLOOKUP(A1074,tbl_raw[Product_Name],tbl_raw[Category])</f>
        <v>Toys</v>
      </c>
      <c r="C1074" s="2">
        <f>COUNTIF(tbl_raw[Product_Name],A1074)</f>
        <v>1</v>
      </c>
      <c r="D1074" s="2">
        <f>SUMIFS(tbl_raw[Units_Sold],tbl_raw[Product_Name],A1074)</f>
        <v>7</v>
      </c>
      <c r="E1074" s="3">
        <f>SUMIFS(tbl_raw[Net_Profit],tbl_raw[Product_Name],A1074)</f>
        <v>4697</v>
      </c>
      <c r="F1074" s="2">
        <f>SUMIFS(tbl_raw[Return_Flag],tbl_raw[Product_Name],A1074)</f>
        <v>0</v>
      </c>
      <c r="G1074" s="3" cm="1">
        <f t="array" ref="G1074">SUMPRODUCT((tbl_raw[Product_Name]=A1074)*(tbl_raw[MRP]-tbl_raw[Selling_Price])*tbl_raw[Units_Sold])</f>
        <v>6545</v>
      </c>
      <c r="H1074" s="83">
        <f>AVERAGEIFS(tbl_raw[Discount_Pct],tbl_raw[Product_Name],A1074)</f>
        <v>0.27</v>
      </c>
    </row>
    <row r="1075" spans="1:8" hidden="1" x14ac:dyDescent="0.25">
      <c r="A1075" s="2" t="str">
        <v>Comic - Model 648</v>
      </c>
      <c r="B1075" s="2" t="str">
        <f>_xlfn.XLOOKUP(A1075,tbl_raw[Product_Name],tbl_raw[Category])</f>
        <v>Books</v>
      </c>
      <c r="C1075" s="2">
        <f>COUNTIF(tbl_raw[Product_Name],A1075)</f>
        <v>1</v>
      </c>
      <c r="D1075" s="2">
        <f>SUMIFS(tbl_raw[Units_Sold],tbl_raw[Product_Name],A1075)</f>
        <v>13</v>
      </c>
      <c r="E1075" s="3">
        <f>SUMIFS(tbl_raw[Net_Profit],tbl_raw[Product_Name],A1075)</f>
        <v>2990</v>
      </c>
      <c r="F1075" s="2">
        <f>SUMIFS(tbl_raw[Return_Flag],tbl_raw[Product_Name],A1075)</f>
        <v>0</v>
      </c>
      <c r="G1075" s="3" cm="1">
        <f t="array" ref="G1075">SUMPRODUCT((tbl_raw[Product_Name]=A1075)*(tbl_raw[MRP]-tbl_raw[Selling_Price])*tbl_raw[Units_Sold])</f>
        <v>4576</v>
      </c>
      <c r="H1075" s="83">
        <f>AVERAGEIFS(tbl_raw[Discount_Pct],tbl_raw[Product_Name],A1075)</f>
        <v>0.18</v>
      </c>
    </row>
    <row r="1076" spans="1:8" hidden="1" x14ac:dyDescent="0.25">
      <c r="A1076" s="2" t="str">
        <v>Tablet - Model 949</v>
      </c>
      <c r="B1076" s="2" t="str">
        <f>_xlfn.XLOOKUP(A1076,tbl_raw[Product_Name],tbl_raw[Category])</f>
        <v>Electronics</v>
      </c>
      <c r="C1076" s="2">
        <f>COUNTIF(tbl_raw[Product_Name],A1076)</f>
        <v>1</v>
      </c>
      <c r="D1076" s="2">
        <f>SUMIFS(tbl_raw[Units_Sold],tbl_raw[Product_Name],A1076)</f>
        <v>15</v>
      </c>
      <c r="E1076" s="3">
        <f>SUMIFS(tbl_raw[Net_Profit],tbl_raw[Product_Name],A1076)</f>
        <v>18630</v>
      </c>
      <c r="F1076" s="2">
        <f>SUMIFS(tbl_raw[Return_Flag],tbl_raw[Product_Name],A1076)</f>
        <v>0</v>
      </c>
      <c r="G1076" s="3" cm="1">
        <f t="array" ref="G1076">SUMPRODUCT((tbl_raw[Product_Name]=A1076)*(tbl_raw[MRP]-tbl_raw[Selling_Price])*tbl_raw[Units_Sold])</f>
        <v>24735</v>
      </c>
      <c r="H1076" s="83">
        <f>AVERAGEIFS(tbl_raw[Discount_Pct],tbl_raw[Product_Name],A1076)</f>
        <v>0.31</v>
      </c>
    </row>
    <row r="1077" spans="1:8" hidden="1" x14ac:dyDescent="0.25">
      <c r="A1077" s="2" t="str">
        <v>Serum - Model 724</v>
      </c>
      <c r="B1077" s="2" t="str">
        <f>_xlfn.XLOOKUP(A1077,tbl_raw[Product_Name],tbl_raw[Category])</f>
        <v>Beauty</v>
      </c>
      <c r="C1077" s="2">
        <f>COUNTIF(tbl_raw[Product_Name],A1077)</f>
        <v>1</v>
      </c>
      <c r="D1077" s="2">
        <f>SUMIFS(tbl_raw[Units_Sold],tbl_raw[Product_Name],A1077)</f>
        <v>17</v>
      </c>
      <c r="E1077" s="3">
        <f>SUMIFS(tbl_raw[Net_Profit],tbl_raw[Product_Name],A1077)</f>
        <v>7089</v>
      </c>
      <c r="F1077" s="2">
        <f>SUMIFS(tbl_raw[Return_Flag],tbl_raw[Product_Name],A1077)</f>
        <v>0</v>
      </c>
      <c r="G1077" s="3" cm="1">
        <f t="array" ref="G1077">SUMPRODUCT((tbl_raw[Product_Name]=A1077)*(tbl_raw[MRP]-tbl_raw[Selling_Price])*tbl_raw[Units_Sold])</f>
        <v>36686</v>
      </c>
      <c r="H1077" s="83">
        <f>AVERAGEIFS(tbl_raw[Discount_Pct],tbl_raw[Product_Name],A1077)</f>
        <v>0.27</v>
      </c>
    </row>
    <row r="1078" spans="1:8" hidden="1" x14ac:dyDescent="0.25">
      <c r="A1078" s="2" t="str">
        <v>Saree - Model 123</v>
      </c>
      <c r="B1078" s="2" t="str">
        <f>_xlfn.XLOOKUP(A1078,tbl_raw[Product_Name],tbl_raw[Category])</f>
        <v>Fashion</v>
      </c>
      <c r="C1078" s="2">
        <f>COUNTIF(tbl_raw[Product_Name],A1078)</f>
        <v>1</v>
      </c>
      <c r="D1078" s="2">
        <f>SUMIFS(tbl_raw[Units_Sold],tbl_raw[Product_Name],A1078)</f>
        <v>13</v>
      </c>
      <c r="E1078" s="3">
        <f>SUMIFS(tbl_raw[Net_Profit],tbl_raw[Product_Name],A1078)</f>
        <v>-5824</v>
      </c>
      <c r="F1078" s="2">
        <f>SUMIFS(tbl_raw[Return_Flag],tbl_raw[Product_Name],A1078)</f>
        <v>0</v>
      </c>
      <c r="G1078" s="3" cm="1">
        <f t="array" ref="G1078">SUMPRODUCT((tbl_raw[Product_Name]=A1078)*(tbl_raw[MRP]-tbl_raw[Selling_Price])*tbl_raw[Units_Sold])</f>
        <v>22841</v>
      </c>
      <c r="H1078" s="83">
        <f>AVERAGEIFS(tbl_raw[Discount_Pct],tbl_raw[Product_Name],A1078)</f>
        <v>0.39</v>
      </c>
    </row>
    <row r="1079" spans="1:8" hidden="1" x14ac:dyDescent="0.25">
      <c r="A1079" s="2" t="str">
        <v>Lipstick - Model 235</v>
      </c>
      <c r="B1079" s="2" t="str">
        <f>_xlfn.XLOOKUP(A1079,tbl_raw[Product_Name],tbl_raw[Category])</f>
        <v>Beauty</v>
      </c>
      <c r="C1079" s="2">
        <f>COUNTIF(tbl_raw[Product_Name],A1079)</f>
        <v>1</v>
      </c>
      <c r="D1079" s="2">
        <f>SUMIFS(tbl_raw[Units_Sold],tbl_raw[Product_Name],A1079)</f>
        <v>3</v>
      </c>
      <c r="E1079" s="3">
        <f>SUMIFS(tbl_raw[Net_Profit],tbl_raw[Product_Name],A1079)</f>
        <v>7305</v>
      </c>
      <c r="F1079" s="2">
        <f>SUMIFS(tbl_raw[Return_Flag],tbl_raw[Product_Name],A1079)</f>
        <v>0</v>
      </c>
      <c r="G1079" s="3" cm="1">
        <f t="array" ref="G1079">SUMPRODUCT((tbl_raw[Product_Name]=A1079)*(tbl_raw[MRP]-tbl_raw[Selling_Price])*tbl_raw[Units_Sold])</f>
        <v>1938</v>
      </c>
      <c r="H1079" s="83">
        <f>AVERAGEIFS(tbl_raw[Discount_Pct],tbl_raw[Product_Name],A1079)</f>
        <v>0.09</v>
      </c>
    </row>
    <row r="1080" spans="1:8" hidden="1" x14ac:dyDescent="0.25">
      <c r="A1080" s="2" t="str">
        <v>Jacket - Model 957</v>
      </c>
      <c r="B1080" s="2" t="str">
        <f>_xlfn.XLOOKUP(A1080,tbl_raw[Product_Name],tbl_raw[Category])</f>
        <v>Fashion</v>
      </c>
      <c r="C1080" s="2">
        <f>COUNTIF(tbl_raw[Product_Name],A1080)</f>
        <v>1</v>
      </c>
      <c r="D1080" s="2">
        <f>SUMIFS(tbl_raw[Units_Sold],tbl_raw[Product_Name],A1080)</f>
        <v>6</v>
      </c>
      <c r="E1080" s="3">
        <f>SUMIFS(tbl_raw[Net_Profit],tbl_raw[Product_Name],A1080)</f>
        <v>2382</v>
      </c>
      <c r="F1080" s="2">
        <f>SUMIFS(tbl_raw[Return_Flag],tbl_raw[Product_Name],A1080)</f>
        <v>0</v>
      </c>
      <c r="G1080" s="3" cm="1">
        <f t="array" ref="G1080">SUMPRODUCT((tbl_raw[Product_Name]=A1080)*(tbl_raw[MRP]-tbl_raw[Selling_Price])*tbl_raw[Units_Sold])</f>
        <v>4050</v>
      </c>
      <c r="H1080" s="83">
        <f>AVERAGEIFS(tbl_raw[Discount_Pct],tbl_raw[Product_Name],A1080)</f>
        <v>0.32</v>
      </c>
    </row>
    <row r="1081" spans="1:8" hidden="1" x14ac:dyDescent="0.25">
      <c r="A1081" s="2" t="str">
        <v>Puzzle - Model 833</v>
      </c>
      <c r="B1081" s="2" t="str">
        <f>_xlfn.XLOOKUP(A1081,tbl_raw[Product_Name],tbl_raw[Category])</f>
        <v>Toys</v>
      </c>
      <c r="C1081" s="2">
        <f>COUNTIF(tbl_raw[Product_Name],A1081)</f>
        <v>1</v>
      </c>
      <c r="D1081" s="2">
        <f>SUMIFS(tbl_raw[Units_Sold],tbl_raw[Product_Name],A1081)</f>
        <v>4</v>
      </c>
      <c r="E1081" s="3">
        <f>SUMIFS(tbl_raw[Net_Profit],tbl_raw[Product_Name],A1081)</f>
        <v>-920</v>
      </c>
      <c r="F1081" s="2">
        <f>SUMIFS(tbl_raw[Return_Flag],tbl_raw[Product_Name],A1081)</f>
        <v>0</v>
      </c>
      <c r="G1081" s="3" cm="1">
        <f t="array" ref="G1081">SUMPRODUCT((tbl_raw[Product_Name]=A1081)*(tbl_raw[MRP]-tbl_raw[Selling_Price])*tbl_raw[Units_Sold])</f>
        <v>6244</v>
      </c>
      <c r="H1081" s="83">
        <f>AVERAGEIFS(tbl_raw[Discount_Pct],tbl_raw[Product_Name],A1081)</f>
        <v>0.27</v>
      </c>
    </row>
    <row r="1082" spans="1:8" hidden="1" x14ac:dyDescent="0.25">
      <c r="A1082" s="2" t="str">
        <v>Action Figure - Model 472</v>
      </c>
      <c r="B1082" s="2" t="str">
        <f>_xlfn.XLOOKUP(A1082,tbl_raw[Product_Name],tbl_raw[Category])</f>
        <v>Toys</v>
      </c>
      <c r="C1082" s="2">
        <f>COUNTIF(tbl_raw[Product_Name],A1082)</f>
        <v>1</v>
      </c>
      <c r="D1082" s="2">
        <f>SUMIFS(tbl_raw[Units_Sold],tbl_raw[Product_Name],A1082)</f>
        <v>17</v>
      </c>
      <c r="E1082" s="3">
        <f>SUMIFS(tbl_raw[Net_Profit],tbl_raw[Product_Name],A1082)</f>
        <v>10013</v>
      </c>
      <c r="F1082" s="2">
        <f>SUMIFS(tbl_raw[Return_Flag],tbl_raw[Product_Name],A1082)</f>
        <v>0</v>
      </c>
      <c r="G1082" s="3" cm="1">
        <f t="array" ref="G1082">SUMPRODUCT((tbl_raw[Product_Name]=A1082)*(tbl_raw[MRP]-tbl_raw[Selling_Price])*tbl_raw[Units_Sold])</f>
        <v>17374</v>
      </c>
      <c r="H1082" s="83">
        <f>AVERAGEIFS(tbl_raw[Discount_Pct],tbl_raw[Product_Name],A1082)</f>
        <v>0.2</v>
      </c>
    </row>
    <row r="1083" spans="1:8" hidden="1" x14ac:dyDescent="0.25">
      <c r="A1083" s="2" t="str">
        <v>Bedsheet - Model 522</v>
      </c>
      <c r="B1083" s="2" t="str">
        <f>_xlfn.XLOOKUP(A1083,tbl_raw[Product_Name],tbl_raw[Category])</f>
        <v>Home &amp; Kitchen</v>
      </c>
      <c r="C1083" s="2">
        <f>COUNTIF(tbl_raw[Product_Name],A1083)</f>
        <v>1</v>
      </c>
      <c r="D1083" s="2">
        <f>SUMIFS(tbl_raw[Units_Sold],tbl_raw[Product_Name],A1083)</f>
        <v>5</v>
      </c>
      <c r="E1083" s="3">
        <f>SUMIFS(tbl_raw[Net_Profit],tbl_raw[Product_Name],A1083)</f>
        <v>5865</v>
      </c>
      <c r="F1083" s="2">
        <f>SUMIFS(tbl_raw[Return_Flag],tbl_raw[Product_Name],A1083)</f>
        <v>0</v>
      </c>
      <c r="G1083" s="3" cm="1">
        <f t="array" ref="G1083">SUMPRODUCT((tbl_raw[Product_Name]=A1083)*(tbl_raw[MRP]-tbl_raw[Selling_Price])*tbl_raw[Units_Sold])</f>
        <v>13180</v>
      </c>
      <c r="H1083" s="83">
        <f>AVERAGEIFS(tbl_raw[Discount_Pct],tbl_raw[Product_Name],A1083)</f>
        <v>0.36</v>
      </c>
    </row>
    <row r="1084" spans="1:8" hidden="1" x14ac:dyDescent="0.25">
      <c r="A1084" s="2" t="str">
        <v>Yoga Mat - Model 402</v>
      </c>
      <c r="B1084" s="2" t="str">
        <f>_xlfn.XLOOKUP(A1084,tbl_raw[Product_Name],tbl_raw[Category])</f>
        <v>Sports</v>
      </c>
      <c r="C1084" s="2">
        <f>COUNTIF(tbl_raw[Product_Name],A1084)</f>
        <v>1</v>
      </c>
      <c r="D1084" s="2">
        <f>SUMIFS(tbl_raw[Units_Sold],tbl_raw[Product_Name],A1084)</f>
        <v>11</v>
      </c>
      <c r="E1084" s="3">
        <f>SUMIFS(tbl_raw[Net_Profit],tbl_raw[Product_Name],A1084)</f>
        <v>5049</v>
      </c>
      <c r="F1084" s="2">
        <f>SUMIFS(tbl_raw[Return_Flag],tbl_raw[Product_Name],A1084)</f>
        <v>0</v>
      </c>
      <c r="G1084" s="3" cm="1">
        <f t="array" ref="G1084">SUMPRODUCT((tbl_raw[Product_Name]=A1084)*(tbl_raw[MRP]-tbl_raw[Selling_Price])*tbl_raw[Units_Sold])</f>
        <v>21626</v>
      </c>
      <c r="H1084" s="83">
        <f>AVERAGEIFS(tbl_raw[Discount_Pct],tbl_raw[Product_Name],A1084)</f>
        <v>0.31</v>
      </c>
    </row>
    <row r="1085" spans="1:8" hidden="1" x14ac:dyDescent="0.25">
      <c r="A1085" s="2" t="str">
        <v>Textbook - Model 414</v>
      </c>
      <c r="B1085" s="2" t="str">
        <f>_xlfn.XLOOKUP(A1085,tbl_raw[Product_Name],tbl_raw[Category])</f>
        <v>Books</v>
      </c>
      <c r="C1085" s="2">
        <f>COUNTIF(tbl_raw[Product_Name],A1085)</f>
        <v>1</v>
      </c>
      <c r="D1085" s="2">
        <f>SUMIFS(tbl_raw[Units_Sold],tbl_raw[Product_Name],A1085)</f>
        <v>19</v>
      </c>
      <c r="E1085" s="3">
        <f>SUMIFS(tbl_raw[Net_Profit],tbl_raw[Product_Name],A1085)</f>
        <v>21660</v>
      </c>
      <c r="F1085" s="2">
        <f>SUMIFS(tbl_raw[Return_Flag],tbl_raw[Product_Name],A1085)</f>
        <v>0</v>
      </c>
      <c r="G1085" s="3" cm="1">
        <f t="array" ref="G1085">SUMPRODUCT((tbl_raw[Product_Name]=A1085)*(tbl_raw[MRP]-tbl_raw[Selling_Price])*tbl_raw[Units_Sold])</f>
        <v>20520</v>
      </c>
      <c r="H1085" s="83">
        <f>AVERAGEIFS(tbl_raw[Discount_Pct],tbl_raw[Product_Name],A1085)</f>
        <v>0.21</v>
      </c>
    </row>
    <row r="1086" spans="1:8" hidden="1" x14ac:dyDescent="0.25">
      <c r="A1086" s="2" t="str">
        <v>Moisturizer - Model 971</v>
      </c>
      <c r="B1086" s="2" t="str">
        <f>_xlfn.XLOOKUP(A1086,tbl_raw[Product_Name],tbl_raw[Category])</f>
        <v>Beauty</v>
      </c>
      <c r="C1086" s="2">
        <f>COUNTIF(tbl_raw[Product_Name],A1086)</f>
        <v>1</v>
      </c>
      <c r="D1086" s="2">
        <f>SUMIFS(tbl_raw[Units_Sold],tbl_raw[Product_Name],A1086)</f>
        <v>19</v>
      </c>
      <c r="E1086" s="3">
        <f>SUMIFS(tbl_raw[Net_Profit],tbl_raw[Product_Name],A1086)</f>
        <v>9519</v>
      </c>
      <c r="F1086" s="2">
        <f>SUMIFS(tbl_raw[Return_Flag],tbl_raw[Product_Name],A1086)</f>
        <v>0</v>
      </c>
      <c r="G1086" s="3" cm="1">
        <f t="array" ref="G1086">SUMPRODUCT((tbl_raw[Product_Name]=A1086)*(tbl_raw[MRP]-tbl_raw[Selling_Price])*tbl_raw[Units_Sold])</f>
        <v>12654</v>
      </c>
      <c r="H1086" s="83">
        <f>AVERAGEIFS(tbl_raw[Discount_Pct],tbl_raw[Product_Name],A1086)</f>
        <v>0.26</v>
      </c>
    </row>
    <row r="1087" spans="1:8" hidden="1" x14ac:dyDescent="0.25">
      <c r="A1087" s="2" t="str">
        <v>Lamp - Model 973</v>
      </c>
      <c r="B1087" s="2" t="str">
        <f>_xlfn.XLOOKUP(A1087,tbl_raw[Product_Name],tbl_raw[Category])</f>
        <v>Home &amp; Kitchen</v>
      </c>
      <c r="C1087" s="2">
        <f>COUNTIF(tbl_raw[Product_Name],A1087)</f>
        <v>1</v>
      </c>
      <c r="D1087" s="2">
        <f>SUMIFS(tbl_raw[Units_Sold],tbl_raw[Product_Name],A1087)</f>
        <v>11</v>
      </c>
      <c r="E1087" s="3">
        <f>SUMIFS(tbl_raw[Net_Profit],tbl_raw[Product_Name],A1087)</f>
        <v>3586</v>
      </c>
      <c r="F1087" s="2">
        <f>SUMIFS(tbl_raw[Return_Flag],tbl_raw[Product_Name],A1087)</f>
        <v>0</v>
      </c>
      <c r="G1087" s="3" cm="1">
        <f t="array" ref="G1087">SUMPRODUCT((tbl_raw[Product_Name]=A1087)*(tbl_raw[MRP]-tbl_raw[Selling_Price])*tbl_raw[Units_Sold])</f>
        <v>8008</v>
      </c>
      <c r="H1087" s="83">
        <f>AVERAGEIFS(tbl_raw[Discount_Pct],tbl_raw[Product_Name],A1087)</f>
        <v>0.17</v>
      </c>
    </row>
    <row r="1088" spans="1:8" hidden="1" x14ac:dyDescent="0.25">
      <c r="A1088" s="2" t="str">
        <v>Saree - Model 330</v>
      </c>
      <c r="B1088" s="2" t="str">
        <f>_xlfn.XLOOKUP(A1088,tbl_raw[Product_Name],tbl_raw[Category])</f>
        <v>Fashion</v>
      </c>
      <c r="C1088" s="2">
        <f>COUNTIF(tbl_raw[Product_Name],A1088)</f>
        <v>1</v>
      </c>
      <c r="D1088" s="2">
        <f>SUMIFS(tbl_raw[Units_Sold],tbl_raw[Product_Name],A1088)</f>
        <v>7</v>
      </c>
      <c r="E1088" s="3">
        <f>SUMIFS(tbl_raw[Net_Profit],tbl_raw[Product_Name],A1088)</f>
        <v>1659</v>
      </c>
      <c r="F1088" s="2">
        <f>SUMIFS(tbl_raw[Return_Flag],tbl_raw[Product_Name],A1088)</f>
        <v>0</v>
      </c>
      <c r="G1088" s="3" cm="1">
        <f t="array" ref="G1088">SUMPRODUCT((tbl_raw[Product_Name]=A1088)*(tbl_raw[MRP]-tbl_raw[Selling_Price])*tbl_raw[Units_Sold])</f>
        <v>1778</v>
      </c>
      <c r="H1088" s="83">
        <f>AVERAGEIFS(tbl_raw[Discount_Pct],tbl_raw[Product_Name],A1088)</f>
        <v>0.13</v>
      </c>
    </row>
    <row r="1089" spans="1:8" hidden="1" x14ac:dyDescent="0.25">
      <c r="A1089" s="2" t="str">
        <v>Serum - Model 472</v>
      </c>
      <c r="B1089" s="2" t="str">
        <f>_xlfn.XLOOKUP(A1089,tbl_raw[Product_Name],tbl_raw[Category])</f>
        <v>Beauty</v>
      </c>
      <c r="C1089" s="2">
        <f>COUNTIF(tbl_raw[Product_Name],A1089)</f>
        <v>1</v>
      </c>
      <c r="D1089" s="2">
        <f>SUMIFS(tbl_raw[Units_Sold],tbl_raw[Product_Name],A1089)</f>
        <v>13</v>
      </c>
      <c r="E1089" s="3">
        <f>SUMIFS(tbl_raw[Net_Profit],tbl_raw[Product_Name],A1089)</f>
        <v>-1430</v>
      </c>
      <c r="F1089" s="2">
        <f>SUMIFS(tbl_raw[Return_Flag],tbl_raw[Product_Name],A1089)</f>
        <v>0</v>
      </c>
      <c r="G1089" s="3" cm="1">
        <f t="array" ref="G1089">SUMPRODUCT((tbl_raw[Product_Name]=A1089)*(tbl_raw[MRP]-tbl_raw[Selling_Price])*tbl_raw[Units_Sold])</f>
        <v>28431</v>
      </c>
      <c r="H1089" s="83">
        <f>AVERAGEIFS(tbl_raw[Discount_Pct],tbl_raw[Product_Name],A1089)</f>
        <v>0.43</v>
      </c>
    </row>
    <row r="1090" spans="1:8" hidden="1" x14ac:dyDescent="0.25">
      <c r="A1090" s="2" t="str">
        <v>Smartwatch - Model 680</v>
      </c>
      <c r="B1090" s="2" t="str">
        <f>_xlfn.XLOOKUP(A1090,tbl_raw[Product_Name],tbl_raw[Category])</f>
        <v>Electronics</v>
      </c>
      <c r="C1090" s="2">
        <f>COUNTIF(tbl_raw[Product_Name],A1090)</f>
        <v>1</v>
      </c>
      <c r="D1090" s="2">
        <f>SUMIFS(tbl_raw[Units_Sold],tbl_raw[Product_Name],A1090)</f>
        <v>8</v>
      </c>
      <c r="E1090" s="3">
        <f>SUMIFS(tbl_raw[Net_Profit],tbl_raw[Product_Name],A1090)</f>
        <v>1616</v>
      </c>
      <c r="F1090" s="2">
        <f>SUMIFS(tbl_raw[Return_Flag],tbl_raw[Product_Name],A1090)</f>
        <v>1</v>
      </c>
      <c r="G1090" s="3" cm="1">
        <f t="array" ref="G1090">SUMPRODUCT((tbl_raw[Product_Name]=A1090)*(tbl_raw[MRP]-tbl_raw[Selling_Price])*tbl_raw[Units_Sold])</f>
        <v>6072</v>
      </c>
      <c r="H1090" s="83">
        <f>AVERAGEIFS(tbl_raw[Discount_Pct],tbl_raw[Product_Name],A1090)</f>
        <v>0.36</v>
      </c>
    </row>
    <row r="1091" spans="1:8" hidden="1" x14ac:dyDescent="0.25">
      <c r="A1091" s="2" t="str">
        <v>Cycle - Model 384</v>
      </c>
      <c r="B1091" s="2" t="str">
        <f>_xlfn.XLOOKUP(A1091,tbl_raw[Product_Name],tbl_raw[Category])</f>
        <v>Sports</v>
      </c>
      <c r="C1091" s="2">
        <f>COUNTIF(tbl_raw[Product_Name],A1091)</f>
        <v>1</v>
      </c>
      <c r="D1091" s="2">
        <f>SUMIFS(tbl_raw[Units_Sold],tbl_raw[Product_Name],A1091)</f>
        <v>7</v>
      </c>
      <c r="E1091" s="3">
        <f>SUMIFS(tbl_raw[Net_Profit],tbl_raw[Product_Name],A1091)</f>
        <v>-5621</v>
      </c>
      <c r="F1091" s="2">
        <f>SUMIFS(tbl_raw[Return_Flag],tbl_raw[Product_Name],A1091)</f>
        <v>0</v>
      </c>
      <c r="G1091" s="3" cm="1">
        <f t="array" ref="G1091">SUMPRODUCT((tbl_raw[Product_Name]=A1091)*(tbl_raw[MRP]-tbl_raw[Selling_Price])*tbl_raw[Units_Sold])</f>
        <v>16989</v>
      </c>
      <c r="H1091" s="83">
        <f>AVERAGEIFS(tbl_raw[Discount_Pct],tbl_raw[Product_Name],A1091)</f>
        <v>0.41</v>
      </c>
    </row>
    <row r="1092" spans="1:8" hidden="1" x14ac:dyDescent="0.25">
      <c r="A1092" s="2" t="str">
        <v>Pulses - Model 200</v>
      </c>
      <c r="B1092" s="2" t="str">
        <f>_xlfn.XLOOKUP(A1092,tbl_raw[Product_Name],tbl_raw[Category])</f>
        <v>Grocery</v>
      </c>
      <c r="C1092" s="2">
        <f>COUNTIF(tbl_raw[Product_Name],A1092)</f>
        <v>1</v>
      </c>
      <c r="D1092" s="2">
        <f>SUMIFS(tbl_raw[Units_Sold],tbl_raw[Product_Name],A1092)</f>
        <v>2</v>
      </c>
      <c r="E1092" s="3">
        <f>SUMIFS(tbl_raw[Net_Profit],tbl_raw[Product_Name],A1092)</f>
        <v>1202</v>
      </c>
      <c r="F1092" s="2">
        <f>SUMIFS(tbl_raw[Return_Flag],tbl_raw[Product_Name],A1092)</f>
        <v>0</v>
      </c>
      <c r="G1092" s="3" cm="1">
        <f t="array" ref="G1092">SUMPRODUCT((tbl_raw[Product_Name]=A1092)*(tbl_raw[MRP]-tbl_raw[Selling_Price])*tbl_raw[Units_Sold])</f>
        <v>1558</v>
      </c>
      <c r="H1092" s="83">
        <f>AVERAGEIFS(tbl_raw[Discount_Pct],tbl_raw[Product_Name],A1092)</f>
        <v>0.28999999999999998</v>
      </c>
    </row>
    <row r="1093" spans="1:8" hidden="1" x14ac:dyDescent="0.25">
      <c r="A1093" s="2" t="str">
        <v>Rice - Model 682</v>
      </c>
      <c r="B1093" s="2" t="str">
        <f>_xlfn.XLOOKUP(A1093,tbl_raw[Product_Name],tbl_raw[Category])</f>
        <v>Grocery</v>
      </c>
      <c r="C1093" s="2">
        <f>COUNTIF(tbl_raw[Product_Name],A1093)</f>
        <v>1</v>
      </c>
      <c r="D1093" s="2">
        <f>SUMIFS(tbl_raw[Units_Sold],tbl_raw[Product_Name],A1093)</f>
        <v>19</v>
      </c>
      <c r="E1093" s="3">
        <f>SUMIFS(tbl_raw[Net_Profit],tbl_raw[Product_Name],A1093)</f>
        <v>-6004</v>
      </c>
      <c r="F1093" s="2">
        <f>SUMIFS(tbl_raw[Return_Flag],tbl_raw[Product_Name],A1093)</f>
        <v>1</v>
      </c>
      <c r="G1093" s="3" cm="1">
        <f t="array" ref="G1093">SUMPRODUCT((tbl_raw[Product_Name]=A1093)*(tbl_raw[MRP]-tbl_raw[Selling_Price])*tbl_raw[Units_Sold])</f>
        <v>27664</v>
      </c>
      <c r="H1093" s="83">
        <f>AVERAGEIFS(tbl_raw[Discount_Pct],tbl_raw[Product_Name],A1093)</f>
        <v>0.41</v>
      </c>
    </row>
    <row r="1094" spans="1:8" hidden="1" x14ac:dyDescent="0.25">
      <c r="A1094" s="2" t="str">
        <v>Dumbbells - Model 715</v>
      </c>
      <c r="B1094" s="2" t="str">
        <f>_xlfn.XLOOKUP(A1094,tbl_raw[Product_Name],tbl_raw[Category])</f>
        <v>Sports</v>
      </c>
      <c r="C1094" s="2">
        <f>COUNTIF(tbl_raw[Product_Name],A1094)</f>
        <v>1</v>
      </c>
      <c r="D1094" s="2">
        <f>SUMIFS(tbl_raw[Units_Sold],tbl_raw[Product_Name],A1094)</f>
        <v>16</v>
      </c>
      <c r="E1094" s="3">
        <f>SUMIFS(tbl_raw[Net_Profit],tbl_raw[Product_Name],A1094)</f>
        <v>21856</v>
      </c>
      <c r="F1094" s="2">
        <f>SUMIFS(tbl_raw[Return_Flag],tbl_raw[Product_Name],A1094)</f>
        <v>0</v>
      </c>
      <c r="G1094" s="3" cm="1">
        <f t="array" ref="G1094">SUMPRODUCT((tbl_raw[Product_Name]=A1094)*(tbl_raw[MRP]-tbl_raw[Selling_Price])*tbl_raw[Units_Sold])</f>
        <v>12288</v>
      </c>
      <c r="H1094" s="83">
        <f>AVERAGEIFS(tbl_raw[Discount_Pct],tbl_raw[Product_Name],A1094)</f>
        <v>0.15</v>
      </c>
    </row>
    <row r="1095" spans="1:8" hidden="1" x14ac:dyDescent="0.25">
      <c r="A1095" s="2" t="str">
        <v>Dumbbells - Model 214</v>
      </c>
      <c r="B1095" s="2" t="str">
        <f>_xlfn.XLOOKUP(A1095,tbl_raw[Product_Name],tbl_raw[Category])</f>
        <v>Sports</v>
      </c>
      <c r="C1095" s="2">
        <f>COUNTIF(tbl_raw[Product_Name],A1095)</f>
        <v>1</v>
      </c>
      <c r="D1095" s="2">
        <f>SUMIFS(tbl_raw[Units_Sold],tbl_raw[Product_Name],A1095)</f>
        <v>16</v>
      </c>
      <c r="E1095" s="3">
        <f>SUMIFS(tbl_raw[Net_Profit],tbl_raw[Product_Name],A1095)</f>
        <v>-1568</v>
      </c>
      <c r="F1095" s="2">
        <f>SUMIFS(tbl_raw[Return_Flag],tbl_raw[Product_Name],A1095)</f>
        <v>0</v>
      </c>
      <c r="G1095" s="3" cm="1">
        <f t="array" ref="G1095">SUMPRODUCT((tbl_raw[Product_Name]=A1095)*(tbl_raw[MRP]-tbl_raw[Selling_Price])*tbl_raw[Units_Sold])</f>
        <v>1600</v>
      </c>
      <c r="H1095" s="83">
        <f>AVERAGEIFS(tbl_raw[Discount_Pct],tbl_raw[Product_Name],A1095)</f>
        <v>0.4</v>
      </c>
    </row>
    <row r="1096" spans="1:8" hidden="1" x14ac:dyDescent="0.25">
      <c r="A1096" s="2" t="str">
        <v>Rice - Model 753</v>
      </c>
      <c r="B1096" s="2" t="str">
        <f>_xlfn.XLOOKUP(A1096,tbl_raw[Product_Name],tbl_raw[Category])</f>
        <v>Grocery</v>
      </c>
      <c r="C1096" s="2">
        <f>COUNTIF(tbl_raw[Product_Name],A1096)</f>
        <v>1</v>
      </c>
      <c r="D1096" s="2">
        <f>SUMIFS(tbl_raw[Units_Sold],tbl_raw[Product_Name],A1096)</f>
        <v>6</v>
      </c>
      <c r="E1096" s="3">
        <f>SUMIFS(tbl_raw[Net_Profit],tbl_raw[Product_Name],A1096)</f>
        <v>4350</v>
      </c>
      <c r="F1096" s="2">
        <f>SUMIFS(tbl_raw[Return_Flag],tbl_raw[Product_Name],A1096)</f>
        <v>0</v>
      </c>
      <c r="G1096" s="3" cm="1">
        <f t="array" ref="G1096">SUMPRODUCT((tbl_raw[Product_Name]=A1096)*(tbl_raw[MRP]-tbl_raw[Selling_Price])*tbl_raw[Units_Sold])</f>
        <v>516</v>
      </c>
      <c r="H1096" s="83">
        <f>AVERAGEIFS(tbl_raw[Discount_Pct],tbl_raw[Product_Name],A1096)</f>
        <v>0.05</v>
      </c>
    </row>
    <row r="1097" spans="1:8" hidden="1" x14ac:dyDescent="0.25">
      <c r="A1097" s="2" t="str">
        <v>Cycle - Model 315</v>
      </c>
      <c r="B1097" s="2" t="str">
        <f>_xlfn.XLOOKUP(A1097,tbl_raw[Product_Name],tbl_raw[Category])</f>
        <v>Sports</v>
      </c>
      <c r="C1097" s="2">
        <f>COUNTIF(tbl_raw[Product_Name],A1097)</f>
        <v>1</v>
      </c>
      <c r="D1097" s="2">
        <f>SUMIFS(tbl_raw[Units_Sold],tbl_raw[Product_Name],A1097)</f>
        <v>5</v>
      </c>
      <c r="E1097" s="3">
        <f>SUMIFS(tbl_raw[Net_Profit],tbl_raw[Product_Name],A1097)</f>
        <v>4780</v>
      </c>
      <c r="F1097" s="2">
        <f>SUMIFS(tbl_raw[Return_Flag],tbl_raw[Product_Name],A1097)</f>
        <v>0</v>
      </c>
      <c r="G1097" s="3" cm="1">
        <f t="array" ref="G1097">SUMPRODUCT((tbl_raw[Product_Name]=A1097)*(tbl_raw[MRP]-tbl_raw[Selling_Price])*tbl_raw[Units_Sold])</f>
        <v>1225</v>
      </c>
      <c r="H1097" s="83">
        <f>AVERAGEIFS(tbl_raw[Discount_Pct],tbl_raw[Product_Name],A1097)</f>
        <v>0.09</v>
      </c>
    </row>
    <row r="1098" spans="1:8" hidden="1" x14ac:dyDescent="0.25">
      <c r="A1098" s="2" t="str">
        <v>Puzzle - Model 334</v>
      </c>
      <c r="B1098" s="2" t="str">
        <f>_xlfn.XLOOKUP(A1098,tbl_raw[Product_Name],tbl_raw[Category])</f>
        <v>Toys</v>
      </c>
      <c r="C1098" s="2">
        <f>COUNTIF(tbl_raw[Product_Name],A1098)</f>
        <v>1</v>
      </c>
      <c r="D1098" s="2">
        <f>SUMIFS(tbl_raw[Units_Sold],tbl_raw[Product_Name],A1098)</f>
        <v>16</v>
      </c>
      <c r="E1098" s="3">
        <f>SUMIFS(tbl_raw[Net_Profit],tbl_raw[Product_Name],A1098)</f>
        <v>9600</v>
      </c>
      <c r="F1098" s="2">
        <f>SUMIFS(tbl_raw[Return_Flag],tbl_raw[Product_Name],A1098)</f>
        <v>0</v>
      </c>
      <c r="G1098" s="3" cm="1">
        <f t="array" ref="G1098">SUMPRODUCT((tbl_raw[Product_Name]=A1098)*(tbl_raw[MRP]-tbl_raw[Selling_Price])*tbl_raw[Units_Sold])</f>
        <v>45520</v>
      </c>
      <c r="H1098" s="83">
        <f>AVERAGEIFS(tbl_raw[Discount_Pct],tbl_raw[Product_Name],A1098)</f>
        <v>0.38</v>
      </c>
    </row>
    <row r="1099" spans="1:8" hidden="1" x14ac:dyDescent="0.25">
      <c r="A1099" s="2" t="str">
        <v>Remote Car - Model 105</v>
      </c>
      <c r="B1099" s="2" t="str">
        <f>_xlfn.XLOOKUP(A1099,tbl_raw[Product_Name],tbl_raw[Category])</f>
        <v>Toys</v>
      </c>
      <c r="C1099" s="2">
        <f>COUNTIF(tbl_raw[Product_Name],A1099)</f>
        <v>1</v>
      </c>
      <c r="D1099" s="2">
        <f>SUMIFS(tbl_raw[Units_Sold],tbl_raw[Product_Name],A1099)</f>
        <v>2</v>
      </c>
      <c r="E1099" s="3">
        <f>SUMIFS(tbl_raw[Net_Profit],tbl_raw[Product_Name],A1099)</f>
        <v>2100</v>
      </c>
      <c r="F1099" s="2">
        <f>SUMIFS(tbl_raw[Return_Flag],tbl_raw[Product_Name],A1099)</f>
        <v>0</v>
      </c>
      <c r="G1099" s="3" cm="1">
        <f t="array" ref="G1099">SUMPRODUCT((tbl_raw[Product_Name]=A1099)*(tbl_raw[MRP]-tbl_raw[Selling_Price])*tbl_raw[Units_Sold])</f>
        <v>2482</v>
      </c>
      <c r="H1099" s="83">
        <f>AVERAGEIFS(tbl_raw[Discount_Pct],tbl_raw[Product_Name],A1099)</f>
        <v>0.16</v>
      </c>
    </row>
    <row r="1100" spans="1:8" hidden="1" x14ac:dyDescent="0.25">
      <c r="A1100" s="2" t="str">
        <v>Yoga Mat - Model 952</v>
      </c>
      <c r="B1100" s="2" t="str">
        <f>_xlfn.XLOOKUP(A1100,tbl_raw[Product_Name],tbl_raw[Category])</f>
        <v>Sports</v>
      </c>
      <c r="C1100" s="2">
        <f>COUNTIF(tbl_raw[Product_Name],A1100)</f>
        <v>1</v>
      </c>
      <c r="D1100" s="2">
        <f>SUMIFS(tbl_raw[Units_Sold],tbl_raw[Product_Name],A1100)</f>
        <v>1</v>
      </c>
      <c r="E1100" s="3">
        <f>SUMIFS(tbl_raw[Net_Profit],tbl_raw[Product_Name],A1100)</f>
        <v>227</v>
      </c>
      <c r="F1100" s="2">
        <f>SUMIFS(tbl_raw[Return_Flag],tbl_raw[Product_Name],A1100)</f>
        <v>1</v>
      </c>
      <c r="G1100" s="3" cm="1">
        <f t="array" ref="G1100">SUMPRODUCT((tbl_raw[Product_Name]=A1100)*(tbl_raw[MRP]-tbl_raw[Selling_Price])*tbl_raw[Units_Sold])</f>
        <v>976</v>
      </c>
      <c r="H1100" s="83">
        <f>AVERAGEIFS(tbl_raw[Discount_Pct],tbl_raw[Product_Name],A1100)</f>
        <v>0.36</v>
      </c>
    </row>
    <row r="1101" spans="1:8" hidden="1" x14ac:dyDescent="0.25">
      <c r="A1101" s="2" t="str">
        <v>Shoes - Model 176</v>
      </c>
      <c r="B1101" s="2" t="str">
        <f>_xlfn.XLOOKUP(A1101,tbl_raw[Product_Name],tbl_raw[Category])</f>
        <v>Sports</v>
      </c>
      <c r="C1101" s="2">
        <f>COUNTIF(tbl_raw[Product_Name],A1101)</f>
        <v>1</v>
      </c>
      <c r="D1101" s="2">
        <f>SUMIFS(tbl_raw[Units_Sold],tbl_raw[Product_Name],A1101)</f>
        <v>6</v>
      </c>
      <c r="E1101" s="3">
        <f>SUMIFS(tbl_raw[Net_Profit],tbl_raw[Product_Name],A1101)</f>
        <v>1494</v>
      </c>
      <c r="F1101" s="2">
        <f>SUMIFS(tbl_raw[Return_Flag],tbl_raw[Product_Name],A1101)</f>
        <v>0</v>
      </c>
      <c r="G1101" s="3" cm="1">
        <f t="array" ref="G1101">SUMPRODUCT((tbl_raw[Product_Name]=A1101)*(tbl_raw[MRP]-tbl_raw[Selling_Price])*tbl_raw[Units_Sold])</f>
        <v>3618</v>
      </c>
      <c r="H1101" s="83">
        <f>AVERAGEIFS(tbl_raw[Discount_Pct],tbl_raw[Product_Name],A1101)</f>
        <v>0.22</v>
      </c>
    </row>
    <row r="1102" spans="1:8" hidden="1" x14ac:dyDescent="0.25">
      <c r="A1102" s="2" t="str">
        <v>Lipstick - Model 721</v>
      </c>
      <c r="B1102" s="2" t="str">
        <f>_xlfn.XLOOKUP(A1102,tbl_raw[Product_Name],tbl_raw[Category])</f>
        <v>Beauty</v>
      </c>
      <c r="C1102" s="2">
        <f>COUNTIF(tbl_raw[Product_Name],A1102)</f>
        <v>1</v>
      </c>
      <c r="D1102" s="2">
        <f>SUMIFS(tbl_raw[Units_Sold],tbl_raw[Product_Name],A1102)</f>
        <v>13</v>
      </c>
      <c r="E1102" s="3">
        <f>SUMIFS(tbl_raw[Net_Profit],tbl_raw[Product_Name],A1102)</f>
        <v>2431</v>
      </c>
      <c r="F1102" s="2">
        <f>SUMIFS(tbl_raw[Return_Flag],tbl_raw[Product_Name],A1102)</f>
        <v>0</v>
      </c>
      <c r="G1102" s="3" cm="1">
        <f t="array" ref="G1102">SUMPRODUCT((tbl_raw[Product_Name]=A1102)*(tbl_raw[MRP]-tbl_raw[Selling_Price])*tbl_raw[Units_Sold])</f>
        <v>260</v>
      </c>
      <c r="H1102" s="83">
        <f>AVERAGEIFS(tbl_raw[Discount_Pct],tbl_raw[Product_Name],A1102)</f>
        <v>0.03</v>
      </c>
    </row>
    <row r="1103" spans="1:8" hidden="1" x14ac:dyDescent="0.25">
      <c r="A1103" s="2" t="str">
        <v>Saree - Model 893</v>
      </c>
      <c r="B1103" s="2" t="str">
        <f>_xlfn.XLOOKUP(A1103,tbl_raw[Product_Name],tbl_raw[Category])</f>
        <v>Fashion</v>
      </c>
      <c r="C1103" s="2">
        <f>COUNTIF(tbl_raw[Product_Name],A1103)</f>
        <v>1</v>
      </c>
      <c r="D1103" s="2">
        <f>SUMIFS(tbl_raw[Units_Sold],tbl_raw[Product_Name],A1103)</f>
        <v>5</v>
      </c>
      <c r="E1103" s="3">
        <f>SUMIFS(tbl_raw[Net_Profit],tbl_raw[Product_Name],A1103)</f>
        <v>3955</v>
      </c>
      <c r="F1103" s="2">
        <f>SUMIFS(tbl_raw[Return_Flag],tbl_raw[Product_Name],A1103)</f>
        <v>0</v>
      </c>
      <c r="G1103" s="3" cm="1">
        <f t="array" ref="G1103">SUMPRODUCT((tbl_raw[Product_Name]=A1103)*(tbl_raw[MRP]-tbl_raw[Selling_Price])*tbl_raw[Units_Sold])</f>
        <v>9475</v>
      </c>
      <c r="H1103" s="83">
        <f>AVERAGEIFS(tbl_raw[Discount_Pct],tbl_raw[Product_Name],A1103)</f>
        <v>0.27</v>
      </c>
    </row>
    <row r="1104" spans="1:8" hidden="1" x14ac:dyDescent="0.25">
      <c r="A1104" s="2" t="str">
        <v>Shoes - Model 243</v>
      </c>
      <c r="B1104" s="2" t="str">
        <f>_xlfn.XLOOKUP(A1104,tbl_raw[Product_Name],tbl_raw[Category])</f>
        <v>Sports</v>
      </c>
      <c r="C1104" s="2">
        <f>COUNTIF(tbl_raw[Product_Name],A1104)</f>
        <v>1</v>
      </c>
      <c r="D1104" s="2">
        <f>SUMIFS(tbl_raw[Units_Sold],tbl_raw[Product_Name],A1104)</f>
        <v>11</v>
      </c>
      <c r="E1104" s="3">
        <f>SUMIFS(tbl_raw[Net_Profit],tbl_raw[Product_Name],A1104)</f>
        <v>12727</v>
      </c>
      <c r="F1104" s="2">
        <f>SUMIFS(tbl_raw[Return_Flag],tbl_raw[Product_Name],A1104)</f>
        <v>0</v>
      </c>
      <c r="G1104" s="3" cm="1">
        <f t="array" ref="G1104">SUMPRODUCT((tbl_raw[Product_Name]=A1104)*(tbl_raw[MRP]-tbl_raw[Selling_Price])*tbl_raw[Units_Sold])</f>
        <v>13497</v>
      </c>
      <c r="H1104" s="83">
        <f>AVERAGEIFS(tbl_raw[Discount_Pct],tbl_raw[Product_Name],A1104)</f>
        <v>0.16</v>
      </c>
    </row>
    <row r="1105" spans="1:8" hidden="1" x14ac:dyDescent="0.25">
      <c r="A1105" s="2" t="str">
        <v>Self-Help - Model 793</v>
      </c>
      <c r="B1105" s="2" t="str">
        <f>_xlfn.XLOOKUP(A1105,tbl_raw[Product_Name],tbl_raw[Category])</f>
        <v>Books</v>
      </c>
      <c r="C1105" s="2">
        <f>COUNTIF(tbl_raw[Product_Name],A1105)</f>
        <v>1</v>
      </c>
      <c r="D1105" s="2">
        <f>SUMIFS(tbl_raw[Units_Sold],tbl_raw[Product_Name],A1105)</f>
        <v>9</v>
      </c>
      <c r="E1105" s="3">
        <f>SUMIFS(tbl_raw[Net_Profit],tbl_raw[Product_Name],A1105)</f>
        <v>4653</v>
      </c>
      <c r="F1105" s="2">
        <f>SUMIFS(tbl_raw[Return_Flag],tbl_raw[Product_Name],A1105)</f>
        <v>0</v>
      </c>
      <c r="G1105" s="3" cm="1">
        <f t="array" ref="G1105">SUMPRODUCT((tbl_raw[Product_Name]=A1105)*(tbl_raw[MRP]-tbl_raw[Selling_Price])*tbl_raw[Units_Sold])</f>
        <v>18549</v>
      </c>
      <c r="H1105" s="83">
        <f>AVERAGEIFS(tbl_raw[Discount_Pct],tbl_raw[Product_Name],A1105)</f>
        <v>0.42</v>
      </c>
    </row>
    <row r="1106" spans="1:8" hidden="1" x14ac:dyDescent="0.25">
      <c r="A1106" s="2" t="str">
        <v>Tablet - Model 482</v>
      </c>
      <c r="B1106" s="2" t="str">
        <f>_xlfn.XLOOKUP(A1106,tbl_raw[Product_Name],tbl_raw[Category])</f>
        <v>Electronics</v>
      </c>
      <c r="C1106" s="2">
        <f>COUNTIF(tbl_raw[Product_Name],A1106)</f>
        <v>1</v>
      </c>
      <c r="D1106" s="2">
        <f>SUMIFS(tbl_raw[Units_Sold],tbl_raw[Product_Name],A1106)</f>
        <v>19</v>
      </c>
      <c r="E1106" s="3">
        <f>SUMIFS(tbl_raw[Net_Profit],tbl_raw[Product_Name],A1106)</f>
        <v>25517</v>
      </c>
      <c r="F1106" s="2">
        <f>SUMIFS(tbl_raw[Return_Flag],tbl_raw[Product_Name],A1106)</f>
        <v>0</v>
      </c>
      <c r="G1106" s="3" cm="1">
        <f t="array" ref="G1106">SUMPRODUCT((tbl_raw[Product_Name]=A1106)*(tbl_raw[MRP]-tbl_raw[Selling_Price])*tbl_raw[Units_Sold])</f>
        <v>684</v>
      </c>
      <c r="H1106" s="83">
        <f>AVERAGEIFS(tbl_raw[Discount_Pct],tbl_raw[Product_Name],A1106)</f>
        <v>0.01</v>
      </c>
    </row>
    <row r="1107" spans="1:8" hidden="1" x14ac:dyDescent="0.25">
      <c r="A1107" s="2" t="str">
        <v>Jacket - Model 194</v>
      </c>
      <c r="B1107" s="2" t="str">
        <f>_xlfn.XLOOKUP(A1107,tbl_raw[Product_Name],tbl_raw[Category])</f>
        <v>Fashion</v>
      </c>
      <c r="C1107" s="2">
        <f>COUNTIF(tbl_raw[Product_Name],A1107)</f>
        <v>1</v>
      </c>
      <c r="D1107" s="2">
        <f>SUMIFS(tbl_raw[Units_Sold],tbl_raw[Product_Name],A1107)</f>
        <v>4</v>
      </c>
      <c r="E1107" s="3">
        <f>SUMIFS(tbl_raw[Net_Profit],tbl_raw[Product_Name],A1107)</f>
        <v>-1148</v>
      </c>
      <c r="F1107" s="2">
        <f>SUMIFS(tbl_raw[Return_Flag],tbl_raw[Product_Name],A1107)</f>
        <v>0</v>
      </c>
      <c r="G1107" s="3" cm="1">
        <f t="array" ref="G1107">SUMPRODUCT((tbl_raw[Product_Name]=A1107)*(tbl_raw[MRP]-tbl_raw[Selling_Price])*tbl_raw[Units_Sold])</f>
        <v>6260</v>
      </c>
      <c r="H1107" s="83">
        <f>AVERAGEIFS(tbl_raw[Discount_Pct],tbl_raw[Product_Name],A1107)</f>
        <v>0.36</v>
      </c>
    </row>
    <row r="1108" spans="1:8" hidden="1" x14ac:dyDescent="0.25">
      <c r="A1108" s="2" t="str">
        <v>Puzzle - Model 576</v>
      </c>
      <c r="B1108" s="2" t="str">
        <f>_xlfn.XLOOKUP(A1108,tbl_raw[Product_Name],tbl_raw[Category])</f>
        <v>Toys</v>
      </c>
      <c r="C1108" s="2">
        <f>COUNTIF(tbl_raw[Product_Name],A1108)</f>
        <v>1</v>
      </c>
      <c r="D1108" s="2">
        <f>SUMIFS(tbl_raw[Units_Sold],tbl_raw[Product_Name],A1108)</f>
        <v>5</v>
      </c>
      <c r="E1108" s="3">
        <f>SUMIFS(tbl_raw[Net_Profit],tbl_raw[Product_Name],A1108)</f>
        <v>8645</v>
      </c>
      <c r="F1108" s="2">
        <f>SUMIFS(tbl_raw[Return_Flag],tbl_raw[Product_Name],A1108)</f>
        <v>0</v>
      </c>
      <c r="G1108" s="3" cm="1">
        <f t="array" ref="G1108">SUMPRODUCT((tbl_raw[Product_Name]=A1108)*(tbl_raw[MRP]-tbl_raw[Selling_Price])*tbl_raw[Units_Sold])</f>
        <v>790</v>
      </c>
      <c r="H1108" s="83">
        <f>AVERAGEIFS(tbl_raw[Discount_Pct],tbl_raw[Product_Name],A1108)</f>
        <v>0.03</v>
      </c>
    </row>
    <row r="1109" spans="1:8" hidden="1" x14ac:dyDescent="0.25">
      <c r="A1109" s="2" t="str">
        <v>Doll - Model 400</v>
      </c>
      <c r="B1109" s="2" t="str">
        <f>_xlfn.XLOOKUP(A1109,tbl_raw[Product_Name],tbl_raw[Category])</f>
        <v>Toys</v>
      </c>
      <c r="C1109" s="2">
        <f>COUNTIF(tbl_raw[Product_Name],A1109)</f>
        <v>1</v>
      </c>
      <c r="D1109" s="2">
        <f>SUMIFS(tbl_raw[Units_Sold],tbl_raw[Product_Name],A1109)</f>
        <v>20</v>
      </c>
      <c r="E1109" s="3">
        <f>SUMIFS(tbl_raw[Net_Profit],tbl_raw[Product_Name],A1109)</f>
        <v>66200</v>
      </c>
      <c r="F1109" s="2">
        <f>SUMIFS(tbl_raw[Return_Flag],tbl_raw[Product_Name],A1109)</f>
        <v>0</v>
      </c>
      <c r="G1109" s="3" cm="1">
        <f t="array" ref="G1109">SUMPRODUCT((tbl_raw[Product_Name]=A1109)*(tbl_raw[MRP]-tbl_raw[Selling_Price])*tbl_raw[Units_Sold])</f>
        <v>1340</v>
      </c>
      <c r="H1109" s="83">
        <f>AVERAGEIFS(tbl_raw[Discount_Pct],tbl_raw[Product_Name],A1109)</f>
        <v>0.01</v>
      </c>
    </row>
    <row r="1110" spans="1:8" hidden="1" x14ac:dyDescent="0.25">
      <c r="A1110" s="2" t="str">
        <v>Oil - Model 888</v>
      </c>
      <c r="B1110" s="2" t="str">
        <f>_xlfn.XLOOKUP(A1110,tbl_raw[Product_Name],tbl_raw[Category])</f>
        <v>Grocery</v>
      </c>
      <c r="C1110" s="2">
        <f>COUNTIF(tbl_raw[Product_Name],A1110)</f>
        <v>1</v>
      </c>
      <c r="D1110" s="2">
        <f>SUMIFS(tbl_raw[Units_Sold],tbl_raw[Product_Name],A1110)</f>
        <v>12</v>
      </c>
      <c r="E1110" s="3">
        <f>SUMIFS(tbl_raw[Net_Profit],tbl_raw[Product_Name],A1110)</f>
        <v>6024</v>
      </c>
      <c r="F1110" s="2">
        <f>SUMIFS(tbl_raw[Return_Flag],tbl_raw[Product_Name],A1110)</f>
        <v>0</v>
      </c>
      <c r="G1110" s="3" cm="1">
        <f t="array" ref="G1110">SUMPRODUCT((tbl_raw[Product_Name]=A1110)*(tbl_raw[MRP]-tbl_raw[Selling_Price])*tbl_raw[Units_Sold])</f>
        <v>27516</v>
      </c>
      <c r="H1110" s="83">
        <f>AVERAGEIFS(tbl_raw[Discount_Pct],tbl_raw[Product_Name],A1110)</f>
        <v>0.32</v>
      </c>
    </row>
    <row r="1111" spans="1:8" hidden="1" x14ac:dyDescent="0.25">
      <c r="A1111" s="2" t="str">
        <v>Laptop - Model 653</v>
      </c>
      <c r="B1111" s="2" t="str">
        <f>_xlfn.XLOOKUP(A1111,tbl_raw[Product_Name],tbl_raw[Category])</f>
        <v>Electronics</v>
      </c>
      <c r="C1111" s="2">
        <f>COUNTIF(tbl_raw[Product_Name],A1111)</f>
        <v>1</v>
      </c>
      <c r="D1111" s="2">
        <f>SUMIFS(tbl_raw[Units_Sold],tbl_raw[Product_Name],A1111)</f>
        <v>3</v>
      </c>
      <c r="E1111" s="3">
        <f>SUMIFS(tbl_raw[Net_Profit],tbl_raw[Product_Name],A1111)</f>
        <v>2952</v>
      </c>
      <c r="F1111" s="2">
        <f>SUMIFS(tbl_raw[Return_Flag],tbl_raw[Product_Name],A1111)</f>
        <v>0</v>
      </c>
      <c r="G1111" s="3" cm="1">
        <f t="array" ref="G1111">SUMPRODUCT((tbl_raw[Product_Name]=A1111)*(tbl_raw[MRP]-tbl_raw[Selling_Price])*tbl_raw[Units_Sold])</f>
        <v>1158</v>
      </c>
      <c r="H1111" s="83">
        <f>AVERAGEIFS(tbl_raw[Discount_Pct],tbl_raw[Product_Name],A1111)</f>
        <v>0.14000000000000001</v>
      </c>
    </row>
    <row r="1112" spans="1:8" hidden="1" x14ac:dyDescent="0.25">
      <c r="A1112" s="2" t="str">
        <v>Fiction - Model 240</v>
      </c>
      <c r="B1112" s="2" t="str">
        <f>_xlfn.XLOOKUP(A1112,tbl_raw[Product_Name],tbl_raw[Category])</f>
        <v>Books</v>
      </c>
      <c r="C1112" s="2">
        <f>COUNTIF(tbl_raw[Product_Name],A1112)</f>
        <v>1</v>
      </c>
      <c r="D1112" s="2">
        <f>SUMIFS(tbl_raw[Units_Sold],tbl_raw[Product_Name],A1112)</f>
        <v>4</v>
      </c>
      <c r="E1112" s="3">
        <f>SUMIFS(tbl_raw[Net_Profit],tbl_raw[Product_Name],A1112)</f>
        <v>6800</v>
      </c>
      <c r="F1112" s="2">
        <f>SUMIFS(tbl_raw[Return_Flag],tbl_raw[Product_Name],A1112)</f>
        <v>0</v>
      </c>
      <c r="G1112" s="3" cm="1">
        <f t="array" ref="G1112">SUMPRODUCT((tbl_raw[Product_Name]=A1112)*(tbl_raw[MRP]-tbl_raw[Selling_Price])*tbl_raw[Units_Sold])</f>
        <v>4560</v>
      </c>
      <c r="H1112" s="83">
        <f>AVERAGEIFS(tbl_raw[Discount_Pct],tbl_raw[Product_Name],A1112)</f>
        <v>0.17</v>
      </c>
    </row>
    <row r="1113" spans="1:8" hidden="1" x14ac:dyDescent="0.25">
      <c r="A1113" s="2" t="str">
        <v>Perfume - Model 704</v>
      </c>
      <c r="B1113" s="2" t="str">
        <f>_xlfn.XLOOKUP(A1113,tbl_raw[Product_Name],tbl_raw[Category])</f>
        <v>Beauty</v>
      </c>
      <c r="C1113" s="2">
        <f>COUNTIF(tbl_raw[Product_Name],A1113)</f>
        <v>1</v>
      </c>
      <c r="D1113" s="2">
        <f>SUMIFS(tbl_raw[Units_Sold],tbl_raw[Product_Name],A1113)</f>
        <v>3</v>
      </c>
      <c r="E1113" s="3">
        <f>SUMIFS(tbl_raw[Net_Profit],tbl_raw[Product_Name],A1113)</f>
        <v>3579</v>
      </c>
      <c r="F1113" s="2">
        <f>SUMIFS(tbl_raw[Return_Flag],tbl_raw[Product_Name],A1113)</f>
        <v>0</v>
      </c>
      <c r="G1113" s="3" cm="1">
        <f t="array" ref="G1113">SUMPRODUCT((tbl_raw[Product_Name]=A1113)*(tbl_raw[MRP]-tbl_raw[Selling_Price])*tbl_raw[Units_Sold])</f>
        <v>5355</v>
      </c>
      <c r="H1113" s="83">
        <f>AVERAGEIFS(tbl_raw[Discount_Pct],tbl_raw[Product_Name],A1113)</f>
        <v>0.23</v>
      </c>
    </row>
    <row r="1114" spans="1:8" hidden="1" x14ac:dyDescent="0.25">
      <c r="A1114" s="2" t="str">
        <v>Textbook - Model 525</v>
      </c>
      <c r="B1114" s="2" t="str">
        <f>_xlfn.XLOOKUP(A1114,tbl_raw[Product_Name],tbl_raw[Category])</f>
        <v>Books</v>
      </c>
      <c r="C1114" s="2">
        <f>COUNTIF(tbl_raw[Product_Name],A1114)</f>
        <v>1</v>
      </c>
      <c r="D1114" s="2">
        <f>SUMIFS(tbl_raw[Units_Sold],tbl_raw[Product_Name],A1114)</f>
        <v>7</v>
      </c>
      <c r="E1114" s="3">
        <f>SUMIFS(tbl_raw[Net_Profit],tbl_raw[Product_Name],A1114)</f>
        <v>5817</v>
      </c>
      <c r="F1114" s="2">
        <f>SUMIFS(tbl_raw[Return_Flag],tbl_raw[Product_Name],A1114)</f>
        <v>0</v>
      </c>
      <c r="G1114" s="3" cm="1">
        <f t="array" ref="G1114">SUMPRODUCT((tbl_raw[Product_Name]=A1114)*(tbl_raw[MRP]-tbl_raw[Selling_Price])*tbl_raw[Units_Sold])</f>
        <v>19866</v>
      </c>
      <c r="H1114" s="83">
        <f>AVERAGEIFS(tbl_raw[Discount_Pct],tbl_raw[Product_Name],A1114)</f>
        <v>0.36</v>
      </c>
    </row>
    <row r="1115" spans="1:8" hidden="1" x14ac:dyDescent="0.25">
      <c r="A1115" s="2" t="str">
        <v>Remote Car - Model 978</v>
      </c>
      <c r="B1115" s="2" t="str">
        <f>_xlfn.XLOOKUP(A1115,tbl_raw[Product_Name],tbl_raw[Category])</f>
        <v>Toys</v>
      </c>
      <c r="C1115" s="2">
        <f>COUNTIF(tbl_raw[Product_Name],A1115)</f>
        <v>1</v>
      </c>
      <c r="D1115" s="2">
        <f>SUMIFS(tbl_raw[Units_Sold],tbl_raw[Product_Name],A1115)</f>
        <v>12</v>
      </c>
      <c r="E1115" s="3">
        <f>SUMIFS(tbl_raw[Net_Profit],tbl_raw[Product_Name],A1115)</f>
        <v>13728</v>
      </c>
      <c r="F1115" s="2">
        <f>SUMIFS(tbl_raw[Return_Flag],tbl_raw[Product_Name],A1115)</f>
        <v>0</v>
      </c>
      <c r="G1115" s="3" cm="1">
        <f t="array" ref="G1115">SUMPRODUCT((tbl_raw[Product_Name]=A1115)*(tbl_raw[MRP]-tbl_raw[Selling_Price])*tbl_raw[Units_Sold])</f>
        <v>5064</v>
      </c>
      <c r="H1115" s="83">
        <f>AVERAGEIFS(tbl_raw[Discount_Pct],tbl_raw[Product_Name],A1115)</f>
        <v>0.14000000000000001</v>
      </c>
    </row>
    <row r="1116" spans="1:8" hidden="1" x14ac:dyDescent="0.25">
      <c r="A1116" s="2" t="str">
        <v>Remote Car - Model 116</v>
      </c>
      <c r="B1116" s="2" t="str">
        <f>_xlfn.XLOOKUP(A1116,tbl_raw[Product_Name],tbl_raw[Category])</f>
        <v>Toys</v>
      </c>
      <c r="C1116" s="2">
        <f>COUNTIF(tbl_raw[Product_Name],A1116)</f>
        <v>1</v>
      </c>
      <c r="D1116" s="2">
        <f>SUMIFS(tbl_raw[Units_Sold],tbl_raw[Product_Name],A1116)</f>
        <v>11</v>
      </c>
      <c r="E1116" s="3">
        <f>SUMIFS(tbl_raw[Net_Profit],tbl_raw[Product_Name],A1116)</f>
        <v>616</v>
      </c>
      <c r="F1116" s="2">
        <f>SUMIFS(tbl_raw[Return_Flag],tbl_raw[Product_Name],A1116)</f>
        <v>0</v>
      </c>
      <c r="G1116" s="3" cm="1">
        <f t="array" ref="G1116">SUMPRODUCT((tbl_raw[Product_Name]=A1116)*(tbl_raw[MRP]-tbl_raw[Selling_Price])*tbl_raw[Units_Sold])</f>
        <v>2321</v>
      </c>
      <c r="H1116" s="83">
        <f>AVERAGEIFS(tbl_raw[Discount_Pct],tbl_raw[Product_Name],A1116)</f>
        <v>0.38</v>
      </c>
    </row>
    <row r="1117" spans="1:8" hidden="1" x14ac:dyDescent="0.25">
      <c r="A1117" s="2" t="str">
        <v>Lipstick - Model 480</v>
      </c>
      <c r="B1117" s="2" t="str">
        <f>_xlfn.XLOOKUP(A1117,tbl_raw[Product_Name],tbl_raw[Category])</f>
        <v>Beauty</v>
      </c>
      <c r="C1117" s="2">
        <f>COUNTIF(tbl_raw[Product_Name],A1117)</f>
        <v>1</v>
      </c>
      <c r="D1117" s="2">
        <f>SUMIFS(tbl_raw[Units_Sold],tbl_raw[Product_Name],A1117)</f>
        <v>14</v>
      </c>
      <c r="E1117" s="3">
        <f>SUMIFS(tbl_raw[Net_Profit],tbl_raw[Product_Name],A1117)</f>
        <v>30828</v>
      </c>
      <c r="F1117" s="2">
        <f>SUMIFS(tbl_raw[Return_Flag],tbl_raw[Product_Name],A1117)</f>
        <v>0</v>
      </c>
      <c r="G1117" s="3" cm="1">
        <f t="array" ref="G1117">SUMPRODUCT((tbl_raw[Product_Name]=A1117)*(tbl_raw[MRP]-tbl_raw[Selling_Price])*tbl_raw[Units_Sold])</f>
        <v>17612</v>
      </c>
      <c r="H1117" s="83">
        <f>AVERAGEIFS(tbl_raw[Discount_Pct],tbl_raw[Product_Name],A1117)</f>
        <v>0.19</v>
      </c>
    </row>
    <row r="1118" spans="1:8" hidden="1" x14ac:dyDescent="0.25">
      <c r="A1118" s="2" t="str">
        <v>Jeans - Model 130</v>
      </c>
      <c r="B1118" s="2" t="str">
        <f>_xlfn.XLOOKUP(A1118,tbl_raw[Product_Name],tbl_raw[Category])</f>
        <v>Fashion</v>
      </c>
      <c r="C1118" s="2">
        <f>COUNTIF(tbl_raw[Product_Name],A1118)</f>
        <v>1</v>
      </c>
      <c r="D1118" s="2">
        <f>SUMIFS(tbl_raw[Units_Sold],tbl_raw[Product_Name],A1118)</f>
        <v>7</v>
      </c>
      <c r="E1118" s="3">
        <f>SUMIFS(tbl_raw[Net_Profit],tbl_raw[Product_Name],A1118)</f>
        <v>-455</v>
      </c>
      <c r="F1118" s="2">
        <f>SUMIFS(tbl_raw[Return_Flag],tbl_raw[Product_Name],A1118)</f>
        <v>0</v>
      </c>
      <c r="G1118" s="3" cm="1">
        <f t="array" ref="G1118">SUMPRODUCT((tbl_raw[Product_Name]=A1118)*(tbl_raw[MRP]-tbl_raw[Selling_Price])*tbl_raw[Units_Sold])</f>
        <v>5068</v>
      </c>
      <c r="H1118" s="83">
        <f>AVERAGEIFS(tbl_raw[Discount_Pct],tbl_raw[Product_Name],A1118)</f>
        <v>0.28000000000000003</v>
      </c>
    </row>
    <row r="1119" spans="1:8" hidden="1" x14ac:dyDescent="0.25">
      <c r="A1119" s="2" t="str">
        <v>Laptop - Model 517</v>
      </c>
      <c r="B1119" s="2" t="str">
        <f>_xlfn.XLOOKUP(A1119,tbl_raw[Product_Name],tbl_raw[Category])</f>
        <v>Electronics</v>
      </c>
      <c r="C1119" s="2">
        <f>COUNTIF(tbl_raw[Product_Name],A1119)</f>
        <v>1</v>
      </c>
      <c r="D1119" s="2">
        <f>SUMIFS(tbl_raw[Units_Sold],tbl_raw[Product_Name],A1119)</f>
        <v>18</v>
      </c>
      <c r="E1119" s="3">
        <f>SUMIFS(tbl_raw[Net_Profit],tbl_raw[Product_Name],A1119)</f>
        <v>7290</v>
      </c>
      <c r="F1119" s="2">
        <f>SUMIFS(tbl_raw[Return_Flag],tbl_raw[Product_Name],A1119)</f>
        <v>0</v>
      </c>
      <c r="G1119" s="3" cm="1">
        <f t="array" ref="G1119">SUMPRODUCT((tbl_raw[Product_Name]=A1119)*(tbl_raw[MRP]-tbl_raw[Selling_Price])*tbl_raw[Units_Sold])</f>
        <v>15264</v>
      </c>
      <c r="H1119" s="83">
        <f>AVERAGEIFS(tbl_raw[Discount_Pct],tbl_raw[Product_Name],A1119)</f>
        <v>0.27</v>
      </c>
    </row>
    <row r="1120" spans="1:8" hidden="1" x14ac:dyDescent="0.25">
      <c r="A1120" s="2" t="str">
        <v>Shoes - Model 575</v>
      </c>
      <c r="B1120" s="2" t="str">
        <f>_xlfn.XLOOKUP(A1120,tbl_raw[Product_Name],tbl_raw[Category])</f>
        <v>Fashion</v>
      </c>
      <c r="C1120" s="2">
        <f>COUNTIF(tbl_raw[Product_Name],A1120)</f>
        <v>1</v>
      </c>
      <c r="D1120" s="2">
        <f>SUMIFS(tbl_raw[Units_Sold],tbl_raw[Product_Name],A1120)</f>
        <v>18</v>
      </c>
      <c r="E1120" s="3">
        <f>SUMIFS(tbl_raw[Net_Profit],tbl_raw[Product_Name],A1120)</f>
        <v>-5346</v>
      </c>
      <c r="F1120" s="2">
        <f>SUMIFS(tbl_raw[Return_Flag],tbl_raw[Product_Name],A1120)</f>
        <v>0</v>
      </c>
      <c r="G1120" s="3" cm="1">
        <f t="array" ref="G1120">SUMPRODUCT((tbl_raw[Product_Name]=A1120)*(tbl_raw[MRP]-tbl_raw[Selling_Price])*tbl_raw[Units_Sold])</f>
        <v>25524</v>
      </c>
      <c r="H1120" s="83">
        <f>AVERAGEIFS(tbl_raw[Discount_Pct],tbl_raw[Product_Name],A1120)</f>
        <v>0.39</v>
      </c>
    </row>
    <row r="1121" spans="1:8" hidden="1" x14ac:dyDescent="0.25">
      <c r="A1121" s="2" t="str">
        <v>Comic - Model 784</v>
      </c>
      <c r="B1121" s="2" t="str">
        <f>_xlfn.XLOOKUP(A1121,tbl_raw[Product_Name],tbl_raw[Category])</f>
        <v>Books</v>
      </c>
      <c r="C1121" s="2">
        <f>COUNTIF(tbl_raw[Product_Name],A1121)</f>
        <v>1</v>
      </c>
      <c r="D1121" s="2">
        <f>SUMIFS(tbl_raw[Units_Sold],tbl_raw[Product_Name],A1121)</f>
        <v>16</v>
      </c>
      <c r="E1121" s="3">
        <f>SUMIFS(tbl_raw[Net_Profit],tbl_raw[Product_Name],A1121)</f>
        <v>1168</v>
      </c>
      <c r="F1121" s="2">
        <f>SUMIFS(tbl_raw[Return_Flag],tbl_raw[Product_Name],A1121)</f>
        <v>0</v>
      </c>
      <c r="G1121" s="3" cm="1">
        <f t="array" ref="G1121">SUMPRODUCT((tbl_raw[Product_Name]=A1121)*(tbl_raw[MRP]-tbl_raw[Selling_Price])*tbl_raw[Units_Sold])</f>
        <v>23936</v>
      </c>
      <c r="H1121" s="83">
        <f>AVERAGEIFS(tbl_raw[Discount_Pct],tbl_raw[Product_Name],A1121)</f>
        <v>0.37</v>
      </c>
    </row>
    <row r="1122" spans="1:8" hidden="1" x14ac:dyDescent="0.25">
      <c r="A1122" s="2" t="str">
        <v>Kurta - Model 834</v>
      </c>
      <c r="B1122" s="2" t="str">
        <f>_xlfn.XLOOKUP(A1122,tbl_raw[Product_Name],tbl_raw[Category])</f>
        <v>Fashion</v>
      </c>
      <c r="C1122" s="2">
        <f>COUNTIF(tbl_raw[Product_Name],A1122)</f>
        <v>1</v>
      </c>
      <c r="D1122" s="2">
        <f>SUMIFS(tbl_raw[Units_Sold],tbl_raw[Product_Name],A1122)</f>
        <v>10</v>
      </c>
      <c r="E1122" s="3">
        <f>SUMIFS(tbl_raw[Net_Profit],tbl_raw[Product_Name],A1122)</f>
        <v>32930</v>
      </c>
      <c r="F1122" s="2">
        <f>SUMIFS(tbl_raw[Return_Flag],tbl_raw[Product_Name],A1122)</f>
        <v>0</v>
      </c>
      <c r="G1122" s="3" cm="1">
        <f t="array" ref="G1122">SUMPRODUCT((tbl_raw[Product_Name]=A1122)*(tbl_raw[MRP]-tbl_raw[Selling_Price])*tbl_raw[Units_Sold])</f>
        <v>3560</v>
      </c>
      <c r="H1122" s="83">
        <f>AVERAGEIFS(tbl_raw[Discount_Pct],tbl_raw[Product_Name],A1122)</f>
        <v>0.05</v>
      </c>
    </row>
    <row r="1123" spans="1:8" hidden="1" x14ac:dyDescent="0.25">
      <c r="A1123" s="2" t="str">
        <v>Mixer - Model 955</v>
      </c>
      <c r="B1123" s="2" t="str">
        <f>_xlfn.XLOOKUP(A1123,tbl_raw[Product_Name],tbl_raw[Category])</f>
        <v>Home &amp; Kitchen</v>
      </c>
      <c r="C1123" s="2">
        <f>COUNTIF(tbl_raw[Product_Name],A1123)</f>
        <v>1</v>
      </c>
      <c r="D1123" s="2">
        <f>SUMIFS(tbl_raw[Units_Sold],tbl_raw[Product_Name],A1123)</f>
        <v>6</v>
      </c>
      <c r="E1123" s="3">
        <f>SUMIFS(tbl_raw[Net_Profit],tbl_raw[Product_Name],A1123)</f>
        <v>7386</v>
      </c>
      <c r="F1123" s="2">
        <f>SUMIFS(tbl_raw[Return_Flag],tbl_raw[Product_Name],A1123)</f>
        <v>0</v>
      </c>
      <c r="G1123" s="3" cm="1">
        <f t="array" ref="G1123">SUMPRODUCT((tbl_raw[Product_Name]=A1123)*(tbl_raw[MRP]-tbl_raw[Selling_Price])*tbl_raw[Units_Sold])</f>
        <v>198</v>
      </c>
      <c r="H1123" s="83">
        <f>AVERAGEIFS(tbl_raw[Discount_Pct],tbl_raw[Product_Name],A1123)</f>
        <v>0.01</v>
      </c>
    </row>
    <row r="1124" spans="1:8" hidden="1" x14ac:dyDescent="0.25">
      <c r="A1124" s="2" t="str">
        <v>Oil - Model 564</v>
      </c>
      <c r="B1124" s="2" t="str">
        <f>_xlfn.XLOOKUP(A1124,tbl_raw[Product_Name],tbl_raw[Category])</f>
        <v>Grocery</v>
      </c>
      <c r="C1124" s="2">
        <f>COUNTIF(tbl_raw[Product_Name],A1124)</f>
        <v>1</v>
      </c>
      <c r="D1124" s="2">
        <f>SUMIFS(tbl_raw[Units_Sold],tbl_raw[Product_Name],A1124)</f>
        <v>9</v>
      </c>
      <c r="E1124" s="3">
        <f>SUMIFS(tbl_raw[Net_Profit],tbl_raw[Product_Name],A1124)</f>
        <v>16839</v>
      </c>
      <c r="F1124" s="2">
        <f>SUMIFS(tbl_raw[Return_Flag],tbl_raw[Product_Name],A1124)</f>
        <v>0</v>
      </c>
      <c r="G1124" s="3" cm="1">
        <f t="array" ref="G1124">SUMPRODUCT((tbl_raw[Product_Name]=A1124)*(tbl_raw[MRP]-tbl_raw[Selling_Price])*tbl_raw[Units_Sold])</f>
        <v>2007</v>
      </c>
      <c r="H1124" s="83">
        <f>AVERAGEIFS(tbl_raw[Discount_Pct],tbl_raw[Product_Name],A1124)</f>
        <v>0.05</v>
      </c>
    </row>
    <row r="1125" spans="1:8" hidden="1" x14ac:dyDescent="0.25">
      <c r="A1125" s="2" t="str">
        <v>Spices - Model 567</v>
      </c>
      <c r="B1125" s="2" t="str">
        <f>_xlfn.XLOOKUP(A1125,tbl_raw[Product_Name],tbl_raw[Category])</f>
        <v>Grocery</v>
      </c>
      <c r="C1125" s="2">
        <f>COUNTIF(tbl_raw[Product_Name],A1125)</f>
        <v>1</v>
      </c>
      <c r="D1125" s="2">
        <f>SUMIFS(tbl_raw[Units_Sold],tbl_raw[Product_Name],A1125)</f>
        <v>11</v>
      </c>
      <c r="E1125" s="3">
        <f>SUMIFS(tbl_raw[Net_Profit],tbl_raw[Product_Name],A1125)</f>
        <v>12936</v>
      </c>
      <c r="F1125" s="2">
        <f>SUMIFS(tbl_raw[Return_Flag],tbl_raw[Product_Name],A1125)</f>
        <v>0</v>
      </c>
      <c r="G1125" s="3" cm="1">
        <f t="array" ref="G1125">SUMPRODUCT((tbl_raw[Product_Name]=A1125)*(tbl_raw[MRP]-tbl_raw[Selling_Price])*tbl_raw[Units_Sold])</f>
        <v>8118</v>
      </c>
      <c r="H1125" s="83">
        <f>AVERAGEIFS(tbl_raw[Discount_Pct],tbl_raw[Product_Name],A1125)</f>
        <v>0.12</v>
      </c>
    </row>
    <row r="1126" spans="1:8" hidden="1" x14ac:dyDescent="0.25">
      <c r="A1126" s="2" t="str">
        <v>Kurta - Model 663</v>
      </c>
      <c r="B1126" s="2" t="str">
        <f>_xlfn.XLOOKUP(A1126,tbl_raw[Product_Name],tbl_raw[Category])</f>
        <v>Fashion</v>
      </c>
      <c r="C1126" s="2">
        <f>COUNTIF(tbl_raw[Product_Name],A1126)</f>
        <v>1</v>
      </c>
      <c r="D1126" s="2">
        <f>SUMIFS(tbl_raw[Units_Sold],tbl_raw[Product_Name],A1126)</f>
        <v>5</v>
      </c>
      <c r="E1126" s="3">
        <f>SUMIFS(tbl_raw[Net_Profit],tbl_raw[Product_Name],A1126)</f>
        <v>9885</v>
      </c>
      <c r="F1126" s="2">
        <f>SUMIFS(tbl_raw[Return_Flag],tbl_raw[Product_Name],A1126)</f>
        <v>0</v>
      </c>
      <c r="G1126" s="3" cm="1">
        <f t="array" ref="G1126">SUMPRODUCT((tbl_raw[Product_Name]=A1126)*(tbl_raw[MRP]-tbl_raw[Selling_Price])*tbl_raw[Units_Sold])</f>
        <v>4910</v>
      </c>
      <c r="H1126" s="83">
        <f>AVERAGEIFS(tbl_raw[Discount_Pct],tbl_raw[Product_Name],A1126)</f>
        <v>0.14000000000000001</v>
      </c>
    </row>
    <row r="1127" spans="1:8" hidden="1" x14ac:dyDescent="0.25">
      <c r="A1127" s="2" t="str">
        <v>Serum - Model 960</v>
      </c>
      <c r="B1127" s="2" t="str">
        <f>_xlfn.XLOOKUP(A1127,tbl_raw[Product_Name],tbl_raw[Category])</f>
        <v>Beauty</v>
      </c>
      <c r="C1127" s="2">
        <f>COUNTIF(tbl_raw[Product_Name],A1127)</f>
        <v>1</v>
      </c>
      <c r="D1127" s="2">
        <f>SUMIFS(tbl_raw[Units_Sold],tbl_raw[Product_Name],A1127)</f>
        <v>1</v>
      </c>
      <c r="E1127" s="3">
        <f>SUMIFS(tbl_raw[Net_Profit],tbl_raw[Product_Name],A1127)</f>
        <v>-14</v>
      </c>
      <c r="F1127" s="2">
        <f>SUMIFS(tbl_raw[Return_Flag],tbl_raw[Product_Name],A1127)</f>
        <v>0</v>
      </c>
      <c r="G1127" s="3" cm="1">
        <f t="array" ref="G1127">SUMPRODUCT((tbl_raw[Product_Name]=A1127)*(tbl_raw[MRP]-tbl_raw[Selling_Price])*tbl_raw[Units_Sold])</f>
        <v>595</v>
      </c>
      <c r="H1127" s="83">
        <f>AVERAGEIFS(tbl_raw[Discount_Pct],tbl_raw[Product_Name],A1127)</f>
        <v>0.34</v>
      </c>
    </row>
    <row r="1128" spans="1:8" hidden="1" x14ac:dyDescent="0.25">
      <c r="A1128" s="2" t="str">
        <v>Sunscreen - Model 270</v>
      </c>
      <c r="B1128" s="2" t="str">
        <f>_xlfn.XLOOKUP(A1128,tbl_raw[Product_Name],tbl_raw[Category])</f>
        <v>Beauty</v>
      </c>
      <c r="C1128" s="2">
        <f>COUNTIF(tbl_raw[Product_Name],A1128)</f>
        <v>1</v>
      </c>
      <c r="D1128" s="2">
        <f>SUMIFS(tbl_raw[Units_Sold],tbl_raw[Product_Name],A1128)</f>
        <v>6</v>
      </c>
      <c r="E1128" s="3">
        <f>SUMIFS(tbl_raw[Net_Profit],tbl_raw[Product_Name],A1128)</f>
        <v>1074</v>
      </c>
      <c r="F1128" s="2">
        <f>SUMIFS(tbl_raw[Return_Flag],tbl_raw[Product_Name],A1128)</f>
        <v>0</v>
      </c>
      <c r="G1128" s="3" cm="1">
        <f t="array" ref="G1128">SUMPRODUCT((tbl_raw[Product_Name]=A1128)*(tbl_raw[MRP]-tbl_raw[Selling_Price])*tbl_raw[Units_Sold])</f>
        <v>414</v>
      </c>
      <c r="H1128" s="83">
        <f>AVERAGEIFS(tbl_raw[Discount_Pct],tbl_raw[Product_Name],A1128)</f>
        <v>7.0000000000000007E-2</v>
      </c>
    </row>
    <row r="1129" spans="1:8" hidden="1" x14ac:dyDescent="0.25">
      <c r="A1129" s="2" t="str">
        <v>Lipstick - Model 150</v>
      </c>
      <c r="B1129" s="2" t="str">
        <f>_xlfn.XLOOKUP(A1129,tbl_raw[Product_Name],tbl_raw[Category])</f>
        <v>Beauty</v>
      </c>
      <c r="C1129" s="2">
        <f>COUNTIF(tbl_raw[Product_Name],A1129)</f>
        <v>1</v>
      </c>
      <c r="D1129" s="2">
        <f>SUMIFS(tbl_raw[Units_Sold],tbl_raw[Product_Name],A1129)</f>
        <v>10</v>
      </c>
      <c r="E1129" s="3">
        <f>SUMIFS(tbl_raw[Net_Profit],tbl_raw[Product_Name],A1129)</f>
        <v>6200</v>
      </c>
      <c r="F1129" s="2">
        <f>SUMIFS(tbl_raw[Return_Flag],tbl_raw[Product_Name],A1129)</f>
        <v>0</v>
      </c>
      <c r="G1129" s="3" cm="1">
        <f t="array" ref="G1129">SUMPRODUCT((tbl_raw[Product_Name]=A1129)*(tbl_raw[MRP]-tbl_raw[Selling_Price])*tbl_raw[Units_Sold])</f>
        <v>7450</v>
      </c>
      <c r="H1129" s="83">
        <f>AVERAGEIFS(tbl_raw[Discount_Pct],tbl_raw[Product_Name],A1129)</f>
        <v>0.23</v>
      </c>
    </row>
    <row r="1130" spans="1:8" hidden="1" x14ac:dyDescent="0.25">
      <c r="A1130" s="2" t="str">
        <v>Cycle - Model 784</v>
      </c>
      <c r="B1130" s="2" t="str">
        <f>_xlfn.XLOOKUP(A1130,tbl_raw[Product_Name],tbl_raw[Category])</f>
        <v>Sports</v>
      </c>
      <c r="C1130" s="2">
        <f>COUNTIF(tbl_raw[Product_Name],A1130)</f>
        <v>1</v>
      </c>
      <c r="D1130" s="2">
        <f>SUMIFS(tbl_raw[Units_Sold],tbl_raw[Product_Name],A1130)</f>
        <v>7</v>
      </c>
      <c r="E1130" s="3">
        <f>SUMIFS(tbl_raw[Net_Profit],tbl_raw[Product_Name],A1130)</f>
        <v>-1092</v>
      </c>
      <c r="F1130" s="2">
        <f>SUMIFS(tbl_raw[Return_Flag],tbl_raw[Product_Name],A1130)</f>
        <v>0</v>
      </c>
      <c r="G1130" s="3" cm="1">
        <f t="array" ref="G1130">SUMPRODUCT((tbl_raw[Product_Name]=A1130)*(tbl_raw[MRP]-tbl_raw[Selling_Price])*tbl_raw[Units_Sold])</f>
        <v>14504</v>
      </c>
      <c r="H1130" s="83">
        <f>AVERAGEIFS(tbl_raw[Discount_Pct],tbl_raw[Product_Name],A1130)</f>
        <v>0.28000000000000003</v>
      </c>
    </row>
    <row r="1131" spans="1:8" hidden="1" x14ac:dyDescent="0.25">
      <c r="A1131" s="2" t="str">
        <v>Pressure Cooker - Model 554</v>
      </c>
      <c r="B1131" s="2" t="str">
        <f>_xlfn.XLOOKUP(A1131,tbl_raw[Product_Name],tbl_raw[Category])</f>
        <v>Home &amp; Kitchen</v>
      </c>
      <c r="C1131" s="2">
        <f>COUNTIF(tbl_raw[Product_Name],A1131)</f>
        <v>1</v>
      </c>
      <c r="D1131" s="2">
        <f>SUMIFS(tbl_raw[Units_Sold],tbl_raw[Product_Name],A1131)</f>
        <v>9</v>
      </c>
      <c r="E1131" s="3">
        <f>SUMIFS(tbl_raw[Net_Profit],tbl_raw[Product_Name],A1131)</f>
        <v>30159</v>
      </c>
      <c r="F1131" s="2">
        <f>SUMIFS(tbl_raw[Return_Flag],tbl_raw[Product_Name],A1131)</f>
        <v>0</v>
      </c>
      <c r="G1131" s="3" cm="1">
        <f t="array" ref="G1131">SUMPRODUCT((tbl_raw[Product_Name]=A1131)*(tbl_raw[MRP]-tbl_raw[Selling_Price])*tbl_raw[Units_Sold])</f>
        <v>0</v>
      </c>
      <c r="H1131" s="83">
        <f>AVERAGEIFS(tbl_raw[Discount_Pct],tbl_raw[Product_Name],A1131)</f>
        <v>0</v>
      </c>
    </row>
    <row r="1132" spans="1:8" hidden="1" x14ac:dyDescent="0.25">
      <c r="A1132" s="2" t="str">
        <v>Shoes - Model 741</v>
      </c>
      <c r="B1132" s="2" t="str">
        <f>_xlfn.XLOOKUP(A1132,tbl_raw[Product_Name],tbl_raw[Category])</f>
        <v>Sports</v>
      </c>
      <c r="C1132" s="2">
        <f>COUNTIF(tbl_raw[Product_Name],A1132)</f>
        <v>1</v>
      </c>
      <c r="D1132" s="2">
        <f>SUMIFS(tbl_raw[Units_Sold],tbl_raw[Product_Name],A1132)</f>
        <v>14</v>
      </c>
      <c r="E1132" s="3">
        <f>SUMIFS(tbl_raw[Net_Profit],tbl_raw[Product_Name],A1132)</f>
        <v>-4228</v>
      </c>
      <c r="F1132" s="2">
        <f>SUMIFS(tbl_raw[Return_Flag],tbl_raw[Product_Name],A1132)</f>
        <v>0</v>
      </c>
      <c r="G1132" s="3" cm="1">
        <f t="array" ref="G1132">SUMPRODUCT((tbl_raw[Product_Name]=A1132)*(tbl_raw[MRP]-tbl_raw[Selling_Price])*tbl_raw[Units_Sold])</f>
        <v>26012</v>
      </c>
      <c r="H1132" s="83">
        <f>AVERAGEIFS(tbl_raw[Discount_Pct],tbl_raw[Product_Name],A1132)</f>
        <v>0.39</v>
      </c>
    </row>
    <row r="1133" spans="1:8" hidden="1" x14ac:dyDescent="0.25">
      <c r="A1133" s="2" t="str">
        <v>Self-Help - Model 990</v>
      </c>
      <c r="B1133" s="2" t="str">
        <f>_xlfn.XLOOKUP(A1133,tbl_raw[Product_Name],tbl_raw[Category])</f>
        <v>Books</v>
      </c>
      <c r="C1133" s="2">
        <f>COUNTIF(tbl_raw[Product_Name],A1133)</f>
        <v>1</v>
      </c>
      <c r="D1133" s="2">
        <f>SUMIFS(tbl_raw[Units_Sold],tbl_raw[Product_Name],A1133)</f>
        <v>14</v>
      </c>
      <c r="E1133" s="3">
        <f>SUMIFS(tbl_raw[Net_Profit],tbl_raw[Product_Name],A1133)</f>
        <v>-658</v>
      </c>
      <c r="F1133" s="2">
        <f>SUMIFS(tbl_raw[Return_Flag],tbl_raw[Product_Name],A1133)</f>
        <v>0</v>
      </c>
      <c r="G1133" s="3" cm="1">
        <f t="array" ref="G1133">SUMPRODUCT((tbl_raw[Product_Name]=A1133)*(tbl_raw[MRP]-tbl_raw[Selling_Price])*tbl_raw[Units_Sold])</f>
        <v>14168</v>
      </c>
      <c r="H1133" s="83">
        <f>AVERAGEIFS(tbl_raw[Discount_Pct],tbl_raw[Product_Name],A1133)</f>
        <v>0.28999999999999998</v>
      </c>
    </row>
    <row r="1134" spans="1:8" hidden="1" x14ac:dyDescent="0.25">
      <c r="A1134" s="2" t="str">
        <v>Yoga Mat - Model 185</v>
      </c>
      <c r="B1134" s="2" t="str">
        <f>_xlfn.XLOOKUP(A1134,tbl_raw[Product_Name],tbl_raw[Category])</f>
        <v>Sports</v>
      </c>
      <c r="C1134" s="2">
        <f>COUNTIF(tbl_raw[Product_Name],A1134)</f>
        <v>1</v>
      </c>
      <c r="D1134" s="2">
        <f>SUMIFS(tbl_raw[Units_Sold],tbl_raw[Product_Name],A1134)</f>
        <v>4</v>
      </c>
      <c r="E1134" s="3">
        <f>SUMIFS(tbl_raw[Net_Profit],tbl_raw[Product_Name],A1134)</f>
        <v>3780</v>
      </c>
      <c r="F1134" s="2">
        <f>SUMIFS(tbl_raw[Return_Flag],tbl_raw[Product_Name],A1134)</f>
        <v>0</v>
      </c>
      <c r="G1134" s="3" cm="1">
        <f t="array" ref="G1134">SUMPRODUCT((tbl_raw[Product_Name]=A1134)*(tbl_raw[MRP]-tbl_raw[Selling_Price])*tbl_raw[Units_Sold])</f>
        <v>5072</v>
      </c>
      <c r="H1134" s="83">
        <f>AVERAGEIFS(tbl_raw[Discount_Pct],tbl_raw[Product_Name],A1134)</f>
        <v>0.22</v>
      </c>
    </row>
    <row r="1135" spans="1:8" hidden="1" x14ac:dyDescent="0.25">
      <c r="A1135" s="2" t="str">
        <v>Doll - Model 631</v>
      </c>
      <c r="B1135" s="2" t="str">
        <f>_xlfn.XLOOKUP(A1135,tbl_raw[Product_Name],tbl_raw[Category])</f>
        <v>Toys</v>
      </c>
      <c r="C1135" s="2">
        <f>COUNTIF(tbl_raw[Product_Name],A1135)</f>
        <v>1</v>
      </c>
      <c r="D1135" s="2">
        <f>SUMIFS(tbl_raw[Units_Sold],tbl_raw[Product_Name],A1135)</f>
        <v>2</v>
      </c>
      <c r="E1135" s="3">
        <f>SUMIFS(tbl_raw[Net_Profit],tbl_raw[Product_Name],A1135)</f>
        <v>166</v>
      </c>
      <c r="F1135" s="2">
        <f>SUMIFS(tbl_raw[Return_Flag],tbl_raw[Product_Name],A1135)</f>
        <v>0</v>
      </c>
      <c r="G1135" s="3" cm="1">
        <f t="array" ref="G1135">SUMPRODUCT((tbl_raw[Product_Name]=A1135)*(tbl_raw[MRP]-tbl_raw[Selling_Price])*tbl_raw[Units_Sold])</f>
        <v>2642</v>
      </c>
      <c r="H1135" s="83">
        <f>AVERAGEIFS(tbl_raw[Discount_Pct],tbl_raw[Product_Name],A1135)</f>
        <v>0.27</v>
      </c>
    </row>
    <row r="1136" spans="1:8" hidden="1" x14ac:dyDescent="0.25">
      <c r="A1136" s="2" t="str">
        <v>Remote Car - Model 835</v>
      </c>
      <c r="B1136" s="2" t="str">
        <f>_xlfn.XLOOKUP(A1136,tbl_raw[Product_Name],tbl_raw[Category])</f>
        <v>Toys</v>
      </c>
      <c r="C1136" s="2">
        <f>COUNTIF(tbl_raw[Product_Name],A1136)</f>
        <v>1</v>
      </c>
      <c r="D1136" s="2">
        <f>SUMIFS(tbl_raw[Units_Sold],tbl_raw[Product_Name],A1136)</f>
        <v>12</v>
      </c>
      <c r="E1136" s="3">
        <f>SUMIFS(tbl_raw[Net_Profit],tbl_raw[Product_Name],A1136)</f>
        <v>13116</v>
      </c>
      <c r="F1136" s="2">
        <f>SUMIFS(tbl_raw[Return_Flag],tbl_raw[Product_Name],A1136)</f>
        <v>1</v>
      </c>
      <c r="G1136" s="3" cm="1">
        <f t="array" ref="G1136">SUMPRODUCT((tbl_raw[Product_Name]=A1136)*(tbl_raw[MRP]-tbl_raw[Selling_Price])*tbl_raw[Units_Sold])</f>
        <v>12588</v>
      </c>
      <c r="H1136" s="83">
        <f>AVERAGEIFS(tbl_raw[Discount_Pct],tbl_raw[Product_Name],A1136)</f>
        <v>0.2</v>
      </c>
    </row>
  </sheetData>
  <mergeCells count="3">
    <mergeCell ref="A1:P1"/>
    <mergeCell ref="J3:P3"/>
    <mergeCell ref="A3:G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DDE3-01E2-46B1-96FC-273CEA78C9CC}">
  <sheetPr codeName="Sheet9">
    <tabColor theme="5" tint="0.39997558519241921"/>
  </sheetPr>
  <dimension ref="A1:H20"/>
  <sheetViews>
    <sheetView workbookViewId="0">
      <selection activeCell="I14" sqref="I14"/>
    </sheetView>
  </sheetViews>
  <sheetFormatPr defaultRowHeight="13.8" x14ac:dyDescent="0.25"/>
  <cols>
    <col min="1" max="1" width="14.5546875" style="2" bestFit="1" customWidth="1"/>
    <col min="2" max="2" width="18.6640625" style="2" bestFit="1" customWidth="1"/>
    <col min="3" max="3" width="20.44140625" style="2" bestFit="1" customWidth="1"/>
    <col min="4" max="4" width="18.33203125" style="2" bestFit="1" customWidth="1"/>
    <col min="5" max="5" width="12.21875" style="2" customWidth="1"/>
    <col min="6" max="7" width="8.88671875" style="2"/>
    <col min="8" max="8" width="14.109375" style="2" customWidth="1"/>
    <col min="9" max="16384" width="8.88671875" style="2"/>
  </cols>
  <sheetData>
    <row r="1" spans="1:8" ht="35.4" customHeight="1" x14ac:dyDescent="0.25">
      <c r="A1" s="160" t="s">
        <v>2552</v>
      </c>
      <c r="B1" s="161"/>
      <c r="C1" s="161"/>
      <c r="D1" s="161"/>
      <c r="E1" s="161"/>
      <c r="F1" s="161"/>
      <c r="G1" s="161"/>
      <c r="H1" s="161"/>
    </row>
    <row r="2" spans="1:8" s="50" customFormat="1" ht="16.8" customHeight="1" x14ac:dyDescent="0.25"/>
    <row r="3" spans="1:8" s="50" customFormat="1" ht="16.8" customHeight="1" x14ac:dyDescent="0.25">
      <c r="A3" s="94" t="s">
        <v>2547</v>
      </c>
      <c r="B3" s="50" t="s">
        <v>2549</v>
      </c>
      <c r="C3" s="50" t="s">
        <v>2550</v>
      </c>
      <c r="D3" s="50" t="s">
        <v>2551</v>
      </c>
      <c r="E3" s="51" t="s">
        <v>2441</v>
      </c>
    </row>
    <row r="4" spans="1:8" s="50" customFormat="1" ht="16.8" customHeight="1" x14ac:dyDescent="0.25">
      <c r="A4" s="95" t="s">
        <v>40</v>
      </c>
      <c r="B4" s="50">
        <v>202</v>
      </c>
      <c r="C4" s="50">
        <v>32</v>
      </c>
      <c r="D4" s="96">
        <v>1538579</v>
      </c>
      <c r="E4" s="97">
        <f>IFERROR(C4/B4,0)</f>
        <v>0.15841584158415842</v>
      </c>
    </row>
    <row r="5" spans="1:8" s="50" customFormat="1" ht="16.8" customHeight="1" x14ac:dyDescent="0.25">
      <c r="A5" s="95" t="s">
        <v>31</v>
      </c>
      <c r="B5" s="50">
        <v>217</v>
      </c>
      <c r="C5" s="50">
        <v>18</v>
      </c>
      <c r="D5" s="96">
        <v>1272849</v>
      </c>
      <c r="E5" s="97">
        <f t="shared" ref="E5:E9" si="0">IFERROR(C5/B5,0)</f>
        <v>8.294930875576037E-2</v>
      </c>
    </row>
    <row r="6" spans="1:8" s="50" customFormat="1" ht="16.8" customHeight="1" x14ac:dyDescent="0.25">
      <c r="A6" s="95" t="s">
        <v>65</v>
      </c>
      <c r="B6" s="50">
        <v>190</v>
      </c>
      <c r="C6" s="50">
        <v>18</v>
      </c>
      <c r="D6" s="96">
        <v>1152889</v>
      </c>
      <c r="E6" s="97">
        <f t="shared" si="0"/>
        <v>9.4736842105263161E-2</v>
      </c>
    </row>
    <row r="7" spans="1:8" s="50" customFormat="1" ht="16.8" customHeight="1" x14ac:dyDescent="0.25">
      <c r="A7" s="95" t="s">
        <v>58</v>
      </c>
      <c r="B7" s="50">
        <v>173</v>
      </c>
      <c r="C7" s="50">
        <v>18</v>
      </c>
      <c r="D7" s="96">
        <v>1196353</v>
      </c>
      <c r="E7" s="97">
        <f t="shared" si="0"/>
        <v>0.10404624277456648</v>
      </c>
    </row>
    <row r="8" spans="1:8" s="50" customFormat="1" ht="16.8" customHeight="1" x14ac:dyDescent="0.25">
      <c r="A8" s="95" t="s">
        <v>107</v>
      </c>
      <c r="B8" s="50">
        <v>218</v>
      </c>
      <c r="C8" s="50">
        <v>22</v>
      </c>
      <c r="D8" s="96">
        <v>1699904</v>
      </c>
      <c r="E8" s="97">
        <f t="shared" si="0"/>
        <v>0.10091743119266056</v>
      </c>
    </row>
    <row r="9" spans="1:8" s="50" customFormat="1" ht="16.8" customHeight="1" x14ac:dyDescent="0.25">
      <c r="A9" s="95" t="s">
        <v>2548</v>
      </c>
      <c r="B9" s="50">
        <v>1000</v>
      </c>
      <c r="C9" s="50">
        <v>108</v>
      </c>
      <c r="D9" s="96">
        <v>6860574</v>
      </c>
      <c r="E9" s="53">
        <f t="shared" si="0"/>
        <v>0.108</v>
      </c>
    </row>
    <row r="10" spans="1:8" s="50" customFormat="1" ht="16.8" customHeight="1" x14ac:dyDescent="0.25"/>
    <row r="11" spans="1:8" s="50" customFormat="1" ht="16.8" customHeight="1" x14ac:dyDescent="0.25"/>
    <row r="12" spans="1:8" s="50" customFormat="1" ht="16.8" customHeight="1" x14ac:dyDescent="0.25"/>
    <row r="13" spans="1:8" s="50" customFormat="1" ht="16.8" customHeight="1" x14ac:dyDescent="0.25"/>
    <row r="14" spans="1:8" s="50" customFormat="1" ht="16.8" customHeight="1" x14ac:dyDescent="0.25"/>
    <row r="15" spans="1:8" s="50" customFormat="1" ht="16.8" customHeight="1" x14ac:dyDescent="0.25"/>
    <row r="16" spans="1:8" s="50" customFormat="1" ht="16.8" customHeight="1" x14ac:dyDescent="0.25"/>
    <row r="17" s="50" customFormat="1" ht="16.8" customHeight="1" x14ac:dyDescent="0.25"/>
    <row r="18" s="50" customFormat="1" ht="16.8" customHeight="1" x14ac:dyDescent="0.25"/>
    <row r="19" s="50" customFormat="1" ht="16.8" customHeight="1" x14ac:dyDescent="0.25"/>
    <row r="20" s="50" customFormat="1" ht="16.8" customHeight="1" x14ac:dyDescent="0.25"/>
  </sheetData>
  <mergeCells count="1">
    <mergeCell ref="A1:H1"/>
  </mergeCells>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README</vt:lpstr>
      <vt:lpstr>DASHBOARD📊 </vt:lpstr>
      <vt:lpstr>Raw_Data</vt:lpstr>
      <vt:lpstr>Calculations</vt:lpstr>
      <vt:lpstr>Profit_Recovery_Sim</vt:lpstr>
      <vt:lpstr>Return_Risk_Analysis</vt:lpstr>
      <vt:lpstr>Charts_Data</vt:lpstr>
      <vt:lpstr>Product_Analysis</vt:lpstr>
      <vt:lpstr>Pivot_Analysis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Ujjwal Tripathi</dc:creator>
  <cp:lastModifiedBy>Ujjwal Tripathi</cp:lastModifiedBy>
  <dcterms:created xsi:type="dcterms:W3CDTF">2026-05-15T06:10:41Z</dcterms:created>
  <dcterms:modified xsi:type="dcterms:W3CDTF">2026-05-18T19:00:22Z</dcterms:modified>
</cp:coreProperties>
</file>